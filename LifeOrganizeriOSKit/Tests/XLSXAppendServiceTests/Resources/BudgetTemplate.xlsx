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1E6E98/Downloads/Documents/"/>
    </mc:Choice>
  </mc:AlternateContent>
  <xr:revisionPtr revIDLastSave="0" documentId="13_ncr:1_{34CF9D1B-4C19-D24B-B487-F49D42E23174}" xr6:coauthVersionLast="47" xr6:coauthVersionMax="47" xr10:uidLastSave="{00000000-0000-0000-0000-000000000000}"/>
  <bookViews>
    <workbookView xWindow="0" yWindow="800" windowWidth="41120" windowHeight="24640" activeTab="3" xr2:uid="{4BA8CB36-6508-483A-831E-62D14BBD5315}"/>
  </bookViews>
  <sheets>
    <sheet name="Info" sheetId="7" r:id="rId1"/>
    <sheet name="Settings" sheetId="1" r:id="rId2"/>
    <sheet name="Budget Planning" sheetId="3" r:id="rId3"/>
    <sheet name="Budget Tracking" sheetId="2" r:id="rId4"/>
    <sheet name="Budget Dashboard" sheetId="4" r:id="rId5"/>
    <sheet name="Planning" sheetId="8" r:id="rId6"/>
    <sheet name="Calculations" sheetId="5" state="hidden" r:id="rId7"/>
    <sheet name="Dropdown Data" sheetId="6" state="hidden" r:id="rId8"/>
  </sheets>
  <definedNames>
    <definedName name="budget" localSheetId="4">'Budget Dashboard'!$L1</definedName>
    <definedName name="budget_range" localSheetId="4">'Budget Dashboard'!$Q1</definedName>
    <definedName name="budget_rank" localSheetId="4">'Budget Dashboard'!$R1</definedName>
    <definedName name="cc_budget" localSheetId="6">Calculations!$K1</definedName>
    <definedName name="cc_delta" localSheetId="6">Calculations!$L1</definedName>
    <definedName name="cc_in_focus" localSheetId="6">Calculations!$G1</definedName>
    <definedName name="cc_month_number" localSheetId="6">Calculations!$F1</definedName>
    <definedName name="cc_show_remaining_budget" localSheetId="6">Calculations!$I1</definedName>
    <definedName name="cc_show_type" localSheetId="6">Calculations!$H1</definedName>
    <definedName name="cc_tracked" localSheetId="6">Calculations!$J1</definedName>
    <definedName name="cc_type" localSheetId="6">Calculations!$E1</definedName>
    <definedName name="comb_rank" localSheetId="4">'Budget Dashboard'!$S1</definedName>
    <definedName name="comb_rank_norm" localSheetId="4">'Budget Dashboard'!$U1</definedName>
    <definedName name="comb_rank_norm_run_range" localSheetId="4">'Budget Dashboard'!$V1</definedName>
    <definedName name="comb_rank_range" localSheetId="4">'Budget Dashboard'!$T1</definedName>
    <definedName name="comb_rank_unique" localSheetId="4">'Budget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Planning'!$C$102)</definedName>
    <definedName name="header_row_id" localSheetId="4">'Budget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 localSheetId="4">'Budget Dashboard'!$F1</definedName>
    <definedName name="is_empty" localSheetId="4">'Budget Dashboard'!$H1</definedName>
    <definedName name="is_header" localSheetId="4">'Budget Dashboard'!$E1</definedName>
    <definedName name="is_total" localSheetId="4">'Budget Dashboard'!$G1</definedName>
    <definedName name="item" localSheetId="4">'Budget Dashboard'!$J1</definedName>
    <definedName name="out_budget" localSheetId="4">'Budget Dashboard'!$AA1</definedName>
    <definedName name="out_percentage_completed" localSheetId="4">'Budget Dashboard'!$AB1</definedName>
    <definedName name="out_tracked" localSheetId="4">'Budget Dashboard'!$Z1</definedName>
    <definedName name="row_id" localSheetId="4">'Budget Dashboard'!$C1</definedName>
    <definedName name="savings_header_row">ROW(Savings[[#Headers],[Savings]])</definedName>
    <definedName name="savings_max_row">MAX(ROW(Savings[]))</definedName>
    <definedName name="savings_min_row">MIN(ROW(Savings[]))</definedName>
    <definedName name="savings_rate_calculation_type">Settings!$E$22</definedName>
    <definedName name="savings_total_row">ROW('Budget Planning'!$C$115)</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4">'Budget Dashboard'!$N1</definedName>
    <definedName name="sort_min_row" localSheetId="4">'Budget Dashboard'!$M1</definedName>
    <definedName name="starting_year">Settings!$E$8</definedName>
    <definedName name="tracked" localSheetId="4">'Budget Dashboard'!$K1</definedName>
    <definedName name="tracked_range" localSheetId="4">'Budget Dashboard'!$O1</definedName>
    <definedName name="tracked_rank" localSheetId="4">'Budget Dashboard'!$P1</definedName>
    <definedName name="type" localSheetId="4">'Budget Dashboard'!$I1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6" i="2" l="1" a="1"/>
  <c r="H516" i="2" s="1"/>
  <c r="I516" i="2"/>
  <c r="H207" i="2" a="1"/>
  <c r="H207" i="2" s="1"/>
  <c r="I207" i="2"/>
  <c r="H122" i="2" a="1"/>
  <c r="H122" i="2" s="1"/>
  <c r="H123" i="2" a="1"/>
  <c r="H123" i="2" s="1"/>
  <c r="H118" i="2" a="1"/>
  <c r="H118" i="2" s="1"/>
  <c r="H124" i="2" a="1"/>
  <c r="H124" i="2" s="1"/>
  <c r="H125" i="2" a="1"/>
  <c r="H125" i="2" s="1"/>
  <c r="H126" i="2" a="1"/>
  <c r="H126" i="2" s="1"/>
  <c r="H127" i="2" a="1"/>
  <c r="H127" i="2" s="1"/>
  <c r="H128" i="2" a="1"/>
  <c r="H128" i="2" s="1"/>
  <c r="H129" i="2" a="1"/>
  <c r="H129" i="2" s="1"/>
  <c r="H130" i="2" a="1"/>
  <c r="H130" i="2" s="1"/>
  <c r="H131" i="2" a="1"/>
  <c r="H131" i="2" s="1"/>
  <c r="H133" i="2" a="1"/>
  <c r="H133" i="2" s="1"/>
  <c r="H132" i="2" a="1"/>
  <c r="H132" i="2" s="1"/>
  <c r="H103" i="2" a="1"/>
  <c r="H10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79" i="2" a="1"/>
  <c r="H179" i="2" s="1"/>
  <c r="H180" i="2" a="1"/>
  <c r="H180" i="2" s="1"/>
  <c r="H165" i="2" a="1"/>
  <c r="H165" i="2" s="1"/>
  <c r="H169" i="2" a="1"/>
  <c r="H169" i="2" s="1"/>
  <c r="H171" i="2" a="1"/>
  <c r="H171" i="2" s="1"/>
  <c r="H166" i="2" a="1"/>
  <c r="H166" i="2" s="1"/>
  <c r="H167" i="2" a="1"/>
  <c r="H167" i="2" s="1"/>
  <c r="H168" i="2" a="1"/>
  <c r="H168" i="2" s="1"/>
  <c r="H170" i="2" a="1"/>
  <c r="H170" i="2" s="1"/>
  <c r="H172" i="2" a="1"/>
  <c r="H172" i="2" s="1"/>
  <c r="H173" i="2" a="1"/>
  <c r="H173" i="2" s="1"/>
  <c r="H174" i="2" a="1"/>
  <c r="H174" i="2" s="1"/>
  <c r="H175" i="2" a="1"/>
  <c r="H175" i="2" s="1"/>
  <c r="H176" i="2" a="1"/>
  <c r="H176" i="2" s="1"/>
  <c r="H177" i="2" a="1"/>
  <c r="H177" i="2" s="1"/>
  <c r="H178" i="2" a="1"/>
  <c r="H178"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4" i="2" a="1"/>
  <c r="H194" i="2" s="1"/>
  <c r="H191" i="2" a="1"/>
  <c r="H191" i="2" s="1"/>
  <c r="H192" i="2" a="1"/>
  <c r="H192" i="2" s="1"/>
  <c r="H193" i="2" a="1"/>
  <c r="H193"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8" i="2" a="1"/>
  <c r="H208" i="2" s="1"/>
  <c r="H209" i="2" a="1"/>
  <c r="H209" i="2" s="1"/>
  <c r="H206" i="2" a="1"/>
  <c r="H206" i="2" s="1"/>
  <c r="H210" i="2" a="1"/>
  <c r="H210" i="2" s="1"/>
  <c r="H211" i="2" a="1"/>
  <c r="H211" i="2" s="1"/>
  <c r="H212" i="2" a="1"/>
  <c r="H212" i="2" s="1"/>
  <c r="H214" i="2" a="1"/>
  <c r="H214" i="2" s="1"/>
  <c r="H215" i="2" a="1"/>
  <c r="H215" i="2" s="1"/>
  <c r="H217" i="2" a="1"/>
  <c r="H217" i="2" s="1"/>
  <c r="H218" i="2" a="1"/>
  <c r="H218" i="2" s="1"/>
  <c r="H219" i="2" a="1"/>
  <c r="H219" i="2" s="1"/>
  <c r="H220" i="2" a="1"/>
  <c r="H220" i="2" s="1"/>
  <c r="H216" i="2" a="1"/>
  <c r="H216" i="2" s="1"/>
  <c r="H213" i="2" a="1"/>
  <c r="H213" i="2" s="1"/>
  <c r="H221" i="2" a="1"/>
  <c r="H221" i="2" s="1"/>
  <c r="H222" i="2" a="1"/>
  <c r="H222" i="2" s="1"/>
  <c r="H223" i="2" a="1"/>
  <c r="H223" i="2" s="1"/>
  <c r="H224" i="2" a="1"/>
  <c r="H224" i="2" s="1"/>
  <c r="H225" i="2" a="1"/>
  <c r="H225" i="2" s="1"/>
  <c r="H226" i="2" a="1"/>
  <c r="H226" i="2" s="1"/>
  <c r="H227" i="2" a="1"/>
  <c r="H227" i="2" s="1"/>
  <c r="H229" i="2" a="1"/>
  <c r="H229" i="2" s="1"/>
  <c r="H230" i="2" a="1"/>
  <c r="H230" i="2" s="1"/>
  <c r="H231" i="2" a="1"/>
  <c r="H231" i="2" s="1"/>
  <c r="H232" i="2" a="1"/>
  <c r="H232" i="2" s="1"/>
  <c r="H233" i="2" a="1"/>
  <c r="H233" i="2" s="1"/>
  <c r="H234" i="2" a="1"/>
  <c r="H234" i="2" s="1"/>
  <c r="H228" i="2" a="1"/>
  <c r="H228"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1" i="2" a="1"/>
  <c r="H251" i="2" s="1"/>
  <c r="H252" i="2" a="1"/>
  <c r="H252" i="2" s="1"/>
  <c r="H253" i="2" a="1"/>
  <c r="H253" i="2" s="1"/>
  <c r="H254" i="2" a="1"/>
  <c r="H254" i="2" s="1"/>
  <c r="H255" i="2" a="1"/>
  <c r="H255" i="2" s="1"/>
  <c r="H256" i="2" a="1"/>
  <c r="H256" i="2" s="1"/>
  <c r="H257" i="2" a="1"/>
  <c r="H257" i="2" s="1"/>
  <c r="H258" i="2" a="1"/>
  <c r="H258" i="2" s="1"/>
  <c r="H259" i="2" a="1"/>
  <c r="H259" i="2" s="1"/>
  <c r="H261" i="2" a="1"/>
  <c r="H261" i="2" s="1"/>
  <c r="H262" i="2" a="1"/>
  <c r="H262" i="2" s="1"/>
  <c r="H263" i="2" a="1"/>
  <c r="H263" i="2" s="1"/>
  <c r="H264" i="2" a="1"/>
  <c r="H264" i="2" s="1"/>
  <c r="H265" i="2" a="1"/>
  <c r="H265" i="2" s="1"/>
  <c r="H266" i="2" a="1"/>
  <c r="H266" i="2" s="1"/>
  <c r="H267" i="2" a="1"/>
  <c r="H267" i="2" s="1"/>
  <c r="H250" i="2" a="1"/>
  <c r="H250"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9" i="2" a="1"/>
  <c r="H279" i="2" s="1"/>
  <c r="H278" i="2" a="1"/>
  <c r="H278" i="2" s="1"/>
  <c r="H280" i="2" a="1"/>
  <c r="H280" i="2" s="1"/>
  <c r="H281" i="2" a="1"/>
  <c r="H281" i="2" s="1"/>
  <c r="H282" i="2" a="1"/>
  <c r="H282" i="2" s="1"/>
  <c r="H283" i="2" a="1"/>
  <c r="H283" i="2" s="1"/>
  <c r="H284" i="2" a="1"/>
  <c r="H284" i="2" s="1"/>
  <c r="H285" i="2" a="1"/>
  <c r="H285" i="2" s="1"/>
  <c r="H286" i="2" a="1"/>
  <c r="H286" i="2" s="1"/>
  <c r="H288" i="2" a="1"/>
  <c r="H288" i="2" s="1"/>
  <c r="H289" i="2" a="1"/>
  <c r="H289" i="2" s="1"/>
  <c r="H290" i="2" a="1"/>
  <c r="H290" i="2" s="1"/>
  <c r="H291" i="2" a="1"/>
  <c r="H291" i="2" s="1"/>
  <c r="H292" i="2" a="1"/>
  <c r="H292" i="2" s="1"/>
  <c r="H287" i="2" a="1"/>
  <c r="H287" i="2" s="1"/>
  <c r="H310" i="2" a="1"/>
  <c r="H310"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9" i="2" a="1"/>
  <c r="H309" i="2" s="1"/>
  <c r="H311" i="2" a="1"/>
  <c r="H311" i="2" s="1"/>
  <c r="H260" i="2" a="1"/>
  <c r="H260" i="2" s="1"/>
  <c r="H308" i="2" a="1"/>
  <c r="H308" i="2" s="1"/>
  <c r="H315" i="2" a="1"/>
  <c r="H315" i="2" s="1"/>
  <c r="H312" i="2" a="1"/>
  <c r="H312" i="2" s="1"/>
  <c r="H316" i="2" a="1"/>
  <c r="H316" i="2" s="1"/>
  <c r="H317" i="2" a="1"/>
  <c r="H317" i="2" s="1"/>
  <c r="H318" i="2" a="1"/>
  <c r="H318" i="2" s="1"/>
  <c r="H319" i="2" a="1"/>
  <c r="H319" i="2" s="1"/>
  <c r="H321" i="2" a="1"/>
  <c r="H321" i="2" s="1"/>
  <c r="H322" i="2" a="1"/>
  <c r="H322" i="2" s="1"/>
  <c r="H323" i="2" a="1"/>
  <c r="H323" i="2" s="1"/>
  <c r="H325" i="2" a="1"/>
  <c r="H325" i="2" s="1"/>
  <c r="H326" i="2" a="1"/>
  <c r="H326" i="2" s="1"/>
  <c r="H320" i="2" a="1"/>
  <c r="H320" i="2" s="1"/>
  <c r="H324" i="2" a="1"/>
  <c r="H324" i="2" s="1"/>
  <c r="H327" i="2" a="1"/>
  <c r="H327" i="2" s="1"/>
  <c r="H328" i="2" a="1"/>
  <c r="H328" i="2" s="1"/>
  <c r="H329" i="2" a="1"/>
  <c r="H329" i="2" s="1"/>
  <c r="H330" i="2" a="1"/>
  <c r="H330" i="2" s="1"/>
  <c r="H332" i="2" a="1"/>
  <c r="H332" i="2" s="1"/>
  <c r="H331" i="2" a="1"/>
  <c r="H331" i="2" s="1"/>
  <c r="H333" i="2" a="1"/>
  <c r="H333" i="2" s="1"/>
  <c r="H334" i="2" a="1"/>
  <c r="H334" i="2" s="1"/>
  <c r="H335" i="2" a="1"/>
  <c r="H335" i="2" s="1"/>
  <c r="H336" i="2" a="1"/>
  <c r="H336" i="2" s="1"/>
  <c r="H338" i="2" a="1"/>
  <c r="H338" i="2" s="1"/>
  <c r="H337" i="2" a="1"/>
  <c r="H337" i="2" s="1"/>
  <c r="H339" i="2" a="1"/>
  <c r="H339" i="2" s="1"/>
  <c r="H340" i="2" a="1"/>
  <c r="H340" i="2" s="1"/>
  <c r="H342" i="2" a="1"/>
  <c r="H342" i="2" s="1"/>
  <c r="H343" i="2" a="1"/>
  <c r="H343" i="2" s="1"/>
  <c r="H341" i="2" a="1"/>
  <c r="H341"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5" i="2" a="1"/>
  <c r="H365" i="2" s="1"/>
  <c r="H364" i="2" a="1"/>
  <c r="H364" i="2" s="1"/>
  <c r="H366" i="2" a="1"/>
  <c r="H366" i="2" s="1"/>
  <c r="H367" i="2" a="1"/>
  <c r="H367" i="2" s="1"/>
  <c r="H368" i="2" a="1"/>
  <c r="H368" i="2" s="1"/>
  <c r="H369" i="2" a="1"/>
  <c r="H369" i="2" s="1"/>
  <c r="H370" i="2" a="1"/>
  <c r="H370" i="2" s="1"/>
  <c r="H371" i="2" a="1"/>
  <c r="H371" i="2" s="1"/>
  <c r="H372" i="2" a="1"/>
  <c r="H372" i="2" s="1"/>
  <c r="H374" i="2" a="1"/>
  <c r="H374" i="2" s="1"/>
  <c r="H375" i="2" a="1"/>
  <c r="H375" i="2" s="1"/>
  <c r="H376" i="2" a="1"/>
  <c r="H376" i="2" s="1"/>
  <c r="H377" i="2" a="1"/>
  <c r="H377" i="2" s="1"/>
  <c r="H378" i="2" a="1"/>
  <c r="H378" i="2" s="1"/>
  <c r="H379" i="2" a="1"/>
  <c r="H379" i="2" s="1"/>
  <c r="H380" i="2" a="1"/>
  <c r="H380" i="2" s="1"/>
  <c r="H384" i="2" a="1"/>
  <c r="H384" i="2" s="1"/>
  <c r="H373" i="2" a="1"/>
  <c r="H373" i="2" s="1"/>
  <c r="H381" i="2" a="1"/>
  <c r="H381" i="2" s="1"/>
  <c r="H382" i="2" a="1"/>
  <c r="H382" i="2" s="1"/>
  <c r="H383" i="2" a="1"/>
  <c r="H383"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6" i="2" a="1"/>
  <c r="H426" i="2" s="1"/>
  <c r="H427" i="2" a="1"/>
  <c r="H427" i="2" s="1"/>
  <c r="H428" i="2" a="1"/>
  <c r="H428" i="2" s="1"/>
  <c r="H429" i="2" a="1"/>
  <c r="H429" i="2" s="1"/>
  <c r="H430" i="2" a="1"/>
  <c r="H430" i="2" s="1"/>
  <c r="H425" i="2" a="1"/>
  <c r="H425"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03" i="2" a="1"/>
  <c r="H403" i="2" s="1"/>
  <c r="H313" i="2" a="1"/>
  <c r="H313" i="2" s="1"/>
  <c r="H404" i="2" a="1"/>
  <c r="H404" i="2" s="1"/>
  <c r="H314" i="2" a="1"/>
  <c r="H314" i="2" s="1"/>
  <c r="H405" i="2" a="1"/>
  <c r="H405"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s="1"/>
  <c r="H807" i="2" a="1"/>
  <c r="H807" i="2" s="1"/>
  <c r="H808" i="2" a="1"/>
  <c r="H808" i="2" s="1"/>
  <c r="H809" i="2" a="1"/>
  <c r="H809" i="2" s="1"/>
  <c r="H810" i="2" a="1"/>
  <c r="H810" i="2" s="1"/>
  <c r="H811" i="2" a="1"/>
  <c r="H811" i="2" s="1"/>
  <c r="H812" i="2" a="1"/>
  <c r="H812" i="2" s="1"/>
  <c r="H813" i="2" a="1"/>
  <c r="H813" i="2" s="1"/>
  <c r="H814" i="2" a="1"/>
  <c r="H814" i="2" s="1"/>
  <c r="H815" i="2" a="1"/>
  <c r="H815" i="2" s="1"/>
  <c r="H816" i="2" a="1"/>
  <c r="H816" i="2" s="1"/>
  <c r="H817" i="2" a="1"/>
  <c r="H817" i="2" s="1"/>
  <c r="H818" i="2" a="1"/>
  <c r="H818" i="2" s="1"/>
  <c r="H819" i="2" a="1"/>
  <c r="H819" i="2" s="1"/>
  <c r="H820" i="2" a="1"/>
  <c r="H820" i="2" s="1"/>
  <c r="H821" i="2" a="1"/>
  <c r="H821" i="2" s="1"/>
  <c r="H822" i="2" a="1"/>
  <c r="H822" i="2" s="1"/>
  <c r="H823" i="2" a="1"/>
  <c r="H823" i="2" s="1"/>
  <c r="H824" i="2" a="1"/>
  <c r="H824" i="2" s="1"/>
  <c r="H825" i="2" a="1"/>
  <c r="H825" i="2" s="1"/>
  <c r="H826" i="2" a="1"/>
  <c r="H826" i="2" s="1"/>
  <c r="H827" i="2" a="1"/>
  <c r="H827" i="2" s="1"/>
  <c r="H828" i="2" a="1"/>
  <c r="H828" i="2" s="1"/>
  <c r="H829" i="2" a="1"/>
  <c r="H829" i="2" s="1"/>
  <c r="H830" i="2" a="1"/>
  <c r="H830" i="2" s="1"/>
  <c r="H831" i="2" a="1"/>
  <c r="H831" i="2" s="1"/>
  <c r="H832" i="2" a="1"/>
  <c r="H832" i="2" s="1"/>
  <c r="H833" i="2" a="1"/>
  <c r="H833" i="2" s="1"/>
  <c r="H834" i="2" a="1"/>
  <c r="H834" i="2" s="1"/>
  <c r="H835" i="2" a="1"/>
  <c r="H835" i="2" s="1"/>
  <c r="H836" i="2" a="1"/>
  <c r="H836" i="2" s="1"/>
  <c r="H837" i="2" a="1"/>
  <c r="H837" i="2" s="1"/>
  <c r="H838" i="2" a="1"/>
  <c r="H838" i="2" s="1"/>
  <c r="H839" i="2" a="1"/>
  <c r="H839" i="2" s="1"/>
  <c r="H840" i="2" a="1"/>
  <c r="H840" i="2" s="1"/>
  <c r="H841" i="2" a="1"/>
  <c r="H841" i="2" s="1"/>
  <c r="H842" i="2" a="1"/>
  <c r="H842" i="2" s="1"/>
  <c r="H843" i="2" a="1"/>
  <c r="H843" i="2" s="1"/>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s="1"/>
  <c r="H858" i="2" a="1"/>
  <c r="H858" i="2" s="1"/>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s="1"/>
  <c r="H870" i="2" a="1"/>
  <c r="H870" i="2" s="1"/>
  <c r="H871" i="2" a="1"/>
  <c r="H871" i="2" s="1"/>
  <c r="H872" i="2" a="1"/>
  <c r="H872" i="2" s="1"/>
  <c r="H873" i="2" a="1"/>
  <c r="H873" i="2" s="1"/>
  <c r="H874" i="2" a="1"/>
  <c r="H874" i="2" s="1"/>
  <c r="H875" i="2" a="1"/>
  <c r="H875" i="2" s="1"/>
  <c r="H876" i="2" a="1"/>
  <c r="H876" i="2" s="1"/>
  <c r="H877" i="2" a="1"/>
  <c r="H877" i="2" s="1"/>
  <c r="H878" i="2" a="1"/>
  <c r="H878" i="2" s="1"/>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s="1"/>
  <c r="H907" i="2" a="1"/>
  <c r="H907" i="2" s="1"/>
  <c r="H908" i="2" a="1"/>
  <c r="H908" i="2" s="1"/>
  <c r="H909" i="2" a="1"/>
  <c r="H909" i="2" s="1"/>
  <c r="H910" i="2" a="1"/>
  <c r="H910" i="2" s="1"/>
  <c r="H911" i="2" a="1"/>
  <c r="H911" i="2" s="1"/>
  <c r="H912" i="2" a="1"/>
  <c r="H912" i="2" s="1"/>
  <c r="H913" i="2" a="1"/>
  <c r="H913" i="2" s="1"/>
  <c r="H914" i="2" a="1"/>
  <c r="H914" i="2" s="1"/>
  <c r="H915" i="2" a="1"/>
  <c r="H915" i="2" s="1"/>
  <c r="H916" i="2" a="1"/>
  <c r="H916" i="2" s="1"/>
  <c r="H917" i="2" a="1"/>
  <c r="H917" i="2" s="1"/>
  <c r="H918" i="2" a="1"/>
  <c r="H918" i="2" s="1"/>
  <c r="H919" i="2" a="1"/>
  <c r="H919" i="2" s="1"/>
  <c r="H920" i="2" a="1"/>
  <c r="H920" i="2" s="1"/>
  <c r="H921" i="2" a="1"/>
  <c r="H921" i="2" s="1"/>
  <c r="H922" i="2" a="1"/>
  <c r="H922" i="2" s="1"/>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s="1"/>
  <c r="H936" i="2" a="1"/>
  <c r="H936" i="2" s="1"/>
  <c r="H937" i="2" a="1"/>
  <c r="H937" i="2" s="1"/>
  <c r="H938" i="2" a="1"/>
  <c r="H938" i="2" s="1"/>
  <c r="H939" i="2" a="1"/>
  <c r="H939" i="2" s="1"/>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s="1"/>
  <c r="H958" i="2" a="1"/>
  <c r="H958" i="2" s="1"/>
  <c r="H959" i="2" a="1"/>
  <c r="H959" i="2" s="1"/>
  <c r="H960" i="2" a="1"/>
  <c r="H960" i="2" s="1"/>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s="1"/>
  <c r="H975" i="2" a="1"/>
  <c r="H975" i="2" s="1"/>
  <c r="H976" i="2" a="1"/>
  <c r="H976" i="2" s="1"/>
  <c r="H977" i="2" a="1"/>
  <c r="H977" i="2" s="1"/>
  <c r="H978" i="2" a="1"/>
  <c r="H978" i="2" s="1"/>
  <c r="H979" i="2" a="1"/>
  <c r="H979" i="2" s="1"/>
  <c r="H980" i="2" a="1"/>
  <c r="H980" i="2" s="1"/>
  <c r="H981" i="2" a="1"/>
  <c r="H981" i="2" s="1"/>
  <c r="H982" i="2" a="1"/>
  <c r="H982" i="2" s="1"/>
  <c r="H983" i="2" a="1"/>
  <c r="H983" i="2" s="1"/>
  <c r="H984" i="2" a="1"/>
  <c r="H984" i="2" s="1"/>
  <c r="H985" i="2" a="1"/>
  <c r="H985" i="2" s="1"/>
  <c r="H986" i="2" a="1"/>
  <c r="H986" i="2" s="1"/>
  <c r="H987" i="2" a="1"/>
  <c r="H987" i="2" s="1"/>
  <c r="H988" i="2" a="1"/>
  <c r="H988" i="2" s="1"/>
  <c r="H989" i="2" a="1"/>
  <c r="H989" i="2" s="1"/>
  <c r="H990" i="2" a="1"/>
  <c r="H990" i="2" s="1"/>
  <c r="H991" i="2" a="1"/>
  <c r="H991" i="2" s="1"/>
  <c r="H992" i="2" a="1"/>
  <c r="H992" i="2" s="1"/>
  <c r="H993" i="2" a="1"/>
  <c r="H993" i="2" s="1"/>
  <c r="H994" i="2" a="1"/>
  <c r="H994" i="2" s="1"/>
  <c r="H995" i="2" a="1"/>
  <c r="H995" i="2" s="1"/>
  <c r="H996" i="2" a="1"/>
  <c r="H996" i="2" s="1"/>
  <c r="H997" i="2" a="1"/>
  <c r="H997" i="2" s="1"/>
  <c r="H998" i="2" a="1"/>
  <c r="H998" i="2" s="1"/>
  <c r="H999" i="2" a="1"/>
  <c r="H999" i="2" s="1"/>
  <c r="H1000" i="2" a="1"/>
  <c r="H1000" i="2" s="1"/>
  <c r="H1001" i="2" a="1"/>
  <c r="H1001" i="2" s="1"/>
  <c r="H1002" i="2" a="1"/>
  <c r="H1002" i="2" s="1"/>
  <c r="H1003" i="2" a="1"/>
  <c r="H1003" i="2" s="1"/>
  <c r="H1004" i="2" a="1"/>
  <c r="H1004" i="2" s="1"/>
  <c r="H1005" i="2" a="1"/>
  <c r="H1005" i="2" s="1"/>
  <c r="H1006" i="2" a="1"/>
  <c r="H1006" i="2" s="1"/>
  <c r="H1007" i="2" a="1"/>
  <c r="H1007" i="2" s="1"/>
  <c r="H1008" i="2" a="1"/>
  <c r="H1008" i="2" s="1"/>
  <c r="H1009" i="2" a="1"/>
  <c r="H1009" i="2" s="1"/>
  <c r="H1010" i="2" a="1"/>
  <c r="H1010" i="2" s="1"/>
  <c r="H1011" i="2" a="1"/>
  <c r="H1011" i="2" s="1"/>
  <c r="H1012" i="2" a="1"/>
  <c r="H1012" i="2" s="1"/>
  <c r="H1013" i="2" a="1"/>
  <c r="H1013" i="2" s="1"/>
  <c r="H1014" i="2" a="1"/>
  <c r="H1014" i="2" s="1"/>
  <c r="H1015" i="2" a="1"/>
  <c r="H1015" i="2" s="1"/>
  <c r="H1016" i="2" a="1"/>
  <c r="H1016" i="2" s="1"/>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s="1"/>
  <c r="H1027" i="2" a="1"/>
  <c r="H1027" i="2" s="1"/>
  <c r="H1028" i="2" a="1"/>
  <c r="H1028" i="2" s="1"/>
  <c r="H1029" i="2" a="1"/>
  <c r="H1029" i="2" s="1"/>
  <c r="H1030" i="2" a="1"/>
  <c r="H1030" i="2" s="1"/>
  <c r="H1031" i="2" a="1"/>
  <c r="H1031" i="2" s="1"/>
  <c r="H1032" i="2" a="1"/>
  <c r="H1032" i="2" s="1"/>
  <c r="H1033" i="2" a="1"/>
  <c r="H1033" i="2" s="1"/>
  <c r="H1034" i="2" a="1"/>
  <c r="H1034" i="2" s="1"/>
  <c r="H1035" i="2" a="1"/>
  <c r="H1035" i="2" s="1"/>
  <c r="H1036" i="2" a="1"/>
  <c r="H1036" i="2" s="1"/>
  <c r="H1037" i="2" a="1"/>
  <c r="H1037" i="2" s="1"/>
  <c r="H1038" i="2" a="1"/>
  <c r="H1038" i="2" s="1"/>
  <c r="H1039" i="2" a="1"/>
  <c r="H1039" i="2" s="1"/>
  <c r="H1040" i="2" a="1"/>
  <c r="H1040" i="2" s="1"/>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s="1"/>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s="1"/>
  <c r="H1069" i="2" a="1"/>
  <c r="H1069" i="2" s="1"/>
  <c r="H1070" i="2" a="1"/>
  <c r="H1070" i="2" s="1"/>
  <c r="H1071" i="2" a="1"/>
  <c r="H1071" i="2" s="1"/>
  <c r="H1072" i="2" a="1"/>
  <c r="H1072" i="2" s="1"/>
  <c r="H1073" i="2" a="1"/>
  <c r="H1073" i="2" s="1"/>
  <c r="H1074" i="2" a="1"/>
  <c r="H1074" i="2" s="1"/>
  <c r="H1075" i="2" a="1"/>
  <c r="H1075" i="2" s="1"/>
  <c r="H1076" i="2" a="1"/>
  <c r="H1076" i="2" s="1"/>
  <c r="H1077" i="2" a="1"/>
  <c r="H1077" i="2" s="1"/>
  <c r="H1078" i="2" a="1"/>
  <c r="H1078" i="2" s="1"/>
  <c r="H1079" i="2" a="1"/>
  <c r="H1079" i="2" s="1"/>
  <c r="H1080" i="2" a="1"/>
  <c r="H1080" i="2" s="1"/>
  <c r="H1081" i="2" a="1"/>
  <c r="H1081" i="2" s="1"/>
  <c r="H1082" i="2" a="1"/>
  <c r="H1082" i="2" s="1"/>
  <c r="H1083" i="2" a="1"/>
  <c r="H1083" i="2" s="1"/>
  <c r="H1084" i="2" a="1"/>
  <c r="H1084" i="2" s="1"/>
  <c r="H1085" i="2" a="1"/>
  <c r="H1085" i="2" s="1"/>
  <c r="H1086" i="2" a="1"/>
  <c r="H1086" i="2" s="1"/>
  <c r="H1087" i="2" a="1"/>
  <c r="H1087" i="2" s="1"/>
  <c r="H1088" i="2" a="1"/>
  <c r="H1088" i="2" s="1"/>
  <c r="H1089" i="2" a="1"/>
  <c r="H1089" i="2" s="1"/>
  <c r="H1090" i="2" a="1"/>
  <c r="H1090" i="2" s="1"/>
  <c r="H1091" i="2" a="1"/>
  <c r="H1091" i="2" s="1"/>
  <c r="H1092" i="2" a="1"/>
  <c r="H1092" i="2" s="1"/>
  <c r="H1093" i="2" a="1"/>
  <c r="H1093" i="2" s="1"/>
  <c r="H1094" i="2" a="1"/>
  <c r="H1094" i="2" s="1"/>
  <c r="H1095" i="2" a="1"/>
  <c r="H1095" i="2" s="1"/>
  <c r="H1096" i="2" a="1"/>
  <c r="H1096" i="2" s="1"/>
  <c r="H1097" i="2" a="1"/>
  <c r="H1097" i="2" s="1"/>
  <c r="H1098" i="2" a="1"/>
  <c r="H1098" i="2" s="1"/>
  <c r="H1099" i="2" a="1"/>
  <c r="H1099" i="2" s="1"/>
  <c r="H1100" i="2" a="1"/>
  <c r="H1100" i="2" s="1"/>
  <c r="H1101" i="2" a="1"/>
  <c r="H1101" i="2" s="1"/>
  <c r="H1102" i="2" a="1"/>
  <c r="H1102" i="2" s="1"/>
  <c r="H1103" i="2" a="1"/>
  <c r="H1103" i="2" s="1"/>
  <c r="H1104" i="2" a="1"/>
  <c r="H1104" i="2" s="1"/>
  <c r="H1105" i="2" a="1"/>
  <c r="H1105" i="2" s="1"/>
  <c r="H1106" i="2" a="1"/>
  <c r="H1106" i="2" s="1"/>
  <c r="H1107" i="2" a="1"/>
  <c r="H1107" i="2" s="1"/>
  <c r="H1108" i="2" a="1"/>
  <c r="H1108" i="2" s="1"/>
  <c r="H1109" i="2" a="1"/>
  <c r="H1109" i="2" s="1"/>
  <c r="H1110" i="2" a="1"/>
  <c r="H1110" i="2" s="1"/>
  <c r="H1111" i="2" a="1"/>
  <c r="H1111" i="2" s="1"/>
  <c r="H1112" i="2" a="1"/>
  <c r="H1112" i="2" s="1"/>
  <c r="H1113" i="2" a="1"/>
  <c r="H1113" i="2" s="1"/>
  <c r="H1114" i="2" a="1"/>
  <c r="H1114" i="2" s="1"/>
  <c r="H1115" i="2" a="1"/>
  <c r="H1115" i="2" s="1"/>
  <c r="H1116" i="2" a="1"/>
  <c r="H1116" i="2" s="1"/>
  <c r="H1117" i="2" a="1"/>
  <c r="H1117" i="2" s="1"/>
  <c r="H1118" i="2" a="1"/>
  <c r="H1118" i="2" s="1"/>
  <c r="H1119" i="2" a="1"/>
  <c r="H1119" i="2" s="1"/>
  <c r="H1120" i="2" a="1"/>
  <c r="H1120" i="2" s="1"/>
  <c r="H1121" i="2" a="1"/>
  <c r="H1121" i="2" s="1"/>
  <c r="H1122" i="2" a="1"/>
  <c r="H1122" i="2" s="1"/>
  <c r="H1123" i="2" a="1"/>
  <c r="H1123" i="2" s="1"/>
  <c r="H1124" i="2" a="1"/>
  <c r="H1124" i="2" s="1"/>
  <c r="H1125" i="2" a="1"/>
  <c r="H1125" i="2" s="1"/>
  <c r="H1126" i="2" a="1"/>
  <c r="H1126" i="2" s="1"/>
  <c r="H1127" i="2" a="1"/>
  <c r="H1127" i="2" s="1"/>
  <c r="H1128" i="2" a="1"/>
  <c r="H1128" i="2" s="1"/>
  <c r="H1129" i="2" a="1"/>
  <c r="H1129" i="2" s="1"/>
  <c r="H1130" i="2" a="1"/>
  <c r="H1130" i="2" s="1"/>
  <c r="H1131" i="2" a="1"/>
  <c r="H1131" i="2" s="1"/>
  <c r="H1132" i="2" a="1"/>
  <c r="H1132" i="2" s="1"/>
  <c r="H1133" i="2" a="1"/>
  <c r="H1133" i="2" s="1"/>
  <c r="H1134" i="2" a="1"/>
  <c r="H1134" i="2" s="1"/>
  <c r="H1135" i="2" a="1"/>
  <c r="H1135" i="2" s="1"/>
  <c r="H1136" i="2" a="1"/>
  <c r="H1136" i="2" s="1"/>
  <c r="H1137" i="2" a="1"/>
  <c r="H1137" i="2" s="1"/>
  <c r="H1138" i="2" a="1"/>
  <c r="H1138" i="2" s="1"/>
  <c r="H1139" i="2" a="1"/>
  <c r="H1139" i="2" s="1"/>
  <c r="H1140" i="2" a="1"/>
  <c r="H1140" i="2" s="1"/>
  <c r="H1141" i="2" a="1"/>
  <c r="H1141" i="2" s="1"/>
  <c r="H1142" i="2" a="1"/>
  <c r="H1142" i="2" s="1"/>
  <c r="H1143" i="2" a="1"/>
  <c r="H1143" i="2" s="1"/>
  <c r="H1144" i="2" a="1"/>
  <c r="H1144" i="2" s="1"/>
  <c r="H1145" i="2" a="1"/>
  <c r="H1145" i="2" s="1"/>
  <c r="H1146" i="2" a="1"/>
  <c r="H1146" i="2" s="1"/>
  <c r="H1147" i="2" a="1"/>
  <c r="H1147" i="2" s="1"/>
  <c r="H1148" i="2" a="1"/>
  <c r="H1148" i="2" s="1"/>
  <c r="H1149" i="2" a="1"/>
  <c r="H1149" i="2" s="1"/>
  <c r="H1150" i="2" a="1"/>
  <c r="H1150" i="2" s="1"/>
  <c r="H1151" i="2" a="1"/>
  <c r="H1151" i="2" s="1"/>
  <c r="H1152" i="2" a="1"/>
  <c r="H1152" i="2" s="1"/>
  <c r="H1153" i="2" a="1"/>
  <c r="H1153" i="2" s="1"/>
  <c r="H1154" i="2" a="1"/>
  <c r="H1154" i="2" s="1"/>
  <c r="H1155" i="2" a="1"/>
  <c r="H1155" i="2" s="1"/>
  <c r="H1156" i="2" a="1"/>
  <c r="H1156" i="2" s="1"/>
  <c r="H1157" i="2" a="1"/>
  <c r="H1157" i="2" s="1"/>
  <c r="H1158" i="2" a="1"/>
  <c r="H1158" i="2" s="1"/>
  <c r="H1159" i="2" a="1"/>
  <c r="H1159" i="2" s="1"/>
  <c r="H1160" i="2" a="1"/>
  <c r="H1160" i="2" s="1"/>
  <c r="H1161" i="2" a="1"/>
  <c r="H1161" i="2" s="1"/>
  <c r="H1162" i="2" a="1"/>
  <c r="H1162" i="2" s="1"/>
  <c r="H1163" i="2" a="1"/>
  <c r="H1163" i="2" s="1"/>
  <c r="H1164" i="2" a="1"/>
  <c r="H1164" i="2" s="1"/>
  <c r="H1165" i="2" a="1"/>
  <c r="H1165" i="2" s="1"/>
  <c r="H1166" i="2" a="1"/>
  <c r="H1166" i="2" s="1"/>
  <c r="H1167" i="2" a="1"/>
  <c r="H1167" i="2" s="1"/>
  <c r="H1168" i="2" a="1"/>
  <c r="H1168" i="2" s="1"/>
  <c r="H1169" i="2" a="1"/>
  <c r="H1169" i="2" s="1"/>
  <c r="H1170" i="2" a="1"/>
  <c r="H1170" i="2" s="1"/>
  <c r="H1171" i="2" a="1"/>
  <c r="H1171" i="2" s="1"/>
  <c r="H1172" i="2" a="1"/>
  <c r="H1172" i="2" s="1"/>
  <c r="H1173" i="2" a="1"/>
  <c r="H1173" i="2" s="1"/>
  <c r="H1174" i="2" a="1"/>
  <c r="H1174" i="2" s="1"/>
  <c r="H1175" i="2" a="1"/>
  <c r="H1175" i="2" s="1"/>
  <c r="H1176" i="2" a="1"/>
  <c r="H1176" i="2" s="1"/>
  <c r="H1177" i="2" a="1"/>
  <c r="H1177" i="2" s="1"/>
  <c r="H1178" i="2" a="1"/>
  <c r="H1178" i="2" s="1"/>
  <c r="H1179" i="2" a="1"/>
  <c r="H1179" i="2" s="1"/>
  <c r="H1180" i="2" a="1"/>
  <c r="H1180" i="2" s="1"/>
  <c r="H1181" i="2" a="1"/>
  <c r="H1181" i="2" s="1"/>
  <c r="H1182" i="2" a="1"/>
  <c r="H1182" i="2" s="1"/>
  <c r="H1183" i="2" a="1"/>
  <c r="H1183" i="2" s="1"/>
  <c r="H1184" i="2" a="1"/>
  <c r="H1184" i="2" s="1"/>
  <c r="H1185" i="2" a="1"/>
  <c r="H1185" i="2" s="1"/>
  <c r="H1186" i="2" a="1"/>
  <c r="H1186" i="2" s="1"/>
  <c r="H1187" i="2" a="1"/>
  <c r="H1187" i="2" s="1"/>
  <c r="H1188" i="2" a="1"/>
  <c r="H1188" i="2" s="1"/>
  <c r="H1189" i="2" a="1"/>
  <c r="H1189" i="2" s="1"/>
  <c r="H1190" i="2" a="1"/>
  <c r="H1190" i="2" s="1"/>
  <c r="H1191" i="2" a="1"/>
  <c r="H1191" i="2" s="1"/>
  <c r="H1192" i="2" a="1"/>
  <c r="H1192" i="2" s="1"/>
  <c r="H1193" i="2" a="1"/>
  <c r="H1193" i="2" s="1"/>
  <c r="H1194" i="2" a="1"/>
  <c r="H1194" i="2" s="1"/>
  <c r="H1195" i="2" a="1"/>
  <c r="H1195" i="2" s="1"/>
  <c r="H1196" i="2" a="1"/>
  <c r="H1196" i="2" s="1"/>
  <c r="H1197" i="2" a="1"/>
  <c r="H1197" i="2" s="1"/>
  <c r="H1198" i="2" a="1"/>
  <c r="H1198" i="2" s="1"/>
  <c r="H1199" i="2" a="1"/>
  <c r="H1199" i="2" s="1"/>
  <c r="H1200" i="2" a="1"/>
  <c r="H1200" i="2" s="1"/>
  <c r="H1201" i="2" a="1"/>
  <c r="H1201" i="2" s="1"/>
  <c r="H1202" i="2" a="1"/>
  <c r="H1202" i="2" s="1"/>
  <c r="H1203" i="2" a="1"/>
  <c r="H1203" i="2" s="1"/>
  <c r="H1204" i="2" a="1"/>
  <c r="H1204" i="2" s="1"/>
  <c r="H1205" i="2" a="1"/>
  <c r="H1205" i="2" s="1"/>
  <c r="H1206" i="2" a="1"/>
  <c r="H1206" i="2" s="1"/>
  <c r="H1207" i="2" a="1"/>
  <c r="H1207" i="2" s="1"/>
  <c r="H1208" i="2" a="1"/>
  <c r="H1208" i="2" s="1"/>
  <c r="H1209" i="2" a="1"/>
  <c r="H1209" i="2" s="1"/>
  <c r="H1210" i="2" a="1"/>
  <c r="H1210" i="2" s="1"/>
  <c r="H1211" i="2" a="1"/>
  <c r="H1211" i="2" s="1"/>
  <c r="H1212" i="2" a="1"/>
  <c r="H1212" i="2" s="1"/>
  <c r="H1213" i="2" a="1"/>
  <c r="H1213" i="2" s="1"/>
  <c r="H1214" i="2" a="1"/>
  <c r="H1214" i="2" s="1"/>
  <c r="H1215" i="2" a="1"/>
  <c r="H1215" i="2" s="1"/>
  <c r="H1216" i="2" a="1"/>
  <c r="H1216" i="2" s="1"/>
  <c r="H1217" i="2" a="1"/>
  <c r="H1217" i="2" s="1"/>
  <c r="H1218" i="2" a="1"/>
  <c r="H1218" i="2" s="1"/>
  <c r="H1219" i="2" a="1"/>
  <c r="H1219" i="2" s="1"/>
  <c r="H1220" i="2" a="1"/>
  <c r="H1220" i="2" s="1"/>
  <c r="H1221" i="2" a="1"/>
  <c r="H1221" i="2" s="1"/>
  <c r="H1222" i="2" a="1"/>
  <c r="H1222" i="2" s="1"/>
  <c r="H1223" i="2" a="1"/>
  <c r="H1223" i="2" s="1"/>
  <c r="H1224" i="2" a="1"/>
  <c r="H1224" i="2" s="1"/>
  <c r="H1225" i="2" a="1"/>
  <c r="H1225" i="2" s="1"/>
  <c r="H1226" i="2" a="1"/>
  <c r="H1226" i="2" s="1"/>
  <c r="H1227" i="2" a="1"/>
  <c r="H1227" i="2" s="1"/>
  <c r="H1228" i="2" a="1"/>
  <c r="H1228" i="2" s="1"/>
  <c r="H1229" i="2" a="1"/>
  <c r="H1229" i="2" s="1"/>
  <c r="H1230" i="2" a="1"/>
  <c r="H1230" i="2" s="1"/>
  <c r="H1231" i="2" a="1"/>
  <c r="H1231" i="2" s="1"/>
  <c r="H1232" i="2" a="1"/>
  <c r="H1232" i="2" s="1"/>
  <c r="H1233" i="2" a="1"/>
  <c r="H1233" i="2" s="1"/>
  <c r="H1234" i="2" a="1"/>
  <c r="H1234" i="2" s="1"/>
  <c r="H1235" i="2" a="1"/>
  <c r="H1235" i="2" s="1"/>
  <c r="H1236" i="2" a="1"/>
  <c r="H1236" i="2" s="1"/>
  <c r="H1237" i="2" a="1"/>
  <c r="H1237" i="2" s="1"/>
  <c r="H1238" i="2" a="1"/>
  <c r="H1238" i="2" s="1"/>
  <c r="H1239" i="2" a="1"/>
  <c r="H1239" i="2" s="1"/>
  <c r="H1240" i="2" a="1"/>
  <c r="H1240" i="2" s="1"/>
  <c r="H1241" i="2" a="1"/>
  <c r="H1241" i="2" s="1"/>
  <c r="H1242" i="2" a="1"/>
  <c r="H1242" i="2" s="1"/>
  <c r="H1243" i="2" a="1"/>
  <c r="H1243" i="2" s="1"/>
  <c r="H1244" i="2" a="1"/>
  <c r="H1244" i="2" s="1"/>
  <c r="H1245" i="2" a="1"/>
  <c r="H1245" i="2" s="1"/>
  <c r="H1246" i="2" a="1"/>
  <c r="H1246" i="2" s="1"/>
  <c r="H1247" i="2" a="1"/>
  <c r="H1247" i="2" s="1"/>
  <c r="H1248" i="2" a="1"/>
  <c r="H1248" i="2" s="1"/>
  <c r="H1249" i="2" a="1"/>
  <c r="H1249" i="2" s="1"/>
  <c r="H1250" i="2" a="1"/>
  <c r="H1250" i="2" s="1"/>
  <c r="H1251" i="2" a="1"/>
  <c r="H1251" i="2" s="1"/>
  <c r="H1252" i="2" a="1"/>
  <c r="H1252" i="2" s="1"/>
  <c r="H1253" i="2" a="1"/>
  <c r="H1253" i="2" s="1"/>
  <c r="H1254" i="2" a="1"/>
  <c r="H1254" i="2" s="1"/>
  <c r="H1255" i="2" a="1"/>
  <c r="H1255" i="2" s="1"/>
  <c r="H1256" i="2" a="1"/>
  <c r="H1256" i="2" s="1"/>
  <c r="H1257" i="2" a="1"/>
  <c r="H1257" i="2" s="1"/>
  <c r="H1258" i="2" a="1"/>
  <c r="H1258" i="2" s="1"/>
  <c r="H1259" i="2" a="1"/>
  <c r="H1259" i="2" s="1"/>
  <c r="H1260" i="2" a="1"/>
  <c r="H1260" i="2" s="1"/>
  <c r="H1261" i="2" a="1"/>
  <c r="H1261" i="2" s="1"/>
  <c r="H1262" i="2" a="1"/>
  <c r="H1262" i="2" s="1"/>
  <c r="H1263" i="2" a="1"/>
  <c r="H1263" i="2" s="1"/>
  <c r="H1264" i="2" a="1"/>
  <c r="H1264" i="2" s="1"/>
  <c r="H1265" i="2" a="1"/>
  <c r="H1265" i="2" s="1"/>
  <c r="H1266" i="2" a="1"/>
  <c r="H1266" i="2" s="1"/>
  <c r="H1267" i="2" a="1"/>
  <c r="H1267" i="2" s="1"/>
  <c r="H1268" i="2" a="1"/>
  <c r="H1268" i="2" s="1"/>
  <c r="H1269" i="2" a="1"/>
  <c r="H1269" i="2" s="1"/>
  <c r="H1270" i="2" a="1"/>
  <c r="H1270" i="2" s="1"/>
  <c r="H1271" i="2" a="1"/>
  <c r="H1271" i="2" s="1"/>
  <c r="H1272" i="2" a="1"/>
  <c r="H1272" i="2" s="1"/>
  <c r="H1273" i="2" a="1"/>
  <c r="H1273" i="2" s="1"/>
  <c r="H1274" i="2" a="1"/>
  <c r="H1274" i="2" s="1"/>
  <c r="H1275" i="2" a="1"/>
  <c r="H1275" i="2" s="1"/>
  <c r="H1276" i="2" a="1"/>
  <c r="H1276" i="2" s="1"/>
  <c r="H1277" i="2" a="1"/>
  <c r="H1277" i="2" s="1"/>
  <c r="H1278" i="2" a="1"/>
  <c r="H1278" i="2" s="1"/>
  <c r="H1279" i="2" a="1"/>
  <c r="H1279" i="2" s="1"/>
  <c r="H1280" i="2" a="1"/>
  <c r="H1280" i="2" s="1"/>
  <c r="H1281" i="2" a="1"/>
  <c r="H1281" i="2" s="1"/>
  <c r="H1282" i="2" a="1"/>
  <c r="H1282" i="2" s="1"/>
  <c r="H1283" i="2" a="1"/>
  <c r="H1283" i="2" s="1"/>
  <c r="H1284" i="2" a="1"/>
  <c r="H1284" i="2" s="1"/>
  <c r="H1285" i="2" a="1"/>
  <c r="H1285" i="2" s="1"/>
  <c r="H1286" i="2" a="1"/>
  <c r="H1286" i="2" s="1"/>
  <c r="H1287" i="2" a="1"/>
  <c r="H1287" i="2" s="1"/>
  <c r="H1288" i="2" a="1"/>
  <c r="H1288" i="2" s="1"/>
  <c r="H1289" i="2" a="1"/>
  <c r="H1289" i="2" s="1"/>
  <c r="H1290" i="2" a="1"/>
  <c r="H1290" i="2" s="1"/>
  <c r="H1291" i="2" a="1"/>
  <c r="H1291" i="2" s="1"/>
  <c r="H1292" i="2" a="1"/>
  <c r="H1292" i="2" s="1"/>
  <c r="H1293" i="2" a="1"/>
  <c r="H1293" i="2" s="1"/>
  <c r="H1294" i="2" a="1"/>
  <c r="H1294" i="2" s="1"/>
  <c r="H1295" i="2" a="1"/>
  <c r="H1295" i="2" s="1"/>
  <c r="H1296" i="2" a="1"/>
  <c r="H1296" i="2" s="1"/>
  <c r="H1297" i="2" a="1"/>
  <c r="H1297" i="2" s="1"/>
  <c r="H1298" i="2" a="1"/>
  <c r="H1298" i="2" s="1"/>
  <c r="H1299" i="2" a="1"/>
  <c r="H1299" i="2" s="1"/>
  <c r="H1300" i="2" a="1"/>
  <c r="H1300" i="2" s="1"/>
  <c r="H1301" i="2" a="1"/>
  <c r="H1301" i="2" s="1"/>
  <c r="H1302" i="2" a="1"/>
  <c r="H1302" i="2" s="1"/>
  <c r="H1303" i="2" a="1"/>
  <c r="H1303" i="2" s="1"/>
  <c r="H1304" i="2" a="1"/>
  <c r="H1304" i="2" s="1"/>
  <c r="H1305" i="2" a="1"/>
  <c r="H1305" i="2" s="1"/>
  <c r="H1306" i="2" a="1"/>
  <c r="H1306" i="2" s="1"/>
  <c r="H1307" i="2" a="1"/>
  <c r="H1307" i="2" s="1"/>
  <c r="H1308" i="2" a="1"/>
  <c r="H1308" i="2" s="1"/>
  <c r="H1309" i="2" a="1"/>
  <c r="H1309" i="2" s="1"/>
  <c r="H1310" i="2" a="1"/>
  <c r="H1310" i="2" s="1"/>
  <c r="H1311" i="2" a="1"/>
  <c r="H1311" i="2" s="1"/>
  <c r="H1312" i="2" a="1"/>
  <c r="H1312" i="2" s="1"/>
  <c r="H1313" i="2" a="1"/>
  <c r="H1313" i="2" s="1"/>
  <c r="H1314" i="2" a="1"/>
  <c r="H1314" i="2" s="1"/>
  <c r="H1315" i="2" a="1"/>
  <c r="H1315" i="2" s="1"/>
  <c r="H1316" i="2" a="1"/>
  <c r="H1316" i="2" s="1"/>
  <c r="H1317" i="2" a="1"/>
  <c r="H1317" i="2" s="1"/>
  <c r="H1318" i="2" a="1"/>
  <c r="H1318" i="2" s="1"/>
  <c r="H1319" i="2" a="1"/>
  <c r="H1319" i="2" s="1"/>
  <c r="H1320" i="2" a="1"/>
  <c r="H1320" i="2" s="1"/>
  <c r="H1321" i="2" a="1"/>
  <c r="H1321" i="2" s="1"/>
  <c r="H1322" i="2" a="1"/>
  <c r="H1322" i="2" s="1"/>
  <c r="H1323" i="2" a="1"/>
  <c r="H1323" i="2" s="1"/>
  <c r="H1324" i="2" a="1"/>
  <c r="H1324" i="2" s="1"/>
  <c r="H1325" i="2" a="1"/>
  <c r="H1325" i="2" s="1"/>
  <c r="H1326" i="2" a="1"/>
  <c r="H1326" i="2" s="1"/>
  <c r="H1327" i="2" a="1"/>
  <c r="H1327" i="2" s="1"/>
  <c r="H1328" i="2" a="1"/>
  <c r="H1328" i="2" s="1"/>
  <c r="H1329" i="2" a="1"/>
  <c r="H1329" i="2" s="1"/>
  <c r="H1330" i="2" a="1"/>
  <c r="H1330" i="2" s="1"/>
  <c r="H1331" i="2" a="1"/>
  <c r="H1331" i="2" s="1"/>
  <c r="H1332" i="2" a="1"/>
  <c r="H1332" i="2" s="1"/>
  <c r="H1333" i="2" a="1"/>
  <c r="H1333" i="2" s="1"/>
  <c r="H1334" i="2" a="1"/>
  <c r="H1334" i="2" s="1"/>
  <c r="I122" i="2"/>
  <c r="I123" i="2"/>
  <c r="I118" i="2"/>
  <c r="I124" i="2"/>
  <c r="I125" i="2"/>
  <c r="I126" i="2"/>
  <c r="I127" i="2"/>
  <c r="I128" i="2"/>
  <c r="I129" i="2"/>
  <c r="I130" i="2"/>
  <c r="I131" i="2"/>
  <c r="I133" i="2"/>
  <c r="I132" i="2"/>
  <c r="I10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79" i="2"/>
  <c r="I180" i="2"/>
  <c r="I165" i="2"/>
  <c r="I169" i="2"/>
  <c r="I171" i="2"/>
  <c r="I166" i="2"/>
  <c r="I167" i="2"/>
  <c r="I168" i="2"/>
  <c r="I170" i="2"/>
  <c r="I172" i="2"/>
  <c r="I173" i="2"/>
  <c r="I174" i="2"/>
  <c r="I175" i="2"/>
  <c r="I176" i="2"/>
  <c r="I177" i="2"/>
  <c r="I178" i="2"/>
  <c r="I181" i="2"/>
  <c r="I182" i="2"/>
  <c r="I183" i="2"/>
  <c r="I184" i="2"/>
  <c r="I185" i="2"/>
  <c r="I186" i="2"/>
  <c r="I187" i="2"/>
  <c r="I188" i="2"/>
  <c r="I189" i="2"/>
  <c r="I190" i="2"/>
  <c r="I194" i="2"/>
  <c r="I191" i="2"/>
  <c r="I192" i="2"/>
  <c r="I193" i="2"/>
  <c r="I195" i="2"/>
  <c r="I196" i="2"/>
  <c r="I197" i="2"/>
  <c r="I198" i="2"/>
  <c r="I199" i="2"/>
  <c r="I200" i="2"/>
  <c r="I201" i="2"/>
  <c r="I202" i="2"/>
  <c r="I203" i="2"/>
  <c r="I204" i="2"/>
  <c r="I205" i="2"/>
  <c r="I208" i="2"/>
  <c r="I209" i="2"/>
  <c r="I206" i="2"/>
  <c r="I210" i="2"/>
  <c r="I211" i="2"/>
  <c r="I212" i="2"/>
  <c r="I214" i="2"/>
  <c r="I215" i="2"/>
  <c r="I217" i="2"/>
  <c r="I218" i="2"/>
  <c r="I219" i="2"/>
  <c r="I220" i="2"/>
  <c r="I216" i="2"/>
  <c r="I213" i="2"/>
  <c r="I221" i="2"/>
  <c r="I222" i="2"/>
  <c r="I223" i="2"/>
  <c r="I224" i="2"/>
  <c r="I225" i="2"/>
  <c r="I226" i="2"/>
  <c r="I227" i="2"/>
  <c r="I229" i="2"/>
  <c r="I230" i="2"/>
  <c r="I231" i="2"/>
  <c r="I232" i="2"/>
  <c r="I233" i="2"/>
  <c r="I234" i="2"/>
  <c r="I228" i="2"/>
  <c r="I235" i="2"/>
  <c r="I236" i="2"/>
  <c r="I237" i="2"/>
  <c r="I238" i="2"/>
  <c r="I239" i="2"/>
  <c r="I240" i="2"/>
  <c r="I241" i="2"/>
  <c r="I242" i="2"/>
  <c r="I243" i="2"/>
  <c r="I244" i="2"/>
  <c r="I245" i="2"/>
  <c r="I246" i="2"/>
  <c r="I247" i="2"/>
  <c r="I248" i="2"/>
  <c r="I249" i="2"/>
  <c r="I251" i="2"/>
  <c r="I252" i="2"/>
  <c r="I253" i="2"/>
  <c r="I254" i="2"/>
  <c r="I255" i="2"/>
  <c r="I256" i="2"/>
  <c r="I257" i="2"/>
  <c r="I258" i="2"/>
  <c r="I259" i="2"/>
  <c r="I261" i="2"/>
  <c r="I262" i="2"/>
  <c r="I263" i="2"/>
  <c r="I264" i="2"/>
  <c r="I265" i="2"/>
  <c r="I266" i="2"/>
  <c r="I267" i="2"/>
  <c r="I250" i="2"/>
  <c r="I268" i="2"/>
  <c r="I269" i="2"/>
  <c r="I270" i="2"/>
  <c r="I271" i="2"/>
  <c r="I272" i="2"/>
  <c r="I273" i="2"/>
  <c r="I274" i="2"/>
  <c r="I275" i="2"/>
  <c r="I276" i="2"/>
  <c r="I277" i="2"/>
  <c r="I279" i="2"/>
  <c r="I278" i="2"/>
  <c r="I280" i="2"/>
  <c r="I281" i="2"/>
  <c r="I282" i="2"/>
  <c r="I283" i="2"/>
  <c r="I284" i="2"/>
  <c r="I285" i="2"/>
  <c r="I286" i="2"/>
  <c r="I288" i="2"/>
  <c r="I289" i="2"/>
  <c r="I290" i="2"/>
  <c r="I291" i="2"/>
  <c r="I292" i="2"/>
  <c r="I287" i="2"/>
  <c r="I310" i="2"/>
  <c r="I293" i="2"/>
  <c r="I294" i="2"/>
  <c r="I295" i="2"/>
  <c r="I296" i="2"/>
  <c r="I297" i="2"/>
  <c r="I298" i="2"/>
  <c r="I299" i="2"/>
  <c r="I300" i="2"/>
  <c r="I301" i="2"/>
  <c r="I302" i="2"/>
  <c r="I303" i="2"/>
  <c r="I304" i="2"/>
  <c r="I305" i="2"/>
  <c r="I306" i="2"/>
  <c r="I307" i="2"/>
  <c r="I309" i="2"/>
  <c r="I311" i="2"/>
  <c r="I260" i="2"/>
  <c r="I308" i="2"/>
  <c r="I315" i="2"/>
  <c r="I312" i="2"/>
  <c r="I316" i="2"/>
  <c r="I317" i="2"/>
  <c r="I318" i="2"/>
  <c r="I319" i="2"/>
  <c r="I321" i="2"/>
  <c r="I322" i="2"/>
  <c r="I323" i="2"/>
  <c r="I325" i="2"/>
  <c r="I326" i="2"/>
  <c r="I320" i="2"/>
  <c r="I324" i="2"/>
  <c r="I327" i="2"/>
  <c r="I328" i="2"/>
  <c r="I329" i="2"/>
  <c r="I330" i="2"/>
  <c r="I332" i="2"/>
  <c r="I331" i="2"/>
  <c r="I333" i="2"/>
  <c r="I334" i="2"/>
  <c r="I335" i="2"/>
  <c r="I336" i="2"/>
  <c r="I338" i="2"/>
  <c r="I337" i="2"/>
  <c r="I339" i="2"/>
  <c r="I340" i="2"/>
  <c r="I342" i="2"/>
  <c r="I343" i="2"/>
  <c r="I341" i="2"/>
  <c r="I344" i="2"/>
  <c r="I345" i="2"/>
  <c r="I346" i="2"/>
  <c r="I347" i="2"/>
  <c r="I348" i="2"/>
  <c r="I349" i="2"/>
  <c r="I350" i="2"/>
  <c r="I351" i="2"/>
  <c r="I352" i="2"/>
  <c r="I353" i="2"/>
  <c r="I354" i="2"/>
  <c r="I355" i="2"/>
  <c r="I356" i="2"/>
  <c r="I357" i="2"/>
  <c r="I358" i="2"/>
  <c r="I359" i="2"/>
  <c r="I360" i="2"/>
  <c r="I361" i="2"/>
  <c r="I362" i="2"/>
  <c r="I363" i="2"/>
  <c r="I365" i="2"/>
  <c r="I364" i="2"/>
  <c r="I366" i="2"/>
  <c r="I367" i="2"/>
  <c r="I368" i="2"/>
  <c r="I369" i="2"/>
  <c r="I370" i="2"/>
  <c r="I371" i="2"/>
  <c r="I372" i="2"/>
  <c r="I374" i="2"/>
  <c r="I375" i="2"/>
  <c r="I376" i="2"/>
  <c r="I377" i="2"/>
  <c r="I378" i="2"/>
  <c r="I379" i="2"/>
  <c r="I380" i="2"/>
  <c r="I384" i="2"/>
  <c r="I373" i="2"/>
  <c r="I381" i="2"/>
  <c r="I382" i="2"/>
  <c r="I383" i="2"/>
  <c r="I385" i="2"/>
  <c r="I386" i="2"/>
  <c r="I387" i="2"/>
  <c r="I388" i="2"/>
  <c r="I389" i="2"/>
  <c r="I390" i="2"/>
  <c r="I391" i="2"/>
  <c r="I392" i="2"/>
  <c r="I393" i="2"/>
  <c r="I394" i="2"/>
  <c r="I395" i="2"/>
  <c r="I396" i="2"/>
  <c r="I397" i="2"/>
  <c r="I398" i="2"/>
  <c r="I399" i="2"/>
  <c r="I400" i="2"/>
  <c r="I401" i="2"/>
  <c r="I402" i="2"/>
  <c r="I406" i="2"/>
  <c r="I407" i="2"/>
  <c r="I408" i="2"/>
  <c r="I409" i="2"/>
  <c r="I410" i="2"/>
  <c r="I411" i="2"/>
  <c r="I412" i="2"/>
  <c r="I413" i="2"/>
  <c r="I414" i="2"/>
  <c r="I415" i="2"/>
  <c r="I416" i="2"/>
  <c r="I417" i="2"/>
  <c r="I418" i="2"/>
  <c r="I419" i="2"/>
  <c r="I420" i="2"/>
  <c r="I421" i="2"/>
  <c r="I422" i="2"/>
  <c r="I423" i="2"/>
  <c r="I424" i="2"/>
  <c r="I426" i="2"/>
  <c r="I427" i="2"/>
  <c r="I428" i="2"/>
  <c r="I429" i="2"/>
  <c r="I430" i="2"/>
  <c r="I425" i="2"/>
  <c r="I431" i="2"/>
  <c r="I432" i="2"/>
  <c r="I433" i="2"/>
  <c r="I434" i="2"/>
  <c r="I435" i="2"/>
  <c r="I436" i="2"/>
  <c r="I437" i="2"/>
  <c r="I438" i="2"/>
  <c r="I439" i="2"/>
  <c r="I440" i="2"/>
  <c r="I441" i="2"/>
  <c r="I442" i="2"/>
  <c r="I403" i="2"/>
  <c r="I313" i="2"/>
  <c r="I404" i="2"/>
  <c r="I314" i="2"/>
  <c r="I405"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H120" i="2" a="1"/>
  <c r="H120" i="2" s="1"/>
  <c r="H121" i="2" a="1"/>
  <c r="H121" i="2" s="1"/>
  <c r="I120" i="2"/>
  <c r="I121" i="2"/>
  <c r="H119" i="2" a="1"/>
  <c r="H119" i="2" s="1"/>
  <c r="I119" i="2"/>
  <c r="H117" i="2" a="1"/>
  <c r="H117" i="2" s="1"/>
  <c r="I117" i="2"/>
  <c r="H116" i="2" a="1"/>
  <c r="H116" i="2" s="1"/>
  <c r="I116" i="2"/>
  <c r="H115" i="2" a="1"/>
  <c r="H115" i="2" s="1"/>
  <c r="I115" i="2"/>
  <c r="H114" i="2" a="1"/>
  <c r="H114" i="2" s="1"/>
  <c r="I114" i="2"/>
  <c r="H113" i="2" a="1"/>
  <c r="H113" i="2" s="1"/>
  <c r="I113" i="2"/>
  <c r="H112" i="2" a="1"/>
  <c r="H112" i="2" s="1"/>
  <c r="I112" i="2"/>
  <c r="H111" i="2" a="1"/>
  <c r="H111" i="2" s="1"/>
  <c r="I111" i="2"/>
  <c r="H110" i="2" a="1"/>
  <c r="H110" i="2" s="1"/>
  <c r="I110" i="2"/>
  <c r="H108" i="2" a="1"/>
  <c r="H108" i="2" s="1"/>
  <c r="I108" i="2"/>
  <c r="H109" i="2" a="1"/>
  <c r="H109" i="2" s="1"/>
  <c r="I109" i="2"/>
  <c r="H107" i="2" a="1"/>
  <c r="H107" i="2" s="1"/>
  <c r="I107" i="2"/>
  <c r="H106" i="2" a="1"/>
  <c r="H106" i="2" s="1"/>
  <c r="I106" i="2"/>
  <c r="H105" i="2" a="1"/>
  <c r="H105" i="2" s="1"/>
  <c r="I105" i="2"/>
  <c r="H104" i="2" a="1"/>
  <c r="H104" i="2" s="1"/>
  <c r="I104" i="2"/>
  <c r="H102" i="2" a="1"/>
  <c r="H102" i="2" s="1"/>
  <c r="I102" i="2"/>
  <c r="H83" i="2" a="1"/>
  <c r="H83" i="2" s="1"/>
  <c r="I83" i="2"/>
  <c r="H82" i="2" a="1"/>
  <c r="H82" i="2" s="1"/>
  <c r="I82" i="2"/>
  <c r="H78" i="2" a="1"/>
  <c r="H78" i="2" s="1"/>
  <c r="I78" i="2"/>
  <c r="H101" i="2" a="1"/>
  <c r="H101" i="2" s="1"/>
  <c r="I101" i="2"/>
  <c r="H100" i="2" a="1"/>
  <c r="H100" i="2" s="1"/>
  <c r="I100" i="2"/>
  <c r="H99" i="2" a="1"/>
  <c r="H99" i="2" s="1"/>
  <c r="I99" i="2"/>
  <c r="H98" i="2" a="1"/>
  <c r="H98" i="2" s="1"/>
  <c r="I98" i="2"/>
  <c r="H95" i="2" a="1"/>
  <c r="H95" i="2" s="1"/>
  <c r="I95" i="2"/>
  <c r="Q108" i="3"/>
  <c r="Q107" i="3"/>
  <c r="Q106" i="3"/>
  <c r="Q105" i="3"/>
  <c r="Q38" i="3"/>
  <c r="Q37" i="3"/>
  <c r="Q36" i="3"/>
  <c r="Q35" i="3"/>
  <c r="Q34" i="3"/>
  <c r="Q33" i="3"/>
  <c r="Q32" i="3"/>
  <c r="Q31" i="3"/>
  <c r="Q30" i="3"/>
  <c r="Q29" i="3"/>
  <c r="Q28" i="3"/>
  <c r="Q27" i="3"/>
  <c r="Q26" i="3"/>
  <c r="Q24" i="3"/>
  <c r="Q23" i="3"/>
  <c r="Q13" i="3"/>
  <c r="Q12" i="3"/>
  <c r="Q11" i="3"/>
  <c r="Q10" i="3"/>
  <c r="H97" i="2" a="1"/>
  <c r="H97" i="2" s="1"/>
  <c r="I97" i="2"/>
  <c r="H92" i="2" a="1"/>
  <c r="H92" i="2" s="1"/>
  <c r="I92" i="2"/>
  <c r="H91" i="2" a="1"/>
  <c r="H91" i="2" s="1"/>
  <c r="I91" i="2"/>
  <c r="H90" i="2" a="1"/>
  <c r="H90" i="2" s="1"/>
  <c r="I90" i="2"/>
  <c r="H89" i="2" a="1"/>
  <c r="H89" i="2" s="1"/>
  <c r="I89" i="2"/>
  <c r="H94" i="2" a="1"/>
  <c r="H94" i="2" s="1"/>
  <c r="I94" i="2"/>
  <c r="H93" i="2" a="1"/>
  <c r="H93" i="2" s="1"/>
  <c r="I93" i="2"/>
  <c r="H88" i="2" a="1"/>
  <c r="H88" i="2" s="1"/>
  <c r="I88" i="2"/>
  <c r="H87" i="2" a="1"/>
  <c r="H87" i="2" s="1"/>
  <c r="I87" i="2"/>
  <c r="H77" i="2" a="1"/>
  <c r="H77" i="2" s="1"/>
  <c r="I77" i="2"/>
  <c r="H86" i="2" a="1"/>
  <c r="H86" i="2" s="1"/>
  <c r="I86" i="2"/>
  <c r="H85" i="2" a="1"/>
  <c r="H85" i="2" s="1"/>
  <c r="I85" i="2"/>
  <c r="H84" i="2" a="1"/>
  <c r="H84" i="2" s="1"/>
  <c r="I84" i="2"/>
  <c r="H81" i="2" a="1"/>
  <c r="H81" i="2" s="1"/>
  <c r="I81" i="2"/>
  <c r="H80" i="2" a="1"/>
  <c r="H80" i="2" s="1"/>
  <c r="I80" i="2"/>
  <c r="H79" i="2" a="1"/>
  <c r="H79" i="2" s="1"/>
  <c r="I79" i="2"/>
  <c r="H76" i="2" a="1"/>
  <c r="H76" i="2" s="1"/>
  <c r="I76" i="2"/>
  <c r="H75" i="2" a="1"/>
  <c r="H75" i="2" s="1"/>
  <c r="I75" i="2"/>
  <c r="H96" i="2" a="1"/>
  <c r="H96" i="2" s="1"/>
  <c r="I96" i="2"/>
  <c r="H46" i="2" a="1"/>
  <c r="H46" i="2" s="1"/>
  <c r="I46" i="2"/>
  <c r="H74" i="2" a="1"/>
  <c r="H74" i="2" s="1"/>
  <c r="I74" i="2"/>
  <c r="H73" i="2" a="1"/>
  <c r="H73" i="2" s="1"/>
  <c r="I73" i="2"/>
  <c r="H72" i="2" a="1"/>
  <c r="H72" i="2" s="1"/>
  <c r="I72" i="2"/>
  <c r="H71" i="2" a="1"/>
  <c r="H71" i="2" s="1"/>
  <c r="I71" i="2"/>
  <c r="H70" i="2" a="1"/>
  <c r="H70" i="2" s="1"/>
  <c r="I70" i="2"/>
  <c r="H69" i="2" a="1"/>
  <c r="H69" i="2" s="1"/>
  <c r="I69" i="2"/>
  <c r="H68" i="2" a="1"/>
  <c r="H68" i="2" s="1"/>
  <c r="I68" i="2"/>
  <c r="H67" i="2" a="1"/>
  <c r="H67" i="2" s="1"/>
  <c r="I67" i="2"/>
  <c r="H66" i="2" a="1"/>
  <c r="H66" i="2" s="1"/>
  <c r="I66" i="2"/>
  <c r="H65" i="2" a="1"/>
  <c r="H65" i="2" s="1"/>
  <c r="I65" i="2"/>
  <c r="H64" i="2" a="1"/>
  <c r="H64" i="2" s="1"/>
  <c r="I64" i="2"/>
  <c r="H63" i="2" a="1"/>
  <c r="H63" i="2" s="1"/>
  <c r="I63" i="2"/>
  <c r="H62" i="2" a="1"/>
  <c r="H62" i="2" s="1"/>
  <c r="I62" i="2"/>
  <c r="H57" i="2" a="1"/>
  <c r="H57" i="2" s="1"/>
  <c r="I57" i="2"/>
  <c r="H61" i="2" a="1"/>
  <c r="H61" i="2" s="1"/>
  <c r="I61" i="2"/>
  <c r="H60" i="2" a="1"/>
  <c r="H60" i="2" s="1"/>
  <c r="I60" i="2"/>
  <c r="H59" i="2" a="1"/>
  <c r="H59" i="2" s="1"/>
  <c r="I59" i="2"/>
  <c r="H58" i="2" a="1"/>
  <c r="H58" i="2" s="1"/>
  <c r="I58" i="2"/>
  <c r="H17" i="2" a="1"/>
  <c r="H17" i="2" s="1"/>
  <c r="I17" i="2"/>
  <c r="H37" i="2" a="1"/>
  <c r="H37" i="2" s="1"/>
  <c r="I37" i="2"/>
  <c r="H53" i="2" a="1"/>
  <c r="H53" i="2" s="1"/>
  <c r="I53" i="2"/>
  <c r="H36" i="2" a="1"/>
  <c r="H36" i="2" s="1"/>
  <c r="I36" i="2"/>
  <c r="H35" i="2" a="1"/>
  <c r="H35" i="2" s="1"/>
  <c r="I35" i="2"/>
  <c r="H55" i="2" a="1"/>
  <c r="H55" i="2" s="1"/>
  <c r="I55" i="2"/>
  <c r="H56" i="2" a="1"/>
  <c r="H56" i="2" s="1"/>
  <c r="I56" i="2"/>
  <c r="H52" i="2" a="1"/>
  <c r="H52" i="2" s="1"/>
  <c r="I52" i="2"/>
  <c r="H51" i="2" a="1"/>
  <c r="H51" i="2" s="1"/>
  <c r="I51" i="2"/>
  <c r="H33" i="2" a="1"/>
  <c r="H33" i="2" s="1"/>
  <c r="I33" i="2"/>
  <c r="H16" i="2" a="1"/>
  <c r="H16" i="2" s="1"/>
  <c r="I16" i="2"/>
  <c r="H54" i="2" a="1"/>
  <c r="H54" i="2" s="1"/>
  <c r="I54" i="2"/>
  <c r="H39" i="2" a="1"/>
  <c r="H39" i="2" s="1"/>
  <c r="I39" i="2"/>
  <c r="H14" i="2" a="1"/>
  <c r="H14" i="2" s="1"/>
  <c r="I14" i="2"/>
  <c r="H49" i="2" a="1"/>
  <c r="H49" i="2" s="1"/>
  <c r="I49" i="2"/>
  <c r="H32" i="2" a="1"/>
  <c r="H32" i="2" s="1"/>
  <c r="I32" i="2"/>
  <c r="H29" i="2" a="1"/>
  <c r="H29" i="2" s="1"/>
  <c r="I29" i="2"/>
  <c r="H28" i="2" a="1"/>
  <c r="H28" i="2" s="1"/>
  <c r="I28" i="2"/>
  <c r="H23" i="2" a="1"/>
  <c r="H23" i="2" s="1"/>
  <c r="I23" i="2"/>
  <c r="H45" i="2" a="1"/>
  <c r="H45" i="2" s="1"/>
  <c r="I45" i="2"/>
  <c r="H42" i="2" a="1"/>
  <c r="H42" i="2" s="1"/>
  <c r="I42" i="2"/>
  <c r="H22" i="2" a="1"/>
  <c r="H22" i="2" s="1"/>
  <c r="I22" i="2"/>
  <c r="H20" i="2" a="1"/>
  <c r="H20" i="2" s="1"/>
  <c r="I20" i="2"/>
  <c r="H15" i="2" a="1"/>
  <c r="H15" i="2" s="1"/>
  <c r="I15" i="2"/>
  <c r="H50" i="2" a="1"/>
  <c r="H50" i="2" s="1"/>
  <c r="I50" i="2"/>
  <c r="H34" i="2" a="1"/>
  <c r="H34" i="2" s="1"/>
  <c r="I34" i="2"/>
  <c r="H13" i="2" a="1"/>
  <c r="H13" i="2" s="1"/>
  <c r="I13" i="2"/>
  <c r="H48" i="2" a="1"/>
  <c r="H48" i="2" s="1"/>
  <c r="I48" i="2"/>
  <c r="H47" i="2" a="1"/>
  <c r="H47" i="2" s="1"/>
  <c r="I47" i="2"/>
  <c r="H44" i="2" a="1"/>
  <c r="H44" i="2" s="1"/>
  <c r="I44" i="2"/>
  <c r="H41" i="2" a="1"/>
  <c r="H41" i="2" s="1"/>
  <c r="I41" i="2"/>
  <c r="H40" i="2" a="1"/>
  <c r="H40" i="2" s="1"/>
  <c r="I40" i="2"/>
  <c r="H12" i="2" a="1"/>
  <c r="H12" i="2" s="1"/>
  <c r="I12" i="2"/>
  <c r="H24" i="2" a="1"/>
  <c r="H24" i="2" s="1"/>
  <c r="I24" i="2"/>
  <c r="H21" i="2" a="1"/>
  <c r="H21" i="2" s="1"/>
  <c r="I21" i="2"/>
  <c r="H19" i="2" a="1"/>
  <c r="H19" i="2" s="1"/>
  <c r="I19" i="2"/>
  <c r="H18" i="2" a="1"/>
  <c r="H18" i="2" s="1"/>
  <c r="I18" i="2"/>
  <c r="H43" i="2" a="1"/>
  <c r="H43" i="2" s="1"/>
  <c r="I43" i="2"/>
  <c r="H38" i="2" a="1"/>
  <c r="H38" i="2" s="1"/>
  <c r="I38" i="2"/>
  <c r="H31" i="2" a="1"/>
  <c r="H31" i="2" s="1"/>
  <c r="I31" i="2"/>
  <c r="H30" i="2" a="1"/>
  <c r="H30" i="2" s="1"/>
  <c r="I30" i="2"/>
  <c r="H27" i="2" a="1"/>
  <c r="H27" i="2" s="1"/>
  <c r="I27" i="2"/>
  <c r="H26" i="2" a="1"/>
  <c r="H26" i="2" s="1"/>
  <c r="I26" i="2"/>
  <c r="Q65" i="3"/>
  <c r="AE65" i="3"/>
  <c r="AS65" i="3"/>
  <c r="BG65" i="3"/>
  <c r="BU65" i="3"/>
  <c r="CI65" i="3"/>
  <c r="CW65" i="3"/>
  <c r="DK65" i="3"/>
  <c r="DY65" i="3"/>
  <c r="EM65" i="3"/>
  <c r="Q66" i="3"/>
  <c r="AE66" i="3"/>
  <c r="AS66" i="3"/>
  <c r="BG66" i="3"/>
  <c r="BU66" i="3"/>
  <c r="CI66" i="3"/>
  <c r="CW66" i="3"/>
  <c r="DK66" i="3"/>
  <c r="DY66" i="3"/>
  <c r="EM66" i="3"/>
  <c r="Q67" i="3"/>
  <c r="AE67" i="3"/>
  <c r="AS67" i="3"/>
  <c r="BG67" i="3"/>
  <c r="BU67" i="3"/>
  <c r="CI67" i="3"/>
  <c r="CW67" i="3"/>
  <c r="DK67" i="3"/>
  <c r="DY67" i="3"/>
  <c r="EM67" i="3"/>
  <c r="Q68" i="3"/>
  <c r="AE68" i="3"/>
  <c r="AS68" i="3"/>
  <c r="BG68" i="3"/>
  <c r="BU68" i="3"/>
  <c r="CI68" i="3"/>
  <c r="CW68" i="3"/>
  <c r="DK68" i="3"/>
  <c r="DY68" i="3"/>
  <c r="EM68" i="3"/>
  <c r="Q69" i="3"/>
  <c r="AE69" i="3"/>
  <c r="AS69" i="3"/>
  <c r="BG69" i="3"/>
  <c r="BU69" i="3"/>
  <c r="CI69" i="3"/>
  <c r="CW69" i="3"/>
  <c r="DK69" i="3"/>
  <c r="DY69" i="3"/>
  <c r="EM69" i="3"/>
  <c r="Q70" i="3"/>
  <c r="AE70" i="3"/>
  <c r="AS70" i="3"/>
  <c r="BG70" i="3"/>
  <c r="BU70" i="3"/>
  <c r="CI70" i="3"/>
  <c r="CW70" i="3"/>
  <c r="DK70" i="3"/>
  <c r="DY70" i="3"/>
  <c r="EM70" i="3"/>
  <c r="Q71" i="3"/>
  <c r="AE71" i="3"/>
  <c r="AS71" i="3"/>
  <c r="BG71" i="3"/>
  <c r="BU71" i="3"/>
  <c r="CI71" i="3"/>
  <c r="CW71" i="3"/>
  <c r="DK71" i="3"/>
  <c r="DY71" i="3"/>
  <c r="EM71" i="3"/>
  <c r="Q72" i="3"/>
  <c r="AE72" i="3"/>
  <c r="AS72" i="3"/>
  <c r="BG72" i="3"/>
  <c r="BU72" i="3"/>
  <c r="CI72" i="3"/>
  <c r="CW72" i="3"/>
  <c r="DK72" i="3"/>
  <c r="DY72" i="3"/>
  <c r="EM72" i="3"/>
  <c r="Q73" i="3"/>
  <c r="AE73" i="3"/>
  <c r="AS73" i="3"/>
  <c r="BG73" i="3"/>
  <c r="BU73" i="3"/>
  <c r="CI73" i="3"/>
  <c r="CW73" i="3"/>
  <c r="DK73" i="3"/>
  <c r="DY73" i="3"/>
  <c r="EM73" i="3"/>
  <c r="Q74" i="3"/>
  <c r="AE74" i="3"/>
  <c r="AS74" i="3"/>
  <c r="BG74" i="3"/>
  <c r="BU74" i="3"/>
  <c r="CI74" i="3"/>
  <c r="CW74" i="3"/>
  <c r="DK74" i="3"/>
  <c r="DY74" i="3"/>
  <c r="EM74" i="3"/>
  <c r="Q75" i="3"/>
  <c r="AE75" i="3"/>
  <c r="AS75" i="3"/>
  <c r="BG75" i="3"/>
  <c r="BU75" i="3"/>
  <c r="CI75" i="3"/>
  <c r="CW75" i="3"/>
  <c r="DK75" i="3"/>
  <c r="DY75" i="3"/>
  <c r="EM75" i="3"/>
  <c r="Q76" i="3"/>
  <c r="AE76" i="3"/>
  <c r="AS76" i="3"/>
  <c r="BG76" i="3"/>
  <c r="BU76" i="3"/>
  <c r="CI76" i="3"/>
  <c r="CW76" i="3"/>
  <c r="DK76" i="3"/>
  <c r="DY76" i="3"/>
  <c r="EM76" i="3"/>
  <c r="Q77" i="3"/>
  <c r="AE77" i="3"/>
  <c r="AS77" i="3"/>
  <c r="BG77" i="3"/>
  <c r="BU77" i="3"/>
  <c r="CI77" i="3"/>
  <c r="CW77" i="3"/>
  <c r="DK77" i="3"/>
  <c r="DY77" i="3"/>
  <c r="EM77" i="3"/>
  <c r="Q78" i="3"/>
  <c r="AE78" i="3"/>
  <c r="AS78" i="3"/>
  <c r="BG78" i="3"/>
  <c r="BU78" i="3"/>
  <c r="CI78" i="3"/>
  <c r="CW78" i="3"/>
  <c r="DK78" i="3"/>
  <c r="DY78" i="3"/>
  <c r="EM78" i="3"/>
  <c r="Q79" i="3"/>
  <c r="AE79" i="3"/>
  <c r="AS79" i="3"/>
  <c r="BG79" i="3"/>
  <c r="BU79" i="3"/>
  <c r="CI79" i="3"/>
  <c r="CW79" i="3"/>
  <c r="DK79" i="3"/>
  <c r="DY79" i="3"/>
  <c r="EM79" i="3"/>
  <c r="Q63" i="3"/>
  <c r="AE63" i="3"/>
  <c r="AS63" i="3"/>
  <c r="BG63" i="3"/>
  <c r="BU63" i="3"/>
  <c r="CI63" i="3"/>
  <c r="CW63" i="3"/>
  <c r="DK63" i="3"/>
  <c r="DY63" i="3"/>
  <c r="EM63" i="3"/>
  <c r="Q64" i="3"/>
  <c r="AE64" i="3"/>
  <c r="AS64" i="3"/>
  <c r="BG64" i="3"/>
  <c r="BU64" i="3"/>
  <c r="CI64" i="3"/>
  <c r="CW64" i="3"/>
  <c r="DK64" i="3"/>
  <c r="DY64" i="3"/>
  <c r="EM64" i="3"/>
  <c r="Q80" i="3"/>
  <c r="AE80" i="3"/>
  <c r="AS80" i="3"/>
  <c r="BG80" i="3"/>
  <c r="BU80" i="3"/>
  <c r="CI80" i="3"/>
  <c r="CW80" i="3"/>
  <c r="DK80" i="3"/>
  <c r="DY80" i="3"/>
  <c r="EM80" i="3"/>
  <c r="Q81" i="3"/>
  <c r="AE81" i="3"/>
  <c r="AS81" i="3"/>
  <c r="BG81" i="3"/>
  <c r="BU81" i="3"/>
  <c r="CI81" i="3"/>
  <c r="CW81" i="3"/>
  <c r="DK81" i="3"/>
  <c r="DY81" i="3"/>
  <c r="EM81" i="3"/>
  <c r="Q82" i="3"/>
  <c r="AE82" i="3"/>
  <c r="AS82" i="3"/>
  <c r="BG82" i="3"/>
  <c r="BU82" i="3"/>
  <c r="CI82" i="3"/>
  <c r="CW82" i="3"/>
  <c r="DK82" i="3"/>
  <c r="DY82" i="3"/>
  <c r="EM82" i="3"/>
  <c r="Q83" i="3"/>
  <c r="AE83" i="3"/>
  <c r="AS83" i="3"/>
  <c r="BG83" i="3"/>
  <c r="BU83" i="3"/>
  <c r="CI83" i="3"/>
  <c r="CW83" i="3"/>
  <c r="DK83" i="3"/>
  <c r="DY83" i="3"/>
  <c r="EM83" i="3"/>
  <c r="Q84" i="3"/>
  <c r="AE84" i="3"/>
  <c r="AS84" i="3"/>
  <c r="BG84" i="3"/>
  <c r="BU84" i="3"/>
  <c r="CI84" i="3"/>
  <c r="CW84" i="3"/>
  <c r="DK84" i="3"/>
  <c r="DY84" i="3"/>
  <c r="EM84" i="3"/>
  <c r="Q85" i="3"/>
  <c r="AE85" i="3"/>
  <c r="AS85" i="3"/>
  <c r="BG85" i="3"/>
  <c r="BU85" i="3"/>
  <c r="CI85" i="3"/>
  <c r="CW85" i="3"/>
  <c r="DK85" i="3"/>
  <c r="DY85" i="3"/>
  <c r="EM85" i="3"/>
  <c r="Q86" i="3"/>
  <c r="AE86" i="3"/>
  <c r="AS86" i="3"/>
  <c r="BG86" i="3"/>
  <c r="BU86" i="3"/>
  <c r="CI86" i="3"/>
  <c r="CW86" i="3"/>
  <c r="DK86" i="3"/>
  <c r="DY86" i="3"/>
  <c r="EM86" i="3"/>
  <c r="Q87" i="3"/>
  <c r="AE87" i="3"/>
  <c r="AS87" i="3"/>
  <c r="BG87" i="3"/>
  <c r="BU87" i="3"/>
  <c r="CI87" i="3"/>
  <c r="CW87" i="3"/>
  <c r="DK87" i="3"/>
  <c r="DY87" i="3"/>
  <c r="EM87" i="3"/>
  <c r="AE29" i="3"/>
  <c r="BG29" i="3"/>
  <c r="BU29" i="3"/>
  <c r="CI29" i="3"/>
  <c r="CW29" i="3"/>
  <c r="DK29" i="3"/>
  <c r="DY29" i="3"/>
  <c r="EM29" i="3"/>
  <c r="AE30" i="3"/>
  <c r="BG30" i="3"/>
  <c r="BU30" i="3"/>
  <c r="CI30" i="3"/>
  <c r="CW30" i="3"/>
  <c r="DK30" i="3"/>
  <c r="DY30" i="3"/>
  <c r="EM30" i="3"/>
  <c r="AE37" i="3"/>
  <c r="BG37" i="3"/>
  <c r="BU37" i="3"/>
  <c r="CI37" i="3"/>
  <c r="CW37" i="3"/>
  <c r="DK37" i="3"/>
  <c r="DY37" i="3"/>
  <c r="EM37" i="3"/>
  <c r="AE31" i="3"/>
  <c r="BG31" i="3"/>
  <c r="BU31" i="3"/>
  <c r="CI31" i="3"/>
  <c r="CW31" i="3"/>
  <c r="DK31" i="3"/>
  <c r="DY31" i="3"/>
  <c r="EM31" i="3"/>
  <c r="AE38" i="3"/>
  <c r="BG38" i="3"/>
  <c r="BU38" i="3"/>
  <c r="CI38" i="3"/>
  <c r="CW38" i="3"/>
  <c r="DK38" i="3"/>
  <c r="DY38" i="3"/>
  <c r="EM38" i="3"/>
  <c r="Q25" i="3"/>
  <c r="AE25" i="3"/>
  <c r="AS25" i="3"/>
  <c r="BG25" i="3"/>
  <c r="BU25" i="3"/>
  <c r="CI25" i="3"/>
  <c r="CW25" i="3"/>
  <c r="DK25" i="3"/>
  <c r="DY25" i="3"/>
  <c r="EM25" i="3"/>
  <c r="Q39" i="3"/>
  <c r="AE39" i="3"/>
  <c r="AS39" i="3"/>
  <c r="BG39" i="3"/>
  <c r="BU39" i="3"/>
  <c r="CI39" i="3"/>
  <c r="CW39" i="3"/>
  <c r="DK39" i="3"/>
  <c r="DY39" i="3"/>
  <c r="EM39" i="3"/>
  <c r="Q40" i="3"/>
  <c r="AE40" i="3"/>
  <c r="AS40" i="3"/>
  <c r="BG40" i="3"/>
  <c r="BU40" i="3"/>
  <c r="CI40" i="3"/>
  <c r="CW40" i="3"/>
  <c r="DK40" i="3"/>
  <c r="DY40" i="3"/>
  <c r="EM40" i="3"/>
  <c r="Q41" i="3"/>
  <c r="AE41" i="3"/>
  <c r="AS41" i="3"/>
  <c r="BG41" i="3"/>
  <c r="BU41" i="3"/>
  <c r="CI41" i="3"/>
  <c r="CW41" i="3"/>
  <c r="DK41" i="3"/>
  <c r="DY41" i="3"/>
  <c r="EM41" i="3"/>
  <c r="Q42" i="3"/>
  <c r="AE42" i="3"/>
  <c r="AS42" i="3"/>
  <c r="BG42" i="3"/>
  <c r="BU42" i="3"/>
  <c r="CI42" i="3"/>
  <c r="CW42" i="3"/>
  <c r="DK42" i="3"/>
  <c r="DY42" i="3"/>
  <c r="EM42" i="3"/>
  <c r="Q43" i="3"/>
  <c r="AE43" i="3"/>
  <c r="AS43" i="3"/>
  <c r="BG43" i="3"/>
  <c r="BU43" i="3"/>
  <c r="CI43" i="3"/>
  <c r="CW43" i="3"/>
  <c r="DK43" i="3"/>
  <c r="DY43" i="3"/>
  <c r="EM43" i="3"/>
  <c r="Q44" i="3"/>
  <c r="AE44" i="3"/>
  <c r="AS44" i="3"/>
  <c r="BG44" i="3"/>
  <c r="BU44" i="3"/>
  <c r="CI44" i="3"/>
  <c r="CW44" i="3"/>
  <c r="DK44" i="3"/>
  <c r="DY44" i="3"/>
  <c r="EM44" i="3"/>
  <c r="Q45" i="3"/>
  <c r="AE45" i="3"/>
  <c r="AS45" i="3"/>
  <c r="BG45" i="3"/>
  <c r="BU45" i="3"/>
  <c r="CI45" i="3"/>
  <c r="CW45" i="3"/>
  <c r="DK45" i="3"/>
  <c r="DY45" i="3"/>
  <c r="EM45" i="3"/>
  <c r="Q46" i="3"/>
  <c r="AE46" i="3"/>
  <c r="AS46" i="3"/>
  <c r="BG46" i="3"/>
  <c r="BU46" i="3"/>
  <c r="CI46" i="3"/>
  <c r="CW46" i="3"/>
  <c r="DK46" i="3"/>
  <c r="DY46" i="3"/>
  <c r="EM46" i="3"/>
  <c r="Q47" i="3"/>
  <c r="AE47" i="3"/>
  <c r="AS47" i="3"/>
  <c r="BG47" i="3"/>
  <c r="BU47" i="3"/>
  <c r="CI47" i="3"/>
  <c r="CW47" i="3"/>
  <c r="DK47" i="3"/>
  <c r="DY47" i="3"/>
  <c r="EM47" i="3"/>
  <c r="Q48" i="3"/>
  <c r="AE48" i="3"/>
  <c r="AS48" i="3"/>
  <c r="BG48" i="3"/>
  <c r="BU48" i="3"/>
  <c r="CI48" i="3"/>
  <c r="CW48" i="3"/>
  <c r="DK48" i="3"/>
  <c r="DY48" i="3"/>
  <c r="EM48" i="3"/>
  <c r="Q49" i="3"/>
  <c r="AE49" i="3"/>
  <c r="AS49" i="3"/>
  <c r="BG49" i="3"/>
  <c r="BU49" i="3"/>
  <c r="CI49" i="3"/>
  <c r="CW49" i="3"/>
  <c r="DK49" i="3"/>
  <c r="DY49" i="3"/>
  <c r="EM49" i="3"/>
  <c r="Q50" i="3"/>
  <c r="AE50" i="3"/>
  <c r="AS50" i="3"/>
  <c r="BG50" i="3"/>
  <c r="BU50" i="3"/>
  <c r="CI50" i="3"/>
  <c r="CW50" i="3"/>
  <c r="DK50" i="3"/>
  <c r="DY50" i="3"/>
  <c r="EM50" i="3"/>
  <c r="Q51" i="3"/>
  <c r="AE51" i="3"/>
  <c r="AS51" i="3"/>
  <c r="BG51" i="3"/>
  <c r="BU51" i="3"/>
  <c r="CI51" i="3"/>
  <c r="CW51" i="3"/>
  <c r="DK51" i="3"/>
  <c r="DY51" i="3"/>
  <c r="EM51" i="3"/>
  <c r="Q52" i="3"/>
  <c r="AE52" i="3"/>
  <c r="AS52" i="3"/>
  <c r="BG52" i="3"/>
  <c r="BU52" i="3"/>
  <c r="CI52" i="3"/>
  <c r="CW52" i="3"/>
  <c r="DK52" i="3"/>
  <c r="DY52" i="3"/>
  <c r="EM52" i="3"/>
  <c r="Q53" i="3"/>
  <c r="AE53" i="3"/>
  <c r="AS53" i="3"/>
  <c r="BG53" i="3"/>
  <c r="BU53" i="3"/>
  <c r="CI53" i="3"/>
  <c r="CW53" i="3"/>
  <c r="DK53" i="3"/>
  <c r="DY53" i="3"/>
  <c r="EM53" i="3"/>
  <c r="Q54" i="3"/>
  <c r="AE54" i="3"/>
  <c r="AS54" i="3"/>
  <c r="BG54" i="3"/>
  <c r="BU54" i="3"/>
  <c r="CI54" i="3"/>
  <c r="CW54" i="3"/>
  <c r="DK54" i="3"/>
  <c r="DY54" i="3"/>
  <c r="EM54" i="3"/>
  <c r="Q55" i="3"/>
  <c r="AE55" i="3"/>
  <c r="AS55" i="3"/>
  <c r="BG55" i="3"/>
  <c r="BU55" i="3"/>
  <c r="CI55" i="3"/>
  <c r="CW55" i="3"/>
  <c r="DK55" i="3"/>
  <c r="DY55" i="3"/>
  <c r="EM55" i="3"/>
  <c r="Q56" i="3"/>
  <c r="AE56" i="3"/>
  <c r="AS56" i="3"/>
  <c r="BG56" i="3"/>
  <c r="BU56" i="3"/>
  <c r="CI56" i="3"/>
  <c r="CW56" i="3"/>
  <c r="DK56" i="3"/>
  <c r="DY56" i="3"/>
  <c r="EM56" i="3"/>
  <c r="Q57" i="3"/>
  <c r="AE57" i="3"/>
  <c r="AS57" i="3"/>
  <c r="BG57" i="3"/>
  <c r="BU57" i="3"/>
  <c r="CI57" i="3"/>
  <c r="CW57" i="3"/>
  <c r="DK57" i="3"/>
  <c r="DY57" i="3"/>
  <c r="EM57" i="3"/>
  <c r="Q58" i="3"/>
  <c r="AE58" i="3"/>
  <c r="AS58" i="3"/>
  <c r="BG58" i="3"/>
  <c r="BU58" i="3"/>
  <c r="CI58" i="3"/>
  <c r="CW58" i="3"/>
  <c r="DK58" i="3"/>
  <c r="DY58" i="3"/>
  <c r="EM58" i="3"/>
  <c r="Q59" i="3"/>
  <c r="AE59" i="3"/>
  <c r="AS59" i="3"/>
  <c r="BG59" i="3"/>
  <c r="BU59" i="3"/>
  <c r="CI59" i="3"/>
  <c r="CW59" i="3"/>
  <c r="DK59" i="3"/>
  <c r="DY59" i="3"/>
  <c r="EM59" i="3"/>
  <c r="Q60" i="3"/>
  <c r="AE60" i="3"/>
  <c r="AS60" i="3"/>
  <c r="BG60" i="3"/>
  <c r="BU60" i="3"/>
  <c r="CI60" i="3"/>
  <c r="CW60" i="3"/>
  <c r="DK60" i="3"/>
  <c r="DY60" i="3"/>
  <c r="EM60" i="3"/>
  <c r="Q61" i="3"/>
  <c r="AE61" i="3"/>
  <c r="AS61" i="3"/>
  <c r="BG61" i="3"/>
  <c r="BU61" i="3"/>
  <c r="CI61" i="3"/>
  <c r="CW61" i="3"/>
  <c r="DK61" i="3"/>
  <c r="DY61" i="3"/>
  <c r="EM61" i="3"/>
  <c r="Q97" i="3"/>
  <c r="AE97" i="3"/>
  <c r="AS97" i="3"/>
  <c r="BG97" i="3"/>
  <c r="BU97" i="3"/>
  <c r="CI97" i="3"/>
  <c r="CW97" i="3"/>
  <c r="DK97" i="3"/>
  <c r="DY97" i="3"/>
  <c r="EM97" i="3"/>
  <c r="Q98" i="3"/>
  <c r="AE98" i="3"/>
  <c r="AS98" i="3"/>
  <c r="BG98" i="3"/>
  <c r="BU98" i="3"/>
  <c r="CI98" i="3"/>
  <c r="CW98" i="3"/>
  <c r="DK98" i="3"/>
  <c r="DY98" i="3"/>
  <c r="EM98" i="3"/>
  <c r="AE23" i="3"/>
  <c r="BG23" i="3"/>
  <c r="BU23" i="3"/>
  <c r="CI23" i="3"/>
  <c r="CW23" i="3"/>
  <c r="DK23" i="3"/>
  <c r="DY23" i="3"/>
  <c r="EM23" i="3"/>
  <c r="AE24" i="3"/>
  <c r="BG24" i="3"/>
  <c r="BU24" i="3"/>
  <c r="CI24" i="3"/>
  <c r="CW24" i="3"/>
  <c r="DK24" i="3"/>
  <c r="DY24" i="3"/>
  <c r="EM24" i="3"/>
  <c r="AE26" i="3"/>
  <c r="BG26" i="3"/>
  <c r="BU26" i="3"/>
  <c r="CI26" i="3"/>
  <c r="CW26" i="3"/>
  <c r="DK26" i="3"/>
  <c r="DY26" i="3"/>
  <c r="EM26" i="3"/>
  <c r="AE28" i="3"/>
  <c r="BG28" i="3"/>
  <c r="BU28" i="3"/>
  <c r="CI28" i="3"/>
  <c r="CW28" i="3"/>
  <c r="DK28" i="3"/>
  <c r="DY28" i="3"/>
  <c r="EM28" i="3"/>
  <c r="AE27" i="3"/>
  <c r="BG27" i="3"/>
  <c r="BU27" i="3"/>
  <c r="CI27" i="3"/>
  <c r="CW27" i="3"/>
  <c r="DK27" i="3"/>
  <c r="DY27" i="3"/>
  <c r="EM27" i="3"/>
  <c r="AE36" i="3"/>
  <c r="BG36" i="3"/>
  <c r="BU36" i="3"/>
  <c r="CI36" i="3"/>
  <c r="CW36" i="3"/>
  <c r="DK36" i="3"/>
  <c r="DY36" i="3"/>
  <c r="EM36" i="3"/>
  <c r="AE32" i="3"/>
  <c r="BG32" i="3"/>
  <c r="BU32" i="3"/>
  <c r="CI32" i="3"/>
  <c r="CW32" i="3"/>
  <c r="DK32" i="3"/>
  <c r="DY32" i="3"/>
  <c r="EM32" i="3"/>
  <c r="Q62" i="3"/>
  <c r="AE62" i="3"/>
  <c r="AS62" i="3"/>
  <c r="BG62" i="3"/>
  <c r="BU62" i="3"/>
  <c r="CI62" i="3"/>
  <c r="CW62" i="3"/>
  <c r="DK62" i="3"/>
  <c r="DY62" i="3"/>
  <c r="EM62" i="3"/>
  <c r="Q88" i="3"/>
  <c r="AE88" i="3"/>
  <c r="AS88" i="3"/>
  <c r="BG88" i="3"/>
  <c r="BU88" i="3"/>
  <c r="CI88" i="3"/>
  <c r="CW88" i="3"/>
  <c r="DK88" i="3"/>
  <c r="DY88" i="3"/>
  <c r="EM88" i="3"/>
  <c r="Q89" i="3"/>
  <c r="AE89" i="3"/>
  <c r="AS89" i="3"/>
  <c r="BG89" i="3"/>
  <c r="BU89" i="3"/>
  <c r="CI89" i="3"/>
  <c r="CW89" i="3"/>
  <c r="DK89" i="3"/>
  <c r="DY89" i="3"/>
  <c r="EM89" i="3"/>
  <c r="Q90" i="3"/>
  <c r="AE90" i="3"/>
  <c r="AS90" i="3"/>
  <c r="BG90" i="3"/>
  <c r="BU90" i="3"/>
  <c r="CI90" i="3"/>
  <c r="CW90" i="3"/>
  <c r="DK90" i="3"/>
  <c r="DY90" i="3"/>
  <c r="EM90" i="3"/>
  <c r="H25" i="2" a="1"/>
  <c r="H25" i="2" s="1"/>
  <c r="I25" i="2"/>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F39" i="5" a="1"/>
  <c r="F39" i="5" s="1"/>
  <c r="E39" i="5" s="1" a="1"/>
  <c r="E39" i="5" s="1"/>
  <c r="AI20" i="4" s="1"/>
  <c r="AP35" i="4"/>
  <c r="AI35" i="4"/>
  <c r="AI22" i="4"/>
  <c r="C13" i="4" a="1"/>
  <c r="C13" i="4" s="1"/>
  <c r="E20" i="5" a="1"/>
  <c r="E20" i="5" s="1"/>
  <c r="E19" i="5" a="1"/>
  <c r="E19" i="5" s="1"/>
  <c r="C9" i="6"/>
  <c r="C10" i="6"/>
  <c r="C11" i="6"/>
  <c r="C12" i="6"/>
  <c r="C13" i="6"/>
  <c r="C14" i="6"/>
  <c r="C15" i="6"/>
  <c r="C16" i="6"/>
  <c r="C17" i="6"/>
  <c r="C18" i="6"/>
  <c r="E12" i="5" a="1"/>
  <c r="E12" i="5" s="1"/>
  <c r="E11" i="5"/>
  <c r="E9" i="5"/>
  <c r="E8" i="5" a="1"/>
  <c r="E8" i="5" s="1"/>
  <c r="Q91" i="3"/>
  <c r="AE91" i="3"/>
  <c r="AS91" i="3"/>
  <c r="BG91" i="3"/>
  <c r="BU91" i="3"/>
  <c r="CI91" i="3"/>
  <c r="CW91" i="3"/>
  <c r="DK91" i="3"/>
  <c r="DY91" i="3"/>
  <c r="EM91" i="3"/>
  <c r="Q92" i="3"/>
  <c r="AE92" i="3"/>
  <c r="AS92" i="3"/>
  <c r="BG92" i="3"/>
  <c r="BU92" i="3"/>
  <c r="CI92" i="3"/>
  <c r="CW92" i="3"/>
  <c r="DK92" i="3"/>
  <c r="DY92" i="3"/>
  <c r="EM92" i="3"/>
  <c r="Q93" i="3"/>
  <c r="AE93" i="3"/>
  <c r="AS93" i="3"/>
  <c r="BG93" i="3"/>
  <c r="BU93" i="3"/>
  <c r="CI93" i="3"/>
  <c r="CW93" i="3"/>
  <c r="DK93" i="3"/>
  <c r="DY93" i="3"/>
  <c r="EM93" i="3"/>
  <c r="BG10" i="3"/>
  <c r="BU10" i="3"/>
  <c r="CI10" i="3"/>
  <c r="CW10" i="3"/>
  <c r="DK10" i="3"/>
  <c r="DY10" i="3"/>
  <c r="EM10" i="3"/>
  <c r="BG11" i="3"/>
  <c r="BU11" i="3"/>
  <c r="CI11" i="3"/>
  <c r="CW11" i="3"/>
  <c r="DK11" i="3"/>
  <c r="DY11" i="3"/>
  <c r="EM11" i="3"/>
  <c r="BG13" i="3"/>
  <c r="BU13" i="3"/>
  <c r="CI13" i="3"/>
  <c r="CW13" i="3"/>
  <c r="DK13" i="3"/>
  <c r="DY13" i="3"/>
  <c r="EM13" i="3"/>
  <c r="BG12" i="3"/>
  <c r="BU12" i="3"/>
  <c r="CI12" i="3"/>
  <c r="CW12" i="3"/>
  <c r="DK12" i="3"/>
  <c r="DY12" i="3"/>
  <c r="EM12" i="3"/>
  <c r="AS14" i="3"/>
  <c r="BG14" i="3"/>
  <c r="BU14" i="3"/>
  <c r="CI14" i="3"/>
  <c r="CW14" i="3"/>
  <c r="DK14" i="3"/>
  <c r="DY14" i="3"/>
  <c r="EM14" i="3"/>
  <c r="AS15" i="3"/>
  <c r="BG15" i="3"/>
  <c r="BU15" i="3"/>
  <c r="CI15" i="3"/>
  <c r="CW15" i="3"/>
  <c r="DK15" i="3"/>
  <c r="DY15" i="3"/>
  <c r="EM15" i="3"/>
  <c r="AS16" i="3"/>
  <c r="BG16" i="3"/>
  <c r="BU16" i="3"/>
  <c r="CI16" i="3"/>
  <c r="CW16" i="3"/>
  <c r="DK16" i="3"/>
  <c r="DY16" i="3"/>
  <c r="EM16" i="3"/>
  <c r="AS17" i="3"/>
  <c r="BG17" i="3"/>
  <c r="BU17" i="3"/>
  <c r="CI17" i="3"/>
  <c r="CW17" i="3"/>
  <c r="DK17" i="3"/>
  <c r="DY17" i="3"/>
  <c r="EM17" i="3"/>
  <c r="AS18" i="3"/>
  <c r="BG18" i="3"/>
  <c r="BU18" i="3"/>
  <c r="CI18" i="3"/>
  <c r="CW18" i="3"/>
  <c r="DK18" i="3"/>
  <c r="DY18" i="3"/>
  <c r="EM18" i="3"/>
  <c r="AS19" i="3"/>
  <c r="BG19" i="3"/>
  <c r="BU19" i="3"/>
  <c r="CI19" i="3"/>
  <c r="CW19" i="3"/>
  <c r="DK19" i="3"/>
  <c r="DY19" i="3"/>
  <c r="EM19" i="3"/>
  <c r="BG33" i="3"/>
  <c r="BU33" i="3"/>
  <c r="CI33" i="3"/>
  <c r="CW33" i="3"/>
  <c r="DK33" i="3"/>
  <c r="DY33" i="3"/>
  <c r="EM33" i="3"/>
  <c r="BG34" i="3"/>
  <c r="BU34" i="3"/>
  <c r="CI34" i="3"/>
  <c r="CW34" i="3"/>
  <c r="DK34" i="3"/>
  <c r="DY34" i="3"/>
  <c r="EM34" i="3"/>
  <c r="BG35" i="3"/>
  <c r="BU35" i="3"/>
  <c r="CI35" i="3"/>
  <c r="CW35" i="3"/>
  <c r="DK35" i="3"/>
  <c r="DY35" i="3"/>
  <c r="EM35" i="3"/>
  <c r="AS94" i="3"/>
  <c r="BG94" i="3"/>
  <c r="BU94" i="3"/>
  <c r="CI94" i="3"/>
  <c r="CW94" i="3"/>
  <c r="DK94" i="3"/>
  <c r="DY94" i="3"/>
  <c r="EM94" i="3"/>
  <c r="AS95" i="3"/>
  <c r="BG95" i="3"/>
  <c r="BU95" i="3"/>
  <c r="CI95" i="3"/>
  <c r="CW95" i="3"/>
  <c r="DK95" i="3"/>
  <c r="DY95" i="3"/>
  <c r="EM95" i="3"/>
  <c r="AS96" i="3"/>
  <c r="BG96" i="3"/>
  <c r="BU96" i="3"/>
  <c r="CI96" i="3"/>
  <c r="CW96" i="3"/>
  <c r="DK96" i="3"/>
  <c r="DY96" i="3"/>
  <c r="EM96" i="3"/>
  <c r="AS99" i="3"/>
  <c r="BG99" i="3"/>
  <c r="BU99" i="3"/>
  <c r="CI99" i="3"/>
  <c r="CW99" i="3"/>
  <c r="DK99" i="3"/>
  <c r="DY99" i="3"/>
  <c r="EM99" i="3"/>
  <c r="AS100" i="3"/>
  <c r="BG100" i="3"/>
  <c r="BU100" i="3"/>
  <c r="CI100" i="3"/>
  <c r="CW100" i="3"/>
  <c r="DK100" i="3"/>
  <c r="DY100" i="3"/>
  <c r="EM100" i="3"/>
  <c r="AS101" i="3"/>
  <c r="BG101" i="3"/>
  <c r="BU101" i="3"/>
  <c r="CI101" i="3"/>
  <c r="CW101" i="3"/>
  <c r="DK101" i="3"/>
  <c r="DY101" i="3"/>
  <c r="EM101" i="3"/>
  <c r="BG105" i="3"/>
  <c r="BU105" i="3"/>
  <c r="CI105" i="3"/>
  <c r="CW105" i="3"/>
  <c r="DK105" i="3"/>
  <c r="DY105" i="3"/>
  <c r="EM105" i="3"/>
  <c r="BG106" i="3"/>
  <c r="BU106" i="3"/>
  <c r="CI106" i="3"/>
  <c r="CW106" i="3"/>
  <c r="DK106" i="3"/>
  <c r="DY106" i="3"/>
  <c r="EM106" i="3"/>
  <c r="BG107" i="3"/>
  <c r="BU107" i="3"/>
  <c r="CI107" i="3"/>
  <c r="CW107" i="3"/>
  <c r="DK107" i="3"/>
  <c r="DY107" i="3"/>
  <c r="EM107" i="3"/>
  <c r="BG108" i="3"/>
  <c r="BU108" i="3"/>
  <c r="CI108" i="3"/>
  <c r="CW108" i="3"/>
  <c r="DK108" i="3"/>
  <c r="DY108" i="3"/>
  <c r="EM108" i="3"/>
  <c r="AS109" i="3"/>
  <c r="BG109" i="3"/>
  <c r="BU109" i="3"/>
  <c r="CI109" i="3"/>
  <c r="CW109" i="3"/>
  <c r="DK109" i="3"/>
  <c r="DY109" i="3"/>
  <c r="EM109" i="3"/>
  <c r="AS110" i="3"/>
  <c r="BG110" i="3"/>
  <c r="BU110" i="3"/>
  <c r="CI110" i="3"/>
  <c r="CW110" i="3"/>
  <c r="DK110" i="3"/>
  <c r="DY110" i="3"/>
  <c r="EM110" i="3"/>
  <c r="AS111" i="3"/>
  <c r="BG111" i="3"/>
  <c r="BU111" i="3"/>
  <c r="CI111" i="3"/>
  <c r="CW111" i="3"/>
  <c r="DK111" i="3"/>
  <c r="DY111" i="3"/>
  <c r="EM111" i="3"/>
  <c r="AS112" i="3"/>
  <c r="BG112" i="3"/>
  <c r="BU112" i="3"/>
  <c r="CI112" i="3"/>
  <c r="CW112" i="3"/>
  <c r="DK112" i="3"/>
  <c r="DY112" i="3"/>
  <c r="EM112" i="3"/>
  <c r="AS113" i="3"/>
  <c r="BG113" i="3"/>
  <c r="BU113" i="3"/>
  <c r="CI113" i="3"/>
  <c r="CW113" i="3"/>
  <c r="DK113" i="3"/>
  <c r="DY113" i="3"/>
  <c r="EM113" i="3"/>
  <c r="AS114" i="3"/>
  <c r="BG114" i="3"/>
  <c r="BU114" i="3"/>
  <c r="CI114" i="3"/>
  <c r="CW114" i="3"/>
  <c r="DK114" i="3"/>
  <c r="DY114" i="3"/>
  <c r="EM114" i="3"/>
  <c r="AE10" i="3"/>
  <c r="AE11" i="3"/>
  <c r="AE13" i="3"/>
  <c r="AE12" i="3"/>
  <c r="AE14" i="3"/>
  <c r="AE15" i="3"/>
  <c r="AE16" i="3"/>
  <c r="AE17" i="3"/>
  <c r="AE18" i="3"/>
  <c r="AE19" i="3"/>
  <c r="AE33" i="3"/>
  <c r="AE34" i="3"/>
  <c r="AE35" i="3"/>
  <c r="AE94" i="3"/>
  <c r="AE95" i="3"/>
  <c r="AE96" i="3"/>
  <c r="AE99" i="3"/>
  <c r="AE100" i="3"/>
  <c r="AE101" i="3"/>
  <c r="AE105" i="3"/>
  <c r="AE106" i="3"/>
  <c r="AE107" i="3"/>
  <c r="AE108" i="3"/>
  <c r="AE109" i="3"/>
  <c r="AE110" i="3"/>
  <c r="AE111" i="3"/>
  <c r="AE112" i="3"/>
  <c r="AE113" i="3"/>
  <c r="AE114" i="3"/>
  <c r="Q114" i="3"/>
  <c r="Q113" i="3"/>
  <c r="Q112" i="3"/>
  <c r="Q111" i="3"/>
  <c r="Q110" i="3"/>
  <c r="Q109" i="3"/>
  <c r="Q101" i="3"/>
  <c r="Q100" i="3"/>
  <c r="Q99" i="3"/>
  <c r="Q96" i="3"/>
  <c r="Q95" i="3"/>
  <c r="Q94" i="3"/>
  <c r="Q14" i="3"/>
  <c r="Q15" i="3"/>
  <c r="Q16" i="3"/>
  <c r="Q17" i="3"/>
  <c r="Q18" i="3"/>
  <c r="Q19" i="3"/>
  <c r="E5" i="3"/>
  <c r="J22" i="3" s="1"/>
  <c r="N39" i="5" a="1"/>
  <c r="N39" i="5" s="1"/>
  <c r="E102" i="3" a="1"/>
  <c r="AK20" i="3" a="1"/>
  <c r="BX20" i="3" a="1"/>
  <c r="CP115" i="3" a="1"/>
  <c r="DM115" i="3" a="1"/>
  <c r="AX20" i="3" a="1"/>
  <c r="CL115" i="3" a="1"/>
  <c r="CB115" i="3" a="1"/>
  <c r="CV102" i="3" a="1"/>
  <c r="AU115" i="3" a="1"/>
  <c r="AC115" i="3" a="1"/>
  <c r="I20" i="3" a="1"/>
  <c r="BC102" i="3" a="1"/>
  <c r="U115" i="3" a="1"/>
  <c r="DT115" i="3" a="1"/>
  <c r="EM20" i="3" a="1"/>
  <c r="I115" i="3" a="1"/>
  <c r="CV115" i="3" a="1"/>
  <c r="L102" i="3" a="1"/>
  <c r="Y20" i="3" a="1"/>
  <c r="EE102" i="3" a="1"/>
  <c r="DD102" i="3" a="1"/>
  <c r="DP20" i="3" a="1"/>
  <c r="BC20" i="3" a="1"/>
  <c r="V20" i="3" a="1"/>
  <c r="CW115" i="3" a="1"/>
  <c r="AO20" i="3" a="1"/>
  <c r="CZ102" i="3" a="1"/>
  <c r="BE102" i="3" a="1"/>
  <c r="CA115" i="3" a="1"/>
  <c r="P20" i="3" a="1"/>
  <c r="BP20" i="3" a="1"/>
  <c r="K20" i="3" a="1"/>
  <c r="CF115" i="3" a="1"/>
  <c r="S115" i="3" a="1"/>
  <c r="P102" i="3" a="1"/>
  <c r="BT102" i="3" a="1"/>
  <c r="F115" i="3" a="1"/>
  <c r="AQ115" i="3" a="1"/>
  <c r="AS102" i="3" a="1"/>
  <c r="J102" i="3" a="1"/>
  <c r="Q115" i="3" a="1"/>
  <c r="AL20" i="3" a="1"/>
  <c r="CQ20" i="3" a="1"/>
  <c r="DE115" i="3" a="1"/>
  <c r="AV115" i="3" a="1"/>
  <c r="AM20" i="3" a="1"/>
  <c r="CU115" i="3" a="1"/>
  <c r="EK102" i="3" a="1"/>
  <c r="EJ115" i="3" a="1"/>
  <c r="AE20" i="3" a="1"/>
  <c r="CW20" i="3" a="1"/>
  <c r="EI115" i="3" a="1"/>
  <c r="X20" i="3" a="1"/>
  <c r="EB20" i="3" a="1"/>
  <c r="BO115" i="3" a="1"/>
  <c r="S20" i="3" a="1"/>
  <c r="BI102" i="3" a="1"/>
  <c r="EJ20" i="3" a="1"/>
  <c r="F102" i="3" a="1"/>
  <c r="BD115" i="3" a="1"/>
  <c r="J20" i="3" a="1"/>
  <c r="DV20" i="3" a="1"/>
  <c r="AV20" i="3" a="1"/>
  <c r="BR115" i="3" a="1"/>
  <c r="CG115" i="3" a="1"/>
  <c r="AH115" i="3" a="1"/>
  <c r="BT115" i="3" a="1"/>
  <c r="DS102" i="3" a="1"/>
  <c r="BZ20" i="3" a="1"/>
  <c r="CE115" i="3" a="1"/>
  <c r="EC102" i="3" a="1"/>
  <c r="T20" i="3" a="1"/>
  <c r="CN20" i="3" a="1"/>
  <c r="DJ115" i="3" a="1"/>
  <c r="Z20" i="3" a="1"/>
  <c r="AB20" i="3" a="1"/>
  <c r="H102" i="3" a="1"/>
  <c r="BA115" i="3" a="1"/>
  <c r="CH115" i="3" a="1"/>
  <c r="L20" i="3" a="1"/>
  <c r="DO20" i="3" a="1"/>
  <c r="E20" i="3" a="1"/>
  <c r="CH102" i="3" a="1"/>
  <c r="BO102" i="3" a="1"/>
  <c r="DQ102" i="3" a="1"/>
  <c r="CN102" i="3" a="1"/>
  <c r="DY102" i="3" a="1"/>
  <c r="O115" i="3" a="1"/>
  <c r="BX115" i="3" a="1"/>
  <c r="EI102" i="3" a="1"/>
  <c r="DR20" i="3" a="1"/>
  <c r="AL102" i="3" a="1"/>
  <c r="BC115" i="3" a="1"/>
  <c r="DA115" i="3" a="1"/>
  <c r="BA102" i="3" a="1"/>
  <c r="V115" i="3" a="1"/>
  <c r="AI102" i="3" a="1"/>
  <c r="U20" i="3" a="1"/>
  <c r="DN102" i="3" a="1"/>
  <c r="BK102" i="3" a="1"/>
  <c r="AB115" i="3" a="1"/>
  <c r="AD102" i="3" a="1"/>
  <c r="DJ20" i="3" a="1"/>
  <c r="BQ115" i="3" a="1"/>
  <c r="BI115" i="3" a="1"/>
  <c r="BA20" i="3" a="1"/>
  <c r="CP102" i="3" a="1"/>
  <c r="CN115" i="3" a="1"/>
  <c r="L115" i="3" a="1"/>
  <c r="DQ20" i="3" a="1"/>
  <c r="BY102" i="3" a="1"/>
  <c r="BE20" i="3" a="1"/>
  <c r="EG115" i="3" a="1"/>
  <c r="G115" i="3" a="1"/>
  <c r="BK115" i="3" a="1"/>
  <c r="AU20" i="3" a="1"/>
  <c r="AZ115" i="3" a="1"/>
  <c r="AU102" i="3" a="1"/>
  <c r="CG20" i="3" a="1"/>
  <c r="BY20" i="3" a="1"/>
  <c r="AH102" i="3" a="1"/>
  <c r="CD102" i="3" a="1"/>
  <c r="N102" i="3" a="1"/>
  <c r="AR20" i="3" a="1"/>
  <c r="AN20" i="3" a="1"/>
  <c r="DU102" i="3" a="1"/>
  <c r="CA20" i="3" a="1"/>
  <c r="DF20" i="3" a="1"/>
  <c r="AQ20" i="3" a="1"/>
  <c r="DF115" i="3" a="1"/>
  <c r="AI115" i="3" a="1"/>
  <c r="CY115" i="3" a="1"/>
  <c r="EG20" i="3" a="1"/>
  <c r="CK20" i="3" a="1"/>
  <c r="CI102" i="3" a="1"/>
  <c r="CE102" i="3" a="1"/>
  <c r="DK20" i="3" a="1"/>
  <c r="AC20" i="3" a="1"/>
  <c r="CE20" i="3" a="1"/>
  <c r="CK102" i="3" a="1"/>
  <c r="CO20" i="3" a="1"/>
  <c r="AI20" i="3" a="1"/>
  <c r="Q102" i="3" a="1"/>
  <c r="EJ102" i="3" a="1"/>
  <c r="CO115" i="3" a="1"/>
  <c r="CR115" i="3" a="1"/>
  <c r="BT20" i="3" a="1"/>
  <c r="CW102" i="3" a="1"/>
  <c r="BS20" i="3" a="1"/>
  <c r="BF115" i="3" a="1"/>
  <c r="AS115" i="3" a="1"/>
  <c r="DO115" i="3" a="1"/>
  <c r="BW20" i="3" a="1"/>
  <c r="DF102" i="3" a="1"/>
  <c r="BP115" i="3" a="1"/>
  <c r="BN102" i="3" a="1"/>
  <c r="BM102" i="3" a="1"/>
  <c r="BJ20" i="3" a="1"/>
  <c r="Z102" i="3" a="1"/>
  <c r="CS20" i="3" a="1"/>
  <c r="CO102" i="3" a="1"/>
  <c r="CP20" i="3" a="1"/>
  <c r="BB20" i="3" a="1"/>
  <c r="BQ102" i="3" a="1"/>
  <c r="AE102" i="3" a="1"/>
  <c r="BI20" i="3" a="1"/>
  <c r="EF102" i="3" a="1"/>
  <c r="AA102" i="3" a="1"/>
  <c r="BW102" i="3" a="1"/>
  <c r="DP102" i="3" a="1"/>
  <c r="AA20" i="3" a="1"/>
  <c r="EM102" i="3" a="1"/>
  <c r="AR102" i="3" a="1"/>
  <c r="X102" i="3" a="1"/>
  <c r="BB115" i="3" a="1"/>
  <c r="CZ115" i="3" a="1"/>
  <c r="AO102" i="3" a="1"/>
  <c r="CR102" i="3" a="1"/>
  <c r="EB102" i="3" a="1"/>
  <c r="F20" i="3" a="1"/>
  <c r="BF102" i="3" a="1"/>
  <c r="EA102" i="3" a="1"/>
  <c r="CQ115" i="3" a="1"/>
  <c r="EL115" i="3" a="1"/>
  <c r="DC115" i="3" a="1"/>
  <c r="DH115" i="3" a="1"/>
  <c r="BD102" i="3" a="1"/>
  <c r="DV102" i="3" a="1"/>
  <c r="AH20" i="3" a="1"/>
  <c r="DG102" i="3" a="1"/>
  <c r="CG102" i="3" a="1"/>
  <c r="BM115" i="3" a="1"/>
  <c r="CA102" i="3" a="1"/>
  <c r="AM115" i="3" a="1"/>
  <c r="U102" i="3" a="1"/>
  <c r="DH102" i="3" a="1"/>
  <c r="CF20" i="3" a="1"/>
  <c r="CC102" i="3" a="1"/>
  <c r="AC102" i="3" a="1"/>
  <c r="EE115" i="3" a="1"/>
  <c r="AP115" i="3" a="1"/>
  <c r="AV102" i="3" a="1"/>
  <c r="BU20" i="3" a="1"/>
  <c r="BX102" i="3" a="1"/>
  <c r="EC115" i="3" a="1"/>
  <c r="DC102" i="3" a="1"/>
  <c r="CR20" i="3" a="1"/>
  <c r="AW115" i="3" a="1"/>
  <c r="CD115" i="3" a="1"/>
  <c r="BQ20" i="3" a="1"/>
  <c r="BJ102" i="3" a="1"/>
  <c r="T102" i="3" a="1"/>
  <c r="DR102" i="3" a="1"/>
  <c r="CL20" i="3" a="1"/>
  <c r="BS115" i="3" a="1"/>
  <c r="AM102" i="3" a="1"/>
  <c r="DD20" i="3" a="1"/>
  <c r="DR115" i="3" a="1"/>
  <c r="CU20" i="3" a="1"/>
  <c r="DX102" i="3" a="1"/>
  <c r="AO115" i="3" a="1"/>
  <c r="AA115" i="3" a="1"/>
  <c r="CY20" i="3" a="1"/>
  <c r="CD20" i="3" a="1"/>
  <c r="J115" i="3" a="1"/>
  <c r="O20" i="3" a="1"/>
  <c r="DU115" i="3" a="1"/>
  <c r="EF115" i="3" a="1"/>
  <c r="DE102" i="3" a="1"/>
  <c r="DB102" i="3" a="1"/>
  <c r="DN115" i="3" a="1"/>
  <c r="E115" i="3" a="1"/>
  <c r="DD115" i="3" a="1"/>
  <c r="BK20" i="3" a="1"/>
  <c r="AW20" i="3" a="1"/>
  <c r="N115" i="3" a="1"/>
  <c r="AW102" i="3" a="1"/>
  <c r="DY20" i="3" a="1"/>
  <c r="CT102" i="3" a="1"/>
  <c r="DX115" i="3" a="1"/>
  <c r="CC20" i="3" a="1"/>
  <c r="EH102" i="3" a="1"/>
  <c r="BY115" i="3" a="1"/>
  <c r="DC20" i="3" a="1"/>
  <c r="EG102" i="3" a="1"/>
  <c r="DI102" i="3" a="1"/>
  <c r="AG115" i="3" a="1"/>
  <c r="AK102" i="3" a="1"/>
  <c r="DT102" i="3" a="1"/>
  <c r="AP20" i="3" a="1"/>
  <c r="DG115" i="3" a="1"/>
  <c r="DA20" i="3" a="1"/>
  <c r="BU102" i="3" a="1"/>
  <c r="EC20" i="3" a="1"/>
  <c r="S102" i="3" a="1"/>
  <c r="BW115" i="3" a="1"/>
  <c r="DY115" i="3" a="1"/>
  <c r="DG20" i="3" a="1"/>
  <c r="CC115" i="3" a="1"/>
  <c r="P115" i="3" a="1"/>
  <c r="EI20" i="3" a="1"/>
  <c r="DM20" i="3" a="1"/>
  <c r="EK115" i="3" a="1"/>
  <c r="M20" i="3" a="1"/>
  <c r="CT20" i="3" a="1"/>
  <c r="AX102" i="3" a="1"/>
  <c r="AY102" i="3" a="1"/>
  <c r="DE20" i="3" a="1"/>
  <c r="DK115" i="3" a="1"/>
  <c r="DB20" i="3" a="1"/>
  <c r="AZ102" i="3" a="1"/>
  <c r="CS115" i="3" a="1"/>
  <c r="DS115" i="3" a="1"/>
  <c r="DI20" i="3" a="1"/>
  <c r="DT20" i="3" a="1"/>
  <c r="O102" i="3" a="1"/>
  <c r="EL102" i="3" a="1"/>
  <c r="Z115" i="3" a="1"/>
  <c r="DJ102" i="3" a="1"/>
  <c r="AG102" i="3" a="1"/>
  <c r="EA115" i="3" a="1"/>
  <c r="CM102" i="3" a="1"/>
  <c r="DS20" i="3" a="1"/>
  <c r="BE115" i="3" a="1"/>
  <c r="Y102" i="3" a="1"/>
  <c r="BO20" i="3" a="1"/>
  <c r="CB102" i="3" a="1"/>
  <c r="M115" i="3" a="1"/>
  <c r="H115" i="3" a="1"/>
  <c r="CU102" i="3" a="1"/>
  <c r="EF20" i="3" a="1"/>
  <c r="AE115" i="3" a="1"/>
  <c r="AX115" i="3" a="1"/>
  <c r="ED102" i="3" a="1"/>
  <c r="BN20" i="3" a="1"/>
  <c r="BR20" i="3" a="1"/>
  <c r="AD115" i="3" a="1"/>
  <c r="DQ115" i="3" a="1"/>
  <c r="CH20" i="3" a="1"/>
  <c r="EL20" i="3" a="1"/>
  <c r="BP102" i="3" a="1"/>
  <c r="BL102" i="3" a="1"/>
  <c r="BZ115" i="3" a="1"/>
  <c r="EH115" i="3" a="1"/>
  <c r="EB115" i="3" a="1"/>
  <c r="K115" i="3" a="1"/>
  <c r="BG102" i="3" a="1"/>
  <c r="BS102" i="3" a="1"/>
  <c r="BM20" i="3" a="1"/>
  <c r="DB115" i="3" a="1"/>
  <c r="K102" i="3" a="1"/>
  <c r="DV115" i="3" a="1"/>
  <c r="CS102" i="3" a="1"/>
  <c r="H20" i="3" a="1"/>
  <c r="W115" i="3" a="1"/>
  <c r="DU20" i="3" a="1"/>
  <c r="BB102" i="3" a="1"/>
  <c r="DH20" i="3" a="1"/>
  <c r="DP115" i="3" a="1"/>
  <c r="AK115" i="3" a="1"/>
  <c r="DA102" i="3" a="1"/>
  <c r="AN115" i="3" a="1"/>
  <c r="AN102" i="3" a="1"/>
  <c r="DI115" i="3" a="1"/>
  <c r="CY102" i="3" a="1"/>
  <c r="W20" i="3" a="1"/>
  <c r="BD20" i="3" a="1"/>
  <c r="N20" i="3" a="1"/>
  <c r="EA20" i="3" a="1"/>
  <c r="X115" i="3" a="1"/>
  <c r="W102" i="3" a="1"/>
  <c r="CK115" i="3" a="1"/>
  <c r="G102" i="3" a="1"/>
  <c r="CM20" i="3" a="1"/>
  <c r="AQ102" i="3" a="1"/>
  <c r="AZ20" i="3" a="1"/>
  <c r="BN115" i="3" a="1"/>
  <c r="CQ102" i="3" a="1"/>
  <c r="DM102" i="3" a="1"/>
  <c r="AJ115" i="3" a="1"/>
  <c r="ED20" i="3" a="1"/>
  <c r="AG20" i="3" a="1"/>
  <c r="BL115" i="3" a="1"/>
  <c r="AJ102" i="3" a="1"/>
  <c r="CZ20" i="3" a="1"/>
  <c r="AP102" i="3" a="1"/>
  <c r="AD20" i="3" a="1"/>
  <c r="BR102" i="3" a="1"/>
  <c r="CI115" i="3" a="1"/>
  <c r="EM115" i="3" a="1"/>
  <c r="DN20" i="3" a="1"/>
  <c r="BZ102" i="3" a="1"/>
  <c r="G20" i="3" a="1"/>
  <c r="EK20" i="3" a="1"/>
  <c r="EH20" i="3" a="1"/>
  <c r="T115" i="3" a="1"/>
  <c r="V102" i="3" a="1"/>
  <c r="EE20" i="3" a="1"/>
  <c r="BG115" i="3" a="1"/>
  <c r="BU115" i="3" a="1"/>
  <c r="CL102" i="3" a="1"/>
  <c r="I102" i="3" a="1"/>
  <c r="CT115" i="3" a="1"/>
  <c r="AJ20" i="3" a="1"/>
  <c r="AR115" i="3" a="1"/>
  <c r="BJ115" i="3" a="1"/>
  <c r="AY115" i="3" a="1"/>
  <c r="CM115" i="3" a="1"/>
  <c r="CF102" i="3" a="1"/>
  <c r="DO102" i="3" a="1"/>
  <c r="AS20" i="3" a="1"/>
  <c r="DW20" i="3" a="1"/>
  <c r="Y115" i="3" a="1"/>
  <c r="Q20" i="3" a="1"/>
  <c r="AY20" i="3" a="1"/>
  <c r="ED115" i="3" a="1"/>
  <c r="CI20" i="3" a="1"/>
  <c r="DK102" i="3" a="1"/>
  <c r="CV20" i="3" a="1"/>
  <c r="CB20" i="3" a="1"/>
  <c r="M102" i="3" a="1"/>
  <c r="AB102" i="3" a="1"/>
  <c r="BG20" i="3" a="1"/>
  <c r="BF20" i="3" a="1"/>
  <c r="DW115" i="3" a="1"/>
  <c r="AL115" i="3" a="1"/>
  <c r="DX20" i="3" a="1"/>
  <c r="DW102" i="3" a="1"/>
  <c r="BL20" i="3" a="1"/>
  <c r="N104" i="3" l="1"/>
  <c r="F104" i="3"/>
  <c r="F9" i="3"/>
  <c r="L104" i="3"/>
  <c r="O104" i="3"/>
  <c r="P104" i="3"/>
  <c r="H9" i="3"/>
  <c r="S5" i="3"/>
  <c r="K104" i="3"/>
  <c r="N9" i="3"/>
  <c r="J9" i="3"/>
  <c r="K9" i="3"/>
  <c r="Q9" i="3"/>
  <c r="O9" i="3"/>
  <c r="Q22" i="3"/>
  <c r="L9" i="3"/>
  <c r="G9" i="3"/>
  <c r="L22" i="3"/>
  <c r="F22" i="3"/>
  <c r="G22" i="3"/>
  <c r="K22" i="3"/>
  <c r="P9" i="3"/>
  <c r="E9" i="3"/>
  <c r="O22" i="3"/>
  <c r="I104" i="3"/>
  <c r="E22" i="3"/>
  <c r="I9" i="3"/>
  <c r="E104" i="3"/>
  <c r="Q104" i="3"/>
  <c r="I22" i="3"/>
  <c r="M9" i="3"/>
  <c r="M22" i="3"/>
  <c r="M104" i="3"/>
  <c r="J104" i="3"/>
  <c r="H104" i="3"/>
  <c r="G104" i="3"/>
  <c r="P22" i="3"/>
  <c r="N22" i="3"/>
  <c r="H22" i="3"/>
  <c r="E13" i="5"/>
  <c r="E14" i="5" s="1"/>
  <c r="AJ20" i="4"/>
  <c r="E10" i="5"/>
  <c r="M39" i="5" a="1"/>
  <c r="M39" i="5" s="1"/>
  <c r="AP33" i="4" s="1"/>
  <c r="AQ33" i="4"/>
  <c r="AU20" i="3"/>
  <c r="EE102" i="3"/>
  <c r="CR20" i="3"/>
  <c r="EM115" i="3"/>
  <c r="BR115" i="3"/>
  <c r="BB115" i="3"/>
  <c r="DU115" i="3"/>
  <c r="T102" i="3"/>
  <c r="DP102" i="3"/>
  <c r="EI115" i="3"/>
  <c r="AL20" i="3"/>
  <c r="K115" i="3"/>
  <c r="AR20" i="3"/>
  <c r="DD115" i="3"/>
  <c r="BC115" i="3"/>
  <c r="AA115" i="3"/>
  <c r="AD115" i="3"/>
  <c r="BE20" i="3"/>
  <c r="CH102" i="3"/>
  <c r="BN115" i="3"/>
  <c r="BU115" i="3"/>
  <c r="Y102" i="3"/>
  <c r="CQ20" i="3"/>
  <c r="BY115" i="3"/>
  <c r="DN20" i="3"/>
  <c r="DP20" i="3"/>
  <c r="AE20" i="3"/>
  <c r="EF20" i="3"/>
  <c r="V20" i="3"/>
  <c r="BW115" i="3"/>
  <c r="CQ102" i="3"/>
  <c r="EB20" i="3"/>
  <c r="CK102" i="3"/>
  <c r="CC102" i="3"/>
  <c r="N115" i="3"/>
  <c r="BQ102" i="3"/>
  <c r="J115" i="3"/>
  <c r="BP115" i="3"/>
  <c r="DF102" i="3"/>
  <c r="DH20" i="3"/>
  <c r="AD20" i="3"/>
  <c r="CW102" i="3"/>
  <c r="AQ20" i="3"/>
  <c r="CM20" i="3"/>
  <c r="L20" i="3"/>
  <c r="CF102" i="3"/>
  <c r="AN20" i="3"/>
  <c r="EC115" i="3"/>
  <c r="ED115" i="3"/>
  <c r="CS115" i="3"/>
  <c r="AS102" i="3"/>
  <c r="CV115" i="3"/>
  <c r="BD102" i="3"/>
  <c r="E102" i="3"/>
  <c r="Y115" i="3"/>
  <c r="AA102" i="3"/>
  <c r="EL115" i="3"/>
  <c r="EB102" i="3"/>
  <c r="DU20" i="3"/>
  <c r="DW20" i="3"/>
  <c r="AZ102" i="3"/>
  <c r="CE115" i="3"/>
  <c r="AM115" i="3"/>
  <c r="EM20" i="3"/>
  <c r="CL20" i="3"/>
  <c r="CD20" i="3"/>
  <c r="T115" i="3"/>
  <c r="AK102" i="3"/>
  <c r="S115" i="3"/>
  <c r="DR115" i="3"/>
  <c r="CH115" i="3"/>
  <c r="F20" i="3"/>
  <c r="CM115" i="3"/>
  <c r="CF20" i="3"/>
  <c r="S102" i="3"/>
  <c r="CS20" i="3"/>
  <c r="AI20" i="3"/>
  <c r="Q20" i="3"/>
  <c r="DF115" i="3"/>
  <c r="CK115" i="3"/>
  <c r="BM20" i="3"/>
  <c r="P115" i="3"/>
  <c r="Z115" i="3"/>
  <c r="BJ115" i="3"/>
  <c r="BW102" i="3"/>
  <c r="EK20" i="3"/>
  <c r="DP115" i="3"/>
  <c r="CV20" i="3"/>
  <c r="AB115" i="3"/>
  <c r="Z20" i="3"/>
  <c r="K102" i="3"/>
  <c r="O115" i="3"/>
  <c r="DG102" i="3"/>
  <c r="EI102" i="3"/>
  <c r="BP102" i="3"/>
  <c r="CI102" i="3"/>
  <c r="H20" i="3"/>
  <c r="J102" i="3"/>
  <c r="DG20" i="3"/>
  <c r="CB20" i="3"/>
  <c r="DD20" i="3"/>
  <c r="AV102" i="3"/>
  <c r="U20" i="3"/>
  <c r="Q102" i="3"/>
  <c r="EA102" i="3"/>
  <c r="DB102" i="3"/>
  <c r="DW115" i="3"/>
  <c r="BK115" i="3"/>
  <c r="DO102" i="3"/>
  <c r="CH20" i="3"/>
  <c r="DA115" i="3"/>
  <c r="P102" i="3"/>
  <c r="CR102" i="3"/>
  <c r="BM102" i="3"/>
  <c r="EC102" i="3"/>
  <c r="AX20" i="3"/>
  <c r="CU20" i="3"/>
  <c r="ED102" i="3"/>
  <c r="CY20" i="3"/>
  <c r="CP102" i="3"/>
  <c r="BJ102" i="3"/>
  <c r="M102" i="3"/>
  <c r="AE115" i="3"/>
  <c r="P20" i="3"/>
  <c r="CZ115" i="3"/>
  <c r="E20" i="3"/>
  <c r="H115" i="3"/>
  <c r="EG20" i="3"/>
  <c r="CG20" i="3"/>
  <c r="CM102" i="3"/>
  <c r="BO115" i="3"/>
  <c r="DX20" i="3"/>
  <c r="BA102" i="3"/>
  <c r="M115" i="3"/>
  <c r="CT115" i="3"/>
  <c r="BG115" i="3"/>
  <c r="CY115" i="3"/>
  <c r="M20" i="3"/>
  <c r="AE102" i="3"/>
  <c r="CN20" i="3"/>
  <c r="AW20" i="3"/>
  <c r="AJ20" i="3"/>
  <c r="EH102" i="3"/>
  <c r="O20" i="3"/>
  <c r="AZ20" i="3"/>
  <c r="AS20" i="3"/>
  <c r="BS115" i="3"/>
  <c r="AO115" i="3"/>
  <c r="EL20" i="3"/>
  <c r="V115" i="3"/>
  <c r="AL102" i="3"/>
  <c r="AA20" i="3"/>
  <c r="CI115" i="3"/>
  <c r="AI115" i="3"/>
  <c r="CY102" i="3"/>
  <c r="BY20" i="3"/>
  <c r="CW115" i="3"/>
  <c r="AW115" i="3"/>
  <c r="BI115" i="3"/>
  <c r="CR115" i="3"/>
  <c r="EG115" i="3"/>
  <c r="ED20" i="3"/>
  <c r="BT20" i="3"/>
  <c r="DR102" i="3"/>
  <c r="DA102" i="3"/>
  <c r="CP20" i="3"/>
  <c r="BY102" i="3"/>
  <c r="I20" i="3"/>
  <c r="DF20" i="3"/>
  <c r="DN115" i="3"/>
  <c r="AO102" i="3"/>
  <c r="DH115" i="3"/>
  <c r="BK20" i="3"/>
  <c r="AH115" i="3"/>
  <c r="DT102" i="3"/>
  <c r="CG102" i="3"/>
  <c r="BM115" i="3"/>
  <c r="CB102" i="3"/>
  <c r="BX102" i="3"/>
  <c r="X102" i="3"/>
  <c r="BL115" i="3"/>
  <c r="DT115" i="3"/>
  <c r="BC102" i="3"/>
  <c r="CC115" i="3"/>
  <c r="EH115" i="3"/>
  <c r="BA20" i="3"/>
  <c r="CZ102" i="3"/>
  <c r="DJ20" i="3"/>
  <c r="W102" i="3"/>
  <c r="AC115" i="3"/>
  <c r="EJ20" i="3"/>
  <c r="AX102" i="3"/>
  <c r="F115" i="3"/>
  <c r="BF115" i="3"/>
  <c r="CN102" i="3"/>
  <c r="EF115" i="3"/>
  <c r="AY102" i="3"/>
  <c r="BW20" i="3"/>
  <c r="EJ102" i="3"/>
  <c r="G115" i="3"/>
  <c r="EJ115" i="3"/>
  <c r="DM115" i="3"/>
  <c r="U102" i="3"/>
  <c r="AY20" i="3"/>
  <c r="AC20" i="3"/>
  <c r="CO115" i="3"/>
  <c r="EA115" i="3"/>
  <c r="DC115" i="3"/>
  <c r="BI20" i="3"/>
  <c r="CD102" i="3"/>
  <c r="AU102" i="3"/>
  <c r="CC20" i="3"/>
  <c r="BL20" i="3"/>
  <c r="E115" i="3"/>
  <c r="DY102" i="3"/>
  <c r="DI102" i="3"/>
  <c r="BZ20" i="3"/>
  <c r="AW102" i="3"/>
  <c r="DC20" i="3"/>
  <c r="DY115" i="3"/>
  <c r="EE20" i="3"/>
  <c r="EH20" i="3"/>
  <c r="AQ102" i="3"/>
  <c r="DW102" i="3"/>
  <c r="DV20" i="3"/>
  <c r="DX115" i="3"/>
  <c r="BL102" i="3"/>
  <c r="I102" i="3"/>
  <c r="DO20" i="3"/>
  <c r="F102" i="3"/>
  <c r="AB20" i="3"/>
  <c r="EC20" i="3"/>
  <c r="BK102" i="3"/>
  <c r="AS115" i="3"/>
  <c r="AR115" i="3"/>
  <c r="AZ115" i="3"/>
  <c r="DB20" i="3"/>
  <c r="CQ115" i="3"/>
  <c r="X115" i="3"/>
  <c r="I115" i="3"/>
  <c r="DM20" i="3"/>
  <c r="V102" i="3"/>
  <c r="AU115" i="3"/>
  <c r="CL102" i="3"/>
  <c r="BD20" i="3"/>
  <c r="DV102" i="3"/>
  <c r="BZ115" i="3"/>
  <c r="BN20" i="3"/>
  <c r="AL115" i="3"/>
  <c r="DE102" i="3"/>
  <c r="CW20" i="3"/>
  <c r="DQ102" i="3"/>
  <c r="DE115" i="3"/>
  <c r="S20" i="3"/>
  <c r="EA20" i="3"/>
  <c r="BZ102" i="3"/>
  <c r="DB115" i="3"/>
  <c r="AQ115" i="3"/>
  <c r="DI115" i="3"/>
  <c r="AM102" i="3"/>
  <c r="CO102" i="3"/>
  <c r="DK20" i="3"/>
  <c r="BN102" i="3"/>
  <c r="DN102" i="3"/>
  <c r="EL102" i="3"/>
  <c r="AP102" i="3"/>
  <c r="BF102" i="3"/>
  <c r="CA20" i="3"/>
  <c r="DV115" i="3"/>
  <c r="DT20" i="3"/>
  <c r="CE20" i="3"/>
  <c r="CA115" i="3"/>
  <c r="BC20" i="3"/>
  <c r="DE20" i="3"/>
  <c r="W20" i="3"/>
  <c r="BE102" i="3"/>
  <c r="AX115" i="3"/>
  <c r="DY20" i="3"/>
  <c r="BG20" i="3"/>
  <c r="DG115" i="3"/>
  <c r="BO20" i="3"/>
  <c r="AV20" i="3"/>
  <c r="L102" i="3"/>
  <c r="J20" i="3"/>
  <c r="AK115" i="3"/>
  <c r="BF20" i="3"/>
  <c r="DC102" i="3"/>
  <c r="CZ20" i="3"/>
  <c r="T20" i="3"/>
  <c r="AH20" i="3"/>
  <c r="AY115" i="3"/>
  <c r="BS20" i="3"/>
  <c r="BR102" i="3"/>
  <c r="AG20" i="3"/>
  <c r="Q115" i="3"/>
  <c r="BX20" i="3"/>
  <c r="CA102" i="3"/>
  <c r="AN115" i="3"/>
  <c r="DR20" i="3"/>
  <c r="AO20" i="3"/>
  <c r="CU115" i="3"/>
  <c r="DH102" i="3"/>
  <c r="CU102" i="3"/>
  <c r="Y20" i="3"/>
  <c r="DK115" i="3"/>
  <c r="DK102" i="3"/>
  <c r="CO20" i="3"/>
  <c r="BT115" i="3"/>
  <c r="CK20" i="3"/>
  <c r="EE115" i="3"/>
  <c r="BU20" i="3"/>
  <c r="X20" i="3"/>
  <c r="N20" i="3"/>
  <c r="W115" i="3"/>
  <c r="O102" i="3"/>
  <c r="CT102" i="3"/>
  <c r="CD115" i="3"/>
  <c r="K20" i="3"/>
  <c r="AR102" i="3"/>
  <c r="BQ20" i="3"/>
  <c r="BP20" i="3"/>
  <c r="AP115" i="3"/>
  <c r="U115" i="3"/>
  <c r="DA20" i="3"/>
  <c r="AP20" i="3"/>
  <c r="EK102" i="3"/>
  <c r="DQ20" i="3"/>
  <c r="AV115" i="3"/>
  <c r="CI20" i="3"/>
  <c r="BI102" i="3"/>
  <c r="CP115" i="3"/>
  <c r="BO102" i="3"/>
  <c r="DO115" i="3"/>
  <c r="AK20" i="3"/>
  <c r="AH102" i="3"/>
  <c r="CF115" i="3"/>
  <c r="BB20" i="3"/>
  <c r="BJ20" i="3"/>
  <c r="CE102" i="3"/>
  <c r="CV102" i="3"/>
  <c r="AG115" i="3"/>
  <c r="CG115" i="3"/>
  <c r="DQ115" i="3"/>
  <c r="DS20" i="3"/>
  <c r="BR20" i="3"/>
  <c r="BD115" i="3"/>
  <c r="G102" i="3"/>
  <c r="AJ102" i="3"/>
  <c r="EG102" i="3"/>
  <c r="AM20" i="3"/>
  <c r="G20" i="3"/>
  <c r="BE115" i="3"/>
  <c r="AN102" i="3"/>
  <c r="DU102" i="3"/>
  <c r="DS115" i="3"/>
  <c r="DX102" i="3"/>
  <c r="CT20" i="3"/>
  <c r="EM102" i="3"/>
  <c r="DM102" i="3"/>
  <c r="H102" i="3"/>
  <c r="BA115" i="3"/>
  <c r="BT102" i="3"/>
  <c r="CB115" i="3"/>
  <c r="DS102" i="3"/>
  <c r="EB115" i="3"/>
  <c r="AG102" i="3"/>
  <c r="DJ115" i="3"/>
  <c r="BS102" i="3"/>
  <c r="DJ102" i="3"/>
  <c r="AJ115" i="3"/>
  <c r="BG102" i="3"/>
  <c r="EK115" i="3"/>
  <c r="EI20" i="3"/>
  <c r="Z102" i="3"/>
  <c r="AB102" i="3"/>
  <c r="BX115" i="3"/>
  <c r="N102" i="3"/>
  <c r="CL115" i="3"/>
  <c r="DI20" i="3"/>
  <c r="BQ115" i="3"/>
  <c r="AI102" i="3"/>
  <c r="CS102" i="3"/>
  <c r="L115" i="3"/>
  <c r="AC102" i="3"/>
  <c r="DD102" i="3"/>
  <c r="AD102" i="3"/>
  <c r="EF102" i="3"/>
  <c r="BB102" i="3"/>
  <c r="BU102" i="3"/>
  <c r="CN115" i="3"/>
  <c r="D55" i="5"/>
  <c r="D59" i="5"/>
  <c r="D71" i="5"/>
  <c r="D75" i="5"/>
  <c r="D87" i="5"/>
  <c r="D91" i="5"/>
  <c r="D63" i="5"/>
  <c r="D79" i="5"/>
  <c r="D95" i="5"/>
  <c r="D67" i="5"/>
  <c r="D83" i="5"/>
  <c r="E21" i="5"/>
  <c r="Y11" i="4" s="1"/>
  <c r="E22" i="5"/>
  <c r="E23" i="5" s="1" a="1"/>
  <c r="E23" i="5" s="1"/>
  <c r="H13" i="4"/>
  <c r="G13" i="4" a="1"/>
  <c r="G13" i="4" s="1"/>
  <c r="E13" i="4" a="1"/>
  <c r="E13" i="4" s="1"/>
  <c r="C14" i="4" a="1"/>
  <c r="C14" i="4" s="1"/>
  <c r="J13" i="4" a="1"/>
  <c r="J13" i="4" s="1"/>
  <c r="D99" i="5"/>
  <c r="S22" i="3" l="1"/>
  <c r="AA9" i="3"/>
  <c r="AE104" i="3"/>
  <c r="Y104" i="3"/>
  <c r="T22" i="3"/>
  <c r="AC22" i="3"/>
  <c r="AD104" i="3"/>
  <c r="T9" i="3"/>
  <c r="Z9" i="3"/>
  <c r="Y22" i="3"/>
  <c r="W22" i="3"/>
  <c r="Y9" i="3"/>
  <c r="AB104" i="3"/>
  <c r="Z22" i="3"/>
  <c r="AC9" i="3"/>
  <c r="AD22" i="3"/>
  <c r="W104" i="3"/>
  <c r="X9" i="3"/>
  <c r="V22" i="3"/>
  <c r="X22" i="3"/>
  <c r="S104" i="3"/>
  <c r="W9" i="3"/>
  <c r="AC104" i="3"/>
  <c r="X104" i="3"/>
  <c r="AD9" i="3"/>
  <c r="S9" i="3"/>
  <c r="U22" i="3"/>
  <c r="T104" i="3"/>
  <c r="Z104" i="3"/>
  <c r="AB22" i="3"/>
  <c r="AB9" i="3"/>
  <c r="U104" i="3"/>
  <c r="AA104" i="3"/>
  <c r="AA22" i="3"/>
  <c r="AG5" i="3"/>
  <c r="U9" i="3"/>
  <c r="V9" i="3"/>
  <c r="AE9" i="3"/>
  <c r="V104" i="3"/>
  <c r="AE22" i="3"/>
  <c r="DF7" i="3"/>
  <c r="DF6" i="3" s="1"/>
  <c r="P7" i="3"/>
  <c r="P6" i="3" s="1"/>
  <c r="CZ7" i="3"/>
  <c r="CZ6" i="3" s="1"/>
  <c r="DY7" i="3"/>
  <c r="DY6" i="3" s="1"/>
  <c r="BW7" i="3"/>
  <c r="BW6" i="3" s="1"/>
  <c r="CT7" i="3"/>
  <c r="CT6" i="3" s="1"/>
  <c r="BJ7" i="3"/>
  <c r="BJ6" i="3" s="1"/>
  <c r="CA7" i="3"/>
  <c r="CA6" i="3" s="1"/>
  <c r="BN7" i="3"/>
  <c r="BN6" i="3" s="1"/>
  <c r="Q7" i="3"/>
  <c r="Q6" i="3" s="1"/>
  <c r="BE7" i="3"/>
  <c r="BE6" i="3" s="1"/>
  <c r="BR7" i="3"/>
  <c r="BR6" i="3" s="1"/>
  <c r="K7" i="3"/>
  <c r="K6" i="3" s="1"/>
  <c r="M7" i="3"/>
  <c r="M6" i="3" s="1"/>
  <c r="DQ7" i="3"/>
  <c r="DQ6" i="3" s="1"/>
  <c r="CO7" i="3"/>
  <c r="CO6" i="3" s="1"/>
  <c r="CU7" i="3"/>
  <c r="CU6" i="3" s="1"/>
  <c r="AI7" i="3"/>
  <c r="AI6" i="3" s="1"/>
  <c r="BA7" i="3"/>
  <c r="BA6" i="3" s="1"/>
  <c r="L7" i="3"/>
  <c r="L6" i="3" s="1"/>
  <c r="DA7" i="3"/>
  <c r="DA6" i="3" s="1"/>
  <c r="Y7" i="3"/>
  <c r="Y6" i="3" s="1"/>
  <c r="AP7" i="3"/>
  <c r="AP6" i="3" s="1"/>
  <c r="BO7" i="3"/>
  <c r="BO6" i="3" s="1"/>
  <c r="AM7" i="3"/>
  <c r="AM6" i="3" s="1"/>
  <c r="AO7" i="3"/>
  <c r="AO6" i="3" s="1"/>
  <c r="AH7" i="3"/>
  <c r="AH6" i="3" s="1"/>
  <c r="DT7" i="3"/>
  <c r="DT6" i="3" s="1"/>
  <c r="Z7" i="3"/>
  <c r="Z6" i="3" s="1"/>
  <c r="DW7" i="3"/>
  <c r="DW6" i="3" s="1"/>
  <c r="DH7" i="3"/>
  <c r="DH6" i="3" s="1"/>
  <c r="DI7" i="3"/>
  <c r="DI6" i="3" s="1"/>
  <c r="CI7" i="3"/>
  <c r="CI6" i="3" s="1"/>
  <c r="CK7" i="3"/>
  <c r="CK6" i="3" s="1"/>
  <c r="DR7" i="3"/>
  <c r="DR6" i="3" s="1"/>
  <c r="T7" i="3"/>
  <c r="T6" i="3" s="1"/>
  <c r="BG7" i="3"/>
  <c r="BG6" i="3" s="1"/>
  <c r="DO7" i="3"/>
  <c r="DO6" i="3" s="1"/>
  <c r="DC7" i="3"/>
  <c r="DC6" i="3" s="1"/>
  <c r="BI7" i="3"/>
  <c r="BI6" i="3" s="1"/>
  <c r="EL7" i="3"/>
  <c r="EL6" i="3" s="1"/>
  <c r="CG7" i="3"/>
  <c r="CG6" i="3" s="1"/>
  <c r="CY7" i="3"/>
  <c r="CY6" i="3" s="1"/>
  <c r="DG7" i="3"/>
  <c r="DG6" i="3" s="1"/>
  <c r="DU7" i="3"/>
  <c r="DU6" i="3" s="1"/>
  <c r="V7" i="3"/>
  <c r="V6" i="3" s="1"/>
  <c r="BQ7" i="3"/>
  <c r="BQ6" i="3" s="1"/>
  <c r="CN7" i="3"/>
  <c r="CN6" i="3" s="1"/>
  <c r="CH7" i="3"/>
  <c r="CH6" i="3" s="1"/>
  <c r="CB7" i="3"/>
  <c r="CB6" i="3" s="1"/>
  <c r="F63" i="5"/>
  <c r="F64" i="5"/>
  <c r="F65" i="5"/>
  <c r="F72" i="5"/>
  <c r="F73" i="5"/>
  <c r="F71" i="5"/>
  <c r="DJ7" i="3"/>
  <c r="DJ6" i="3" s="1"/>
  <c r="I7" i="3"/>
  <c r="I6" i="3" s="1"/>
  <c r="EG7" i="3"/>
  <c r="EG6" i="3" s="1"/>
  <c r="CV7" i="3"/>
  <c r="CV6" i="3" s="1"/>
  <c r="EF7" i="3"/>
  <c r="EF6" i="3" s="1"/>
  <c r="E14" i="4" a="1"/>
  <c r="E14" i="4" s="1"/>
  <c r="C15" i="4" a="1"/>
  <c r="C15" i="4" s="1"/>
  <c r="H14" i="4"/>
  <c r="G14" i="4" a="1"/>
  <c r="G14" i="4" s="1"/>
  <c r="J14" i="4" a="1"/>
  <c r="J14" i="4" s="1"/>
  <c r="L13" i="4" a="1"/>
  <c r="L13" i="4" s="1"/>
  <c r="F13" i="4"/>
  <c r="D13" i="4"/>
  <c r="I13" i="4" s="1" a="1"/>
  <c r="I13" i="4" s="1"/>
  <c r="K13" i="4" a="1"/>
  <c r="K13" i="4" s="1"/>
  <c r="AF11" i="4"/>
  <c r="F84" i="5"/>
  <c r="F83" i="5"/>
  <c r="F85" i="5"/>
  <c r="F96" i="5"/>
  <c r="F97" i="5"/>
  <c r="F95" i="5"/>
  <c r="F59" i="5"/>
  <c r="F60" i="5"/>
  <c r="F61" i="5"/>
  <c r="BB7" i="3"/>
  <c r="BB6" i="3" s="1"/>
  <c r="DB7" i="3"/>
  <c r="DB6" i="3" s="1"/>
  <c r="BZ7" i="3"/>
  <c r="BZ6" i="3" s="1"/>
  <c r="H7" i="3"/>
  <c r="H6" i="3" s="1"/>
  <c r="AN7" i="3"/>
  <c r="AN6" i="3" s="1"/>
  <c r="AE7" i="3"/>
  <c r="AE6" i="3" s="1"/>
  <c r="E24" i="5"/>
  <c r="BX7" i="3"/>
  <c r="BX6" i="3" s="1"/>
  <c r="BF7" i="3"/>
  <c r="BF6" i="3" s="1"/>
  <c r="CP7" i="3"/>
  <c r="CP6" i="3" s="1"/>
  <c r="BY7" i="3"/>
  <c r="BY6" i="3" s="1"/>
  <c r="AS7" i="3"/>
  <c r="AS6" i="3" s="1"/>
  <c r="E7" i="3"/>
  <c r="E6" i="3" s="1"/>
  <c r="AX7" i="3"/>
  <c r="AX6" i="3" s="1"/>
  <c r="EK7" i="3"/>
  <c r="EK6" i="3" s="1"/>
  <c r="CS7" i="3"/>
  <c r="CS6" i="3" s="1"/>
  <c r="CD7" i="3"/>
  <c r="CD6" i="3" s="1"/>
  <c r="DP7" i="3"/>
  <c r="DP6" i="3" s="1"/>
  <c r="AD13" i="4"/>
  <c r="AA13" i="4"/>
  <c r="Z13" i="4"/>
  <c r="AB13" i="4"/>
  <c r="AC13" i="4"/>
  <c r="F92" i="5"/>
  <c r="F93" i="5"/>
  <c r="F91" i="5"/>
  <c r="W7" i="3"/>
  <c r="W6" i="3" s="1"/>
  <c r="EA7" i="3"/>
  <c r="EA6" i="3" s="1"/>
  <c r="BD7" i="3"/>
  <c r="BD6" i="3" s="1"/>
  <c r="DV7" i="3"/>
  <c r="DV6" i="3" s="1"/>
  <c r="AC7" i="3"/>
  <c r="AC6" i="3" s="1"/>
  <c r="AZ7" i="3"/>
  <c r="AZ6" i="3" s="1"/>
  <c r="CL7" i="3"/>
  <c r="CL6" i="3" s="1"/>
  <c r="DN7" i="3"/>
  <c r="DN6" i="3" s="1"/>
  <c r="F89" i="5"/>
  <c r="F87" i="5"/>
  <c r="F88" i="5"/>
  <c r="DS7" i="3"/>
  <c r="DS6" i="3" s="1"/>
  <c r="AK7" i="3"/>
  <c r="AK6" i="3" s="1"/>
  <c r="AG7" i="3"/>
  <c r="AG6" i="3" s="1"/>
  <c r="J7" i="3"/>
  <c r="J6" i="3" s="1"/>
  <c r="DE7" i="3"/>
  <c r="DE6" i="3" s="1"/>
  <c r="S7" i="3"/>
  <c r="S6" i="3" s="1"/>
  <c r="AY7" i="3"/>
  <c r="AY6" i="3" s="1"/>
  <c r="O7" i="3"/>
  <c r="O6" i="3" s="1"/>
  <c r="CF7" i="3"/>
  <c r="CF6" i="3" s="1"/>
  <c r="EM7" i="3"/>
  <c r="EM6" i="3" s="1"/>
  <c r="CM7" i="3"/>
  <c r="CM6" i="3" s="1"/>
  <c r="EI7" i="3"/>
  <c r="EI6" i="3" s="1"/>
  <c r="N7" i="3"/>
  <c r="N6" i="3" s="1"/>
  <c r="BC7" i="3"/>
  <c r="BC6" i="3" s="1"/>
  <c r="BL7" i="3"/>
  <c r="BL6" i="3" s="1"/>
  <c r="BK7" i="3"/>
  <c r="BK6" i="3" s="1"/>
  <c r="BT7" i="3"/>
  <c r="BT6" i="3" s="1"/>
  <c r="U7" i="3"/>
  <c r="U6" i="3" s="1"/>
  <c r="AQ7" i="3"/>
  <c r="AQ6" i="3" s="1"/>
  <c r="CQ7" i="3"/>
  <c r="CQ6" i="3" s="1"/>
  <c r="AR7" i="3"/>
  <c r="AR6" i="3" s="1"/>
  <c r="CR7" i="3"/>
  <c r="CR6" i="3" s="1"/>
  <c r="F79" i="5"/>
  <c r="F80" i="5"/>
  <c r="F81" i="5"/>
  <c r="F75" i="5"/>
  <c r="F76" i="5"/>
  <c r="F77" i="5"/>
  <c r="F101" i="5"/>
  <c r="F99" i="5"/>
  <c r="F100" i="5"/>
  <c r="X7" i="3"/>
  <c r="X6" i="3" s="1"/>
  <c r="BS7" i="3"/>
  <c r="BS6" i="3" s="1"/>
  <c r="AV7" i="3"/>
  <c r="AV6" i="3" s="1"/>
  <c r="DK7" i="3"/>
  <c r="DK6" i="3" s="1"/>
  <c r="EC7" i="3"/>
  <c r="EC6" i="3" s="1"/>
  <c r="EH7" i="3"/>
  <c r="EH6" i="3" s="1"/>
  <c r="CC7" i="3"/>
  <c r="CC6" i="3" s="1"/>
  <c r="ED7" i="3"/>
  <c r="ED6" i="3" s="1"/>
  <c r="AA7" i="3"/>
  <c r="AA6" i="3" s="1"/>
  <c r="AJ7" i="3"/>
  <c r="AJ6" i="3" s="1"/>
  <c r="DX7" i="3"/>
  <c r="DX6" i="3" s="1"/>
  <c r="F7" i="3"/>
  <c r="F6" i="3" s="1"/>
  <c r="EB7" i="3"/>
  <c r="EB6" i="3" s="1"/>
  <c r="F68" i="5"/>
  <c r="F69" i="5"/>
  <c r="F67" i="5"/>
  <c r="F55" i="5"/>
  <c r="F57" i="5"/>
  <c r="F56" i="5"/>
  <c r="G7" i="3"/>
  <c r="G6" i="3" s="1"/>
  <c r="BP7" i="3"/>
  <c r="BP6" i="3" s="1"/>
  <c r="BU7" i="3"/>
  <c r="BU6" i="3" s="1"/>
  <c r="CE7" i="3"/>
  <c r="CE6" i="3" s="1"/>
  <c r="CW7" i="3"/>
  <c r="CW6" i="3" s="1"/>
  <c r="DM7" i="3"/>
  <c r="DM6" i="3" s="1"/>
  <c r="AB7" i="3"/>
  <c r="AB6" i="3" s="1"/>
  <c r="EE7" i="3"/>
  <c r="EE6" i="3" s="1"/>
  <c r="EJ7" i="3"/>
  <c r="EJ6" i="3" s="1"/>
  <c r="AW7" i="3"/>
  <c r="AW6" i="3" s="1"/>
  <c r="DD7" i="3"/>
  <c r="DD6" i="3" s="1"/>
  <c r="BM7" i="3"/>
  <c r="BM6" i="3" s="1"/>
  <c r="AD7" i="3"/>
  <c r="AD6" i="3" s="1"/>
  <c r="AL7" i="3"/>
  <c r="AL6" i="3" s="1"/>
  <c r="AU7" i="3"/>
  <c r="AU6" i="3" s="1"/>
  <c r="AU5" i="3" l="1"/>
  <c r="AM9" i="3"/>
  <c r="AS22" i="3"/>
  <c r="AP9" i="3"/>
  <c r="AJ9" i="3"/>
  <c r="AH22" i="3"/>
  <c r="AN22" i="3"/>
  <c r="AL104" i="3"/>
  <c r="AR22" i="3"/>
  <c r="AI22" i="3"/>
  <c r="AM22" i="3"/>
  <c r="AG104" i="3"/>
  <c r="AS104" i="3"/>
  <c r="AO9" i="3"/>
  <c r="AS9" i="3"/>
  <c r="AP104" i="3"/>
  <c r="AN9" i="3"/>
  <c r="AI104" i="3"/>
  <c r="AK104" i="3"/>
  <c r="AL22" i="3"/>
  <c r="AR9" i="3"/>
  <c r="AG9" i="3"/>
  <c r="AO104" i="3"/>
  <c r="AP22" i="3"/>
  <c r="AJ22" i="3"/>
  <c r="AK9" i="3"/>
  <c r="AH104" i="3"/>
  <c r="AI9" i="3"/>
  <c r="AO22" i="3"/>
  <c r="AQ104" i="3"/>
  <c r="AH9" i="3"/>
  <c r="AQ9" i="3"/>
  <c r="AN104" i="3"/>
  <c r="AK22" i="3"/>
  <c r="AJ104" i="3"/>
  <c r="AQ22" i="3"/>
  <c r="AM104" i="3"/>
  <c r="AR104" i="3"/>
  <c r="AL9" i="3"/>
  <c r="AG22" i="3"/>
  <c r="K97" i="5" a="1"/>
  <c r="K97" i="5" s="1"/>
  <c r="J97" i="5" a="1"/>
  <c r="J97" i="5" s="1"/>
  <c r="G97" i="5"/>
  <c r="G71" i="5"/>
  <c r="K71" i="5" a="1"/>
  <c r="K71" i="5" s="1"/>
  <c r="J71" i="5" a="1"/>
  <c r="J71" i="5" s="1"/>
  <c r="K88" i="5" a="1"/>
  <c r="K88" i="5" s="1"/>
  <c r="J88" i="5" a="1"/>
  <c r="J88" i="5" s="1"/>
  <c r="G88" i="5"/>
  <c r="K55" i="5" a="1"/>
  <c r="K55" i="5" s="1"/>
  <c r="J55" i="5" a="1"/>
  <c r="J55" i="5" s="1"/>
  <c r="G55" i="5"/>
  <c r="K76" i="5" a="1"/>
  <c r="K76" i="5" s="1"/>
  <c r="J76" i="5" a="1"/>
  <c r="J76" i="5" s="1"/>
  <c r="G76" i="5"/>
  <c r="J92" i="5" a="1"/>
  <c r="J92" i="5" s="1"/>
  <c r="K92" i="5" a="1"/>
  <c r="K92" i="5" s="1"/>
  <c r="G92" i="5"/>
  <c r="G96" i="5"/>
  <c r="K96" i="5" a="1"/>
  <c r="K96" i="5" s="1"/>
  <c r="J96" i="5" a="1"/>
  <c r="J96" i="5" s="1"/>
  <c r="G73" i="5"/>
  <c r="K73" i="5" a="1"/>
  <c r="K73" i="5" s="1"/>
  <c r="J73" i="5" a="1"/>
  <c r="J73" i="5" s="1"/>
  <c r="G85" i="5"/>
  <c r="J85" i="5" a="1"/>
  <c r="J85" i="5" s="1"/>
  <c r="K85" i="5" a="1"/>
  <c r="K85" i="5" s="1"/>
  <c r="J72" i="5" a="1"/>
  <c r="J72" i="5" s="1"/>
  <c r="K72" i="5" a="1"/>
  <c r="K72" i="5" s="1"/>
  <c r="G72" i="5"/>
  <c r="K81" i="5" a="1"/>
  <c r="K81" i="5" s="1"/>
  <c r="G81" i="5"/>
  <c r="J81" i="5" a="1"/>
  <c r="J81" i="5" s="1"/>
  <c r="K83" i="5" a="1"/>
  <c r="K83" i="5" s="1"/>
  <c r="G83" i="5"/>
  <c r="J83" i="5" a="1"/>
  <c r="J83" i="5" s="1"/>
  <c r="H15" i="4"/>
  <c r="G15" i="4" a="1"/>
  <c r="G15" i="4" s="1"/>
  <c r="C16" i="4" a="1"/>
  <c r="C16" i="4" s="1"/>
  <c r="J15" i="4" a="1"/>
  <c r="J15" i="4" s="1"/>
  <c r="E15" i="4" a="1"/>
  <c r="E15" i="4" s="1"/>
  <c r="K65" i="5" a="1"/>
  <c r="K65" i="5" s="1"/>
  <c r="G65" i="5"/>
  <c r="J65" i="5" a="1"/>
  <c r="J65" i="5" s="1"/>
  <c r="J77" i="5" a="1"/>
  <c r="J77" i="5" s="1"/>
  <c r="K77" i="5" a="1"/>
  <c r="K77" i="5" s="1"/>
  <c r="G77" i="5"/>
  <c r="K93" i="5" a="1"/>
  <c r="K93" i="5" s="1"/>
  <c r="G93" i="5"/>
  <c r="J93" i="5" a="1"/>
  <c r="J93" i="5" s="1"/>
  <c r="J75" i="5" a="1"/>
  <c r="J75" i="5" s="1"/>
  <c r="K75" i="5" a="1"/>
  <c r="K75" i="5" s="1"/>
  <c r="G75" i="5"/>
  <c r="G84" i="5"/>
  <c r="K84" i="5" a="1"/>
  <c r="K84" i="5" s="1"/>
  <c r="J84" i="5" a="1"/>
  <c r="J84" i="5" s="1"/>
  <c r="D14" i="4"/>
  <c r="I14" i="4" s="1" a="1"/>
  <c r="I14" i="4" s="1"/>
  <c r="K14" i="4" s="1" a="1"/>
  <c r="K14" i="4" s="1"/>
  <c r="F14" i="4"/>
  <c r="L14" i="4" a="1"/>
  <c r="L14" i="4" s="1"/>
  <c r="K64" i="5" a="1"/>
  <c r="K64" i="5" s="1"/>
  <c r="G64" i="5"/>
  <c r="J64" i="5" a="1"/>
  <c r="J64" i="5" s="1"/>
  <c r="K99" i="5" a="1"/>
  <c r="K99" i="5" s="1"/>
  <c r="J99" i="5" a="1"/>
  <c r="J99" i="5" s="1"/>
  <c r="G99" i="5"/>
  <c r="G89" i="5"/>
  <c r="K89" i="5" a="1"/>
  <c r="K89" i="5" s="1"/>
  <c r="J89" i="5" a="1"/>
  <c r="J89" i="5" s="1"/>
  <c r="K80" i="5" a="1"/>
  <c r="K80" i="5" s="1"/>
  <c r="G80" i="5"/>
  <c r="J80" i="5" a="1"/>
  <c r="J80" i="5" s="1"/>
  <c r="G79" i="5"/>
  <c r="K79" i="5" a="1"/>
  <c r="K79" i="5" s="1"/>
  <c r="J79" i="5" a="1"/>
  <c r="J79" i="5" s="1"/>
  <c r="K63" i="5" a="1"/>
  <c r="K63" i="5" s="1"/>
  <c r="G63" i="5"/>
  <c r="J63" i="5" a="1"/>
  <c r="J63" i="5" s="1"/>
  <c r="G67" i="5"/>
  <c r="K67" i="5" a="1"/>
  <c r="K67" i="5" s="1"/>
  <c r="J67" i="5" a="1"/>
  <c r="J67" i="5" s="1"/>
  <c r="G69" i="5"/>
  <c r="K69" i="5" a="1"/>
  <c r="K69" i="5" s="1"/>
  <c r="J69" i="5" a="1"/>
  <c r="J69" i="5" s="1"/>
  <c r="K68" i="5" a="1"/>
  <c r="K68" i="5" s="1"/>
  <c r="G68" i="5"/>
  <c r="J68" i="5" a="1"/>
  <c r="J68" i="5" s="1"/>
  <c r="G61" i="5"/>
  <c r="K61" i="5" a="1"/>
  <c r="K61" i="5" s="1"/>
  <c r="J61" i="5" a="1"/>
  <c r="J61" i="5" s="1"/>
  <c r="K100" i="5" a="1"/>
  <c r="K100" i="5" s="1"/>
  <c r="G100" i="5"/>
  <c r="J100" i="5" a="1"/>
  <c r="J100" i="5" s="1"/>
  <c r="G60" i="5"/>
  <c r="K60" i="5" a="1"/>
  <c r="K60" i="5" s="1"/>
  <c r="J60" i="5" a="1"/>
  <c r="J60" i="5" s="1"/>
  <c r="K59" i="5" a="1"/>
  <c r="K59" i="5" s="1"/>
  <c r="G59" i="5"/>
  <c r="J59" i="5" a="1"/>
  <c r="J59" i="5" s="1"/>
  <c r="V13" i="4"/>
  <c r="O13" i="4"/>
  <c r="S13" i="4"/>
  <c r="N13" i="4" a="1"/>
  <c r="N13" i="4" s="1"/>
  <c r="P13" i="4"/>
  <c r="U13" i="4"/>
  <c r="R13" i="4"/>
  <c r="M13" i="4" a="1"/>
  <c r="M13" i="4" s="1"/>
  <c r="W13" i="4"/>
  <c r="T13" i="4"/>
  <c r="Q13" i="4"/>
  <c r="X13" i="4"/>
  <c r="K56" i="5" a="1"/>
  <c r="K56" i="5" s="1"/>
  <c r="G56" i="5"/>
  <c r="J56" i="5" a="1"/>
  <c r="J56" i="5" s="1"/>
  <c r="K57" i="5" a="1"/>
  <c r="K57" i="5" s="1"/>
  <c r="G57" i="5"/>
  <c r="J57" i="5" a="1"/>
  <c r="J57" i="5" s="1"/>
  <c r="G101" i="5"/>
  <c r="K101" i="5" a="1"/>
  <c r="K101" i="5" s="1"/>
  <c r="J101" i="5" a="1"/>
  <c r="J101" i="5" s="1"/>
  <c r="K87" i="5" a="1"/>
  <c r="K87" i="5" s="1"/>
  <c r="G87" i="5"/>
  <c r="J87" i="5" a="1"/>
  <c r="J87" i="5" s="1"/>
  <c r="K91" i="5" a="1"/>
  <c r="K91" i="5" s="1"/>
  <c r="G91" i="5"/>
  <c r="J91" i="5" a="1"/>
  <c r="J91" i="5" s="1"/>
  <c r="G95" i="5"/>
  <c r="K95" i="5" a="1"/>
  <c r="K95" i="5" s="1"/>
  <c r="J95" i="5" a="1"/>
  <c r="J95" i="5" s="1"/>
  <c r="BI5" i="3" l="1"/>
  <c r="AV104" i="3"/>
  <c r="AZ104" i="3"/>
  <c r="AW9" i="3"/>
  <c r="BA9" i="3"/>
  <c r="BE9" i="3"/>
  <c r="BE22" i="3"/>
  <c r="AU9" i="3"/>
  <c r="AZ9" i="3"/>
  <c r="AV9" i="3"/>
  <c r="AX104" i="3"/>
  <c r="BA104" i="3"/>
  <c r="BG22" i="3"/>
  <c r="AW22" i="3"/>
  <c r="AX22" i="3"/>
  <c r="BD9" i="3"/>
  <c r="BD104" i="3"/>
  <c r="BB22" i="3"/>
  <c r="BF22" i="3"/>
  <c r="BA22" i="3"/>
  <c r="AU22" i="3"/>
  <c r="BB9" i="3"/>
  <c r="AW104" i="3"/>
  <c r="AY22" i="3"/>
  <c r="BC9" i="3"/>
  <c r="BC22" i="3"/>
  <c r="BB104" i="3"/>
  <c r="AX9" i="3"/>
  <c r="BF104" i="3"/>
  <c r="AV22" i="3"/>
  <c r="BD22" i="3"/>
  <c r="AU104" i="3"/>
  <c r="AY104" i="3"/>
  <c r="BC104" i="3"/>
  <c r="BG104" i="3"/>
  <c r="BE104" i="3"/>
  <c r="AY9" i="3"/>
  <c r="BF9" i="3"/>
  <c r="BG9" i="3"/>
  <c r="AZ22" i="3"/>
  <c r="L67" i="5"/>
  <c r="R67" i="5" s="1"/>
  <c r="L57" i="5"/>
  <c r="Q57" i="5" s="1"/>
  <c r="L68" i="5"/>
  <c r="R68" i="5" s="1"/>
  <c r="L89" i="5"/>
  <c r="R89" i="5" s="1"/>
  <c r="L69" i="5"/>
  <c r="R69" i="5" s="1"/>
  <c r="L63" i="5"/>
  <c r="Q63" i="5" s="1"/>
  <c r="L75" i="5"/>
  <c r="Q75" i="5" s="1"/>
  <c r="L65" i="5"/>
  <c r="Q65" i="5" s="1"/>
  <c r="L91" i="5"/>
  <c r="O91" i="5" s="1"/>
  <c r="P60" i="5"/>
  <c r="M60" i="5"/>
  <c r="L79" i="5"/>
  <c r="N79" i="5" s="1"/>
  <c r="L99" i="5"/>
  <c r="Q99" i="5" s="1"/>
  <c r="P84" i="5"/>
  <c r="M84" i="5"/>
  <c r="L83" i="5"/>
  <c r="R83" i="5" s="1"/>
  <c r="L96" i="5"/>
  <c r="R96" i="5" s="1"/>
  <c r="L55" i="5"/>
  <c r="R55" i="5" s="1"/>
  <c r="P96" i="5"/>
  <c r="M96" i="5"/>
  <c r="M88" i="5"/>
  <c r="P88" i="5"/>
  <c r="M56" i="5"/>
  <c r="P56" i="5"/>
  <c r="M79" i="5"/>
  <c r="P79" i="5"/>
  <c r="P75" i="5"/>
  <c r="M75" i="5"/>
  <c r="P65" i="5"/>
  <c r="M65" i="5"/>
  <c r="M87" i="5"/>
  <c r="P87" i="5"/>
  <c r="L56" i="5"/>
  <c r="R56" i="5" s="1"/>
  <c r="P100" i="5"/>
  <c r="M100" i="5"/>
  <c r="M69" i="5"/>
  <c r="P69" i="5"/>
  <c r="P64" i="5"/>
  <c r="M64" i="5"/>
  <c r="P81" i="5"/>
  <c r="M81" i="5"/>
  <c r="P92" i="5"/>
  <c r="M92" i="5"/>
  <c r="L87" i="5"/>
  <c r="Q87" i="5" s="1"/>
  <c r="Y13" i="4"/>
  <c r="L100" i="5"/>
  <c r="Q100" i="5" s="1"/>
  <c r="P80" i="5"/>
  <c r="M80" i="5"/>
  <c r="L64" i="5"/>
  <c r="Q64" i="5" s="1"/>
  <c r="K15" i="4" a="1"/>
  <c r="K15" i="4" s="1"/>
  <c r="F15" i="4"/>
  <c r="D15" i="4"/>
  <c r="I15" i="4" s="1" a="1"/>
  <c r="I15" i="4" s="1"/>
  <c r="L15" i="4" a="1"/>
  <c r="L15" i="4" s="1"/>
  <c r="L81" i="5"/>
  <c r="R81" i="5" s="1"/>
  <c r="L85" i="5"/>
  <c r="O85" i="5" s="1"/>
  <c r="L92" i="5"/>
  <c r="R92" i="5" s="1"/>
  <c r="L88" i="5"/>
  <c r="N88" i="5" s="1"/>
  <c r="P72" i="5"/>
  <c r="M72" i="5"/>
  <c r="L80" i="5"/>
  <c r="O80" i="5" s="1"/>
  <c r="L101" i="5"/>
  <c r="O101" i="5" s="1"/>
  <c r="L61" i="5"/>
  <c r="O61" i="5" s="1"/>
  <c r="P67" i="5"/>
  <c r="M67" i="5"/>
  <c r="M93" i="5"/>
  <c r="P93" i="5"/>
  <c r="C17" i="4" a="1"/>
  <c r="C17" i="4" s="1"/>
  <c r="J16" i="4" a="1"/>
  <c r="J16" i="4" s="1"/>
  <c r="G16" i="4" a="1"/>
  <c r="G16" i="4" s="1"/>
  <c r="E16" i="4" a="1"/>
  <c r="E16" i="4" s="1"/>
  <c r="H16" i="4"/>
  <c r="L72" i="5"/>
  <c r="Q72" i="5" s="1"/>
  <c r="P85" i="5"/>
  <c r="M85" i="5"/>
  <c r="P76" i="5"/>
  <c r="M76" i="5"/>
  <c r="L71" i="5"/>
  <c r="Q71" i="5" s="1"/>
  <c r="L95" i="5"/>
  <c r="Q95" i="5" s="1"/>
  <c r="M101" i="5"/>
  <c r="P101" i="5"/>
  <c r="M59" i="5"/>
  <c r="P59" i="5"/>
  <c r="M61" i="5"/>
  <c r="P61" i="5"/>
  <c r="L93" i="5"/>
  <c r="O93" i="5" s="1"/>
  <c r="P71" i="5"/>
  <c r="M71" i="5"/>
  <c r="M57" i="5"/>
  <c r="P57" i="5"/>
  <c r="P68" i="5"/>
  <c r="M68" i="5"/>
  <c r="M99" i="5"/>
  <c r="P99" i="5"/>
  <c r="M91" i="5"/>
  <c r="P91" i="5"/>
  <c r="L60" i="5"/>
  <c r="R60" i="5" s="1"/>
  <c r="M14" i="4" a="1"/>
  <c r="M14" i="4" s="1"/>
  <c r="V14" i="4" s="1"/>
  <c r="M95" i="5"/>
  <c r="P95" i="5"/>
  <c r="L59" i="5"/>
  <c r="R59" i="5" s="1"/>
  <c r="M63" i="5"/>
  <c r="P63" i="5"/>
  <c r="P89" i="5"/>
  <c r="M89" i="5"/>
  <c r="M77" i="5"/>
  <c r="P77" i="5"/>
  <c r="L73" i="5"/>
  <c r="O73" i="5" s="1"/>
  <c r="L76" i="5"/>
  <c r="Q76" i="5" s="1"/>
  <c r="M97" i="5"/>
  <c r="P97" i="5"/>
  <c r="L77" i="5"/>
  <c r="N77" i="5" s="1"/>
  <c r="M73" i="5"/>
  <c r="P73" i="5"/>
  <c r="P55" i="5"/>
  <c r="M55" i="5"/>
  <c r="L84" i="5"/>
  <c r="O84" i="5" s="1"/>
  <c r="M83" i="5"/>
  <c r="P83" i="5"/>
  <c r="L97" i="5"/>
  <c r="N97" i="5" s="1"/>
  <c r="BN9" i="3" l="1"/>
  <c r="BQ22" i="3"/>
  <c r="BN104" i="3"/>
  <c r="BO9" i="3"/>
  <c r="BK104" i="3"/>
  <c r="BT9" i="3"/>
  <c r="BM9" i="3"/>
  <c r="BW5" i="3"/>
  <c r="BJ22" i="3"/>
  <c r="BK9" i="3"/>
  <c r="BS104" i="3"/>
  <c r="BO104" i="3"/>
  <c r="BS9" i="3"/>
  <c r="BO22" i="3"/>
  <c r="BQ104" i="3"/>
  <c r="BP9" i="3"/>
  <c r="BR9" i="3"/>
  <c r="BU22" i="3"/>
  <c r="BJ9" i="3"/>
  <c r="BS22" i="3"/>
  <c r="BL104" i="3"/>
  <c r="BJ104" i="3"/>
  <c r="BT22" i="3"/>
  <c r="BM22" i="3"/>
  <c r="BL9" i="3"/>
  <c r="BU104" i="3"/>
  <c r="BQ9" i="3"/>
  <c r="BN22" i="3"/>
  <c r="BT104" i="3"/>
  <c r="BI104" i="3"/>
  <c r="BI9" i="3"/>
  <c r="BK22" i="3"/>
  <c r="BP104" i="3"/>
  <c r="BU9" i="3"/>
  <c r="BP22" i="3"/>
  <c r="BR22" i="3"/>
  <c r="BL22" i="3"/>
  <c r="BI22" i="3"/>
  <c r="BM104" i="3"/>
  <c r="BR104" i="3"/>
  <c r="N67" i="5"/>
  <c r="Q67" i="5"/>
  <c r="O67" i="5"/>
  <c r="N57" i="5"/>
  <c r="N65" i="5"/>
  <c r="Q69" i="5"/>
  <c r="N69" i="5"/>
  <c r="R57" i="5"/>
  <c r="O57" i="5"/>
  <c r="O68" i="5"/>
  <c r="N68" i="5"/>
  <c r="Q68" i="5"/>
  <c r="Q83" i="5"/>
  <c r="N72" i="5"/>
  <c r="N89" i="5"/>
  <c r="Q89" i="5"/>
  <c r="R72" i="5"/>
  <c r="O89" i="5"/>
  <c r="N75" i="5"/>
  <c r="O75" i="5"/>
  <c r="R63" i="5"/>
  <c r="Q97" i="5"/>
  <c r="R95" i="5"/>
  <c r="Q55" i="5"/>
  <c r="R85" i="5"/>
  <c r="O97" i="5"/>
  <c r="O95" i="5"/>
  <c r="R71" i="5"/>
  <c r="Q101" i="5"/>
  <c r="N83" i="5"/>
  <c r="N63" i="5"/>
  <c r="Q80" i="5"/>
  <c r="O63" i="5"/>
  <c r="O83" i="5"/>
  <c r="N91" i="5"/>
  <c r="N71" i="5"/>
  <c r="O55" i="5"/>
  <c r="N59" i="5"/>
  <c r="O71" i="5"/>
  <c r="O69" i="5"/>
  <c r="N80" i="5"/>
  <c r="Q59" i="5"/>
  <c r="Q85" i="5"/>
  <c r="R65" i="5"/>
  <c r="N100" i="5"/>
  <c r="N85" i="5"/>
  <c r="O100" i="5"/>
  <c r="O72" i="5"/>
  <c r="Q92" i="5"/>
  <c r="R73" i="5"/>
  <c r="O99" i="5"/>
  <c r="R61" i="5"/>
  <c r="R80" i="5"/>
  <c r="N55" i="5"/>
  <c r="N92" i="5"/>
  <c r="O65" i="5"/>
  <c r="R79" i="5"/>
  <c r="R99" i="5"/>
  <c r="O92" i="5"/>
  <c r="N87" i="5"/>
  <c r="Q56" i="5"/>
  <c r="O76" i="5"/>
  <c r="O87" i="5"/>
  <c r="O56" i="5"/>
  <c r="R76" i="5"/>
  <c r="Q73" i="5"/>
  <c r="R97" i="5"/>
  <c r="Q91" i="5"/>
  <c r="Q61" i="5"/>
  <c r="O81" i="5"/>
  <c r="R87" i="5"/>
  <c r="N56" i="5"/>
  <c r="N99" i="5"/>
  <c r="O79" i="5"/>
  <c r="R91" i="5"/>
  <c r="R100" i="5"/>
  <c r="R75" i="5"/>
  <c r="Q93" i="5"/>
  <c r="N101" i="5"/>
  <c r="Q81" i="5"/>
  <c r="N61" i="5"/>
  <c r="N15" i="4" a="1"/>
  <c r="N15" i="4" s="1"/>
  <c r="M15" i="4" a="1"/>
  <c r="M15" i="4" s="1"/>
  <c r="V15" i="4" s="1"/>
  <c r="N64" i="5"/>
  <c r="O88" i="5"/>
  <c r="R64" i="5"/>
  <c r="O64" i="5"/>
  <c r="Q88" i="5"/>
  <c r="Q60" i="5"/>
  <c r="R88" i="5"/>
  <c r="N60" i="5"/>
  <c r="O59" i="5"/>
  <c r="R93" i="5"/>
  <c r="N84" i="5"/>
  <c r="O60" i="5"/>
  <c r="N93" i="5"/>
  <c r="O96" i="5"/>
  <c r="N76" i="5"/>
  <c r="Q96" i="5"/>
  <c r="J17" i="4" a="1"/>
  <c r="J17" i="4" s="1"/>
  <c r="G17" i="4" a="1"/>
  <c r="G17" i="4" s="1"/>
  <c r="E17" i="4" a="1"/>
  <c r="E17" i="4" s="1"/>
  <c r="C18" i="4" a="1"/>
  <c r="C18" i="4" s="1"/>
  <c r="H17" i="4"/>
  <c r="N73" i="5"/>
  <c r="O77" i="5"/>
  <c r="R77" i="5"/>
  <c r="N95" i="5"/>
  <c r="R101" i="5"/>
  <c r="N81" i="5"/>
  <c r="Q79" i="5"/>
  <c r="N96" i="5"/>
  <c r="Q84" i="5"/>
  <c r="R84" i="5"/>
  <c r="Q77" i="5"/>
  <c r="N14" i="4" a="1"/>
  <c r="N14" i="4" s="1"/>
  <c r="O14" i="4" s="1"/>
  <c r="D16" i="4"/>
  <c r="I16" i="4" s="1" a="1"/>
  <c r="I16" i="4" s="1"/>
  <c r="K16" i="4" s="1" a="1"/>
  <c r="K16" i="4" s="1"/>
  <c r="F16" i="4"/>
  <c r="L16" i="4" a="1"/>
  <c r="L16" i="4" s="1"/>
  <c r="CK5" i="3" l="1"/>
  <c r="BX9" i="3"/>
  <c r="CC104" i="3"/>
  <c r="CG9" i="3"/>
  <c r="CB22" i="3"/>
  <c r="CA104" i="3"/>
  <c r="BY9" i="3"/>
  <c r="CA9" i="3"/>
  <c r="CI9" i="3"/>
  <c r="BW9" i="3"/>
  <c r="CC9" i="3"/>
  <c r="CH9" i="3"/>
  <c r="CG22" i="3"/>
  <c r="BZ104" i="3"/>
  <c r="BY104" i="3"/>
  <c r="CD9" i="3"/>
  <c r="CE104" i="3"/>
  <c r="CC22" i="3"/>
  <c r="CD104" i="3"/>
  <c r="CG104" i="3"/>
  <c r="BX22" i="3"/>
  <c r="BW22" i="3"/>
  <c r="CF22" i="3"/>
  <c r="CD22" i="3"/>
  <c r="BZ22" i="3"/>
  <c r="CI104" i="3"/>
  <c r="CE22" i="3"/>
  <c r="BX104" i="3"/>
  <c r="CF9" i="3"/>
  <c r="CA22" i="3"/>
  <c r="BZ9" i="3"/>
  <c r="BY22" i="3"/>
  <c r="CI22" i="3"/>
  <c r="CF104" i="3"/>
  <c r="CE9" i="3"/>
  <c r="BW104" i="3"/>
  <c r="CB104" i="3"/>
  <c r="CH22" i="3"/>
  <c r="CB9" i="3"/>
  <c r="CH104" i="3"/>
  <c r="T14" i="4"/>
  <c r="Q15" i="4"/>
  <c r="O15" i="4"/>
  <c r="T15" i="4"/>
  <c r="F17" i="4"/>
  <c r="D17" i="4"/>
  <c r="I17" i="4" s="1" a="1"/>
  <c r="I17" i="4" s="1"/>
  <c r="K17" i="4" s="1" a="1"/>
  <c r="K17" i="4" s="1"/>
  <c r="L17" i="4" a="1"/>
  <c r="L17" i="4" s="1"/>
  <c r="M16" i="4" a="1"/>
  <c r="M16" i="4" s="1"/>
  <c r="V16" i="4" s="1"/>
  <c r="N16" i="4" a="1"/>
  <c r="N16" i="4" s="1"/>
  <c r="J18" i="4" a="1"/>
  <c r="J18" i="4" s="1"/>
  <c r="G18" i="4" a="1"/>
  <c r="G18" i="4" s="1"/>
  <c r="E18" i="4" a="1"/>
  <c r="E18" i="4" s="1"/>
  <c r="C19" i="4" a="1"/>
  <c r="C19" i="4" s="1"/>
  <c r="H18" i="4"/>
  <c r="Q14" i="4"/>
  <c r="P14" i="4"/>
  <c r="P15" i="4"/>
  <c r="R15" i="4"/>
  <c r="R14" i="4"/>
  <c r="CW9" i="3" l="1"/>
  <c r="CQ104" i="3"/>
  <c r="CO22" i="3"/>
  <c r="CL104" i="3"/>
  <c r="CS9" i="3"/>
  <c r="CO104" i="3"/>
  <c r="CK22" i="3"/>
  <c r="CN9" i="3"/>
  <c r="CT9" i="3"/>
  <c r="CV9" i="3"/>
  <c r="CU9" i="3"/>
  <c r="CR22" i="3"/>
  <c r="CY5" i="3"/>
  <c r="CP22" i="3"/>
  <c r="CP104" i="3"/>
  <c r="CQ22" i="3"/>
  <c r="CN22" i="3"/>
  <c r="CT104" i="3"/>
  <c r="CU22" i="3"/>
  <c r="CR104" i="3"/>
  <c r="CM104" i="3"/>
  <c r="CK9" i="3"/>
  <c r="CL22" i="3"/>
  <c r="CS22" i="3"/>
  <c r="CW22" i="3"/>
  <c r="CW104" i="3"/>
  <c r="CO9" i="3"/>
  <c r="CS104" i="3"/>
  <c r="CL9" i="3"/>
  <c r="CV104" i="3"/>
  <c r="CR9" i="3"/>
  <c r="CM22" i="3"/>
  <c r="CT22" i="3"/>
  <c r="CK104" i="3"/>
  <c r="CU104" i="3"/>
  <c r="CP9" i="3"/>
  <c r="CQ9" i="3"/>
  <c r="CN104" i="3"/>
  <c r="CV22" i="3"/>
  <c r="CM9" i="3"/>
  <c r="S14" i="4"/>
  <c r="S15" i="4"/>
  <c r="F18" i="4"/>
  <c r="D18" i="4"/>
  <c r="I18" i="4" s="1" a="1"/>
  <c r="I18" i="4" s="1"/>
  <c r="K18" i="4" s="1" a="1"/>
  <c r="K18" i="4" s="1"/>
  <c r="L18" i="4" a="1"/>
  <c r="L18" i="4" s="1"/>
  <c r="T16" i="4"/>
  <c r="N17" i="4" a="1"/>
  <c r="N17" i="4" s="1"/>
  <c r="M17" i="4" a="1"/>
  <c r="M17" i="4" s="1"/>
  <c r="Q16" i="4"/>
  <c r="G19" i="4" a="1"/>
  <c r="G19" i="4" s="1"/>
  <c r="E19" i="4" a="1"/>
  <c r="E19" i="4" s="1"/>
  <c r="J19" i="4" a="1"/>
  <c r="J19" i="4" s="1"/>
  <c r="C20" i="4" a="1"/>
  <c r="C20" i="4" s="1"/>
  <c r="H19" i="4"/>
  <c r="O16" i="4"/>
  <c r="P16" i="4"/>
  <c r="R16" i="4"/>
  <c r="Q17" i="4" l="1"/>
  <c r="DF9" i="3"/>
  <c r="DJ9" i="3"/>
  <c r="DD9" i="3"/>
  <c r="DK9" i="3"/>
  <c r="DG9" i="3"/>
  <c r="DA22" i="3"/>
  <c r="DI104" i="3"/>
  <c r="DD22" i="3"/>
  <c r="DI9" i="3"/>
  <c r="DJ22" i="3"/>
  <c r="DK104" i="3"/>
  <c r="DM5" i="3"/>
  <c r="DE104" i="3"/>
  <c r="DA9" i="3"/>
  <c r="DK22" i="3"/>
  <c r="DJ104" i="3"/>
  <c r="DB104" i="3"/>
  <c r="CY22" i="3"/>
  <c r="DI22" i="3"/>
  <c r="DG22" i="3"/>
  <c r="DH104" i="3"/>
  <c r="DG104" i="3"/>
  <c r="DB9" i="3"/>
  <c r="DH9" i="3"/>
  <c r="CZ104" i="3"/>
  <c r="DA104" i="3"/>
  <c r="DD104" i="3"/>
  <c r="DC9" i="3"/>
  <c r="DB22" i="3"/>
  <c r="DC104" i="3"/>
  <c r="DF104" i="3"/>
  <c r="CZ22" i="3"/>
  <c r="CY9" i="3"/>
  <c r="DH22" i="3"/>
  <c r="DC22" i="3"/>
  <c r="DE9" i="3"/>
  <c r="DF22" i="3"/>
  <c r="CZ9" i="3"/>
  <c r="CY104" i="3"/>
  <c r="DE22" i="3"/>
  <c r="O17" i="4"/>
  <c r="S16" i="4"/>
  <c r="J20" i="4" a="1"/>
  <c r="J20" i="4" s="1"/>
  <c r="G20" i="4" a="1"/>
  <c r="G20" i="4" s="1"/>
  <c r="C21" i="4" a="1"/>
  <c r="C21" i="4" s="1"/>
  <c r="H20" i="4"/>
  <c r="E20" i="4" a="1"/>
  <c r="E20" i="4" s="1"/>
  <c r="V18" i="4"/>
  <c r="O18" i="4"/>
  <c r="M18" i="4" a="1"/>
  <c r="M18" i="4" s="1"/>
  <c r="Q18" i="4"/>
  <c r="T18" i="4"/>
  <c r="P18" i="4"/>
  <c r="N18" i="4" a="1"/>
  <c r="N18" i="4" s="1"/>
  <c r="S18" i="4"/>
  <c r="U18" i="4"/>
  <c r="R18" i="4"/>
  <c r="W18" i="4"/>
  <c r="X18" i="4"/>
  <c r="D19" i="4"/>
  <c r="I19" i="4" s="1" a="1"/>
  <c r="I19" i="4" s="1"/>
  <c r="K19" i="4" a="1"/>
  <c r="K19" i="4" s="1"/>
  <c r="F19" i="4"/>
  <c r="L19" i="4" a="1"/>
  <c r="L19" i="4" s="1"/>
  <c r="V17" i="4"/>
  <c r="AD19" i="4"/>
  <c r="AB19" i="4"/>
  <c r="AA19" i="4"/>
  <c r="Y19" i="4"/>
  <c r="Z19" i="4"/>
  <c r="AC19" i="4"/>
  <c r="T17" i="4"/>
  <c r="P17" i="4"/>
  <c r="R17" i="4"/>
  <c r="DO9" i="3" l="1"/>
  <c r="DS104" i="3"/>
  <c r="DV9" i="3"/>
  <c r="DN9" i="3"/>
  <c r="DT9" i="3"/>
  <c r="DQ104" i="3"/>
  <c r="DM22" i="3"/>
  <c r="DQ9" i="3"/>
  <c r="DV22" i="3"/>
  <c r="DV104" i="3"/>
  <c r="DR22" i="3"/>
  <c r="DS9" i="3"/>
  <c r="DY9" i="3"/>
  <c r="DT22" i="3"/>
  <c r="DN104" i="3"/>
  <c r="DU104" i="3"/>
  <c r="DX104" i="3"/>
  <c r="DX22" i="3"/>
  <c r="DY22" i="3"/>
  <c r="DO22" i="3"/>
  <c r="DO104" i="3"/>
  <c r="DQ22" i="3"/>
  <c r="DT104" i="3"/>
  <c r="DR104" i="3"/>
  <c r="DR9" i="3"/>
  <c r="DW104" i="3"/>
  <c r="DP104" i="3"/>
  <c r="DU22" i="3"/>
  <c r="DW9" i="3"/>
  <c r="EA5" i="3"/>
  <c r="DN22" i="3"/>
  <c r="DP22" i="3"/>
  <c r="DM9" i="3"/>
  <c r="DW22" i="3"/>
  <c r="DS22" i="3"/>
  <c r="DM104" i="3"/>
  <c r="DP9" i="3"/>
  <c r="DU9" i="3"/>
  <c r="DX9" i="3"/>
  <c r="DY104" i="3"/>
  <c r="S17" i="4"/>
  <c r="F20" i="4"/>
  <c r="D20" i="4"/>
  <c r="I20" i="4" s="1" a="1"/>
  <c r="I20" i="4" s="1"/>
  <c r="K20" i="4" a="1"/>
  <c r="K20" i="4" s="1"/>
  <c r="L20" i="4" a="1"/>
  <c r="L20" i="4" s="1"/>
  <c r="H21" i="4"/>
  <c r="J21" i="4" a="1"/>
  <c r="J21" i="4" s="1"/>
  <c r="G21" i="4" a="1"/>
  <c r="G21" i="4" s="1"/>
  <c r="C22" i="4" a="1"/>
  <c r="C22" i="4" s="1"/>
  <c r="E21" i="4" a="1"/>
  <c r="E21" i="4" s="1"/>
  <c r="AA20" i="4"/>
  <c r="AC20" i="4"/>
  <c r="Z20" i="4"/>
  <c r="AB20" i="4"/>
  <c r="AD20" i="4"/>
  <c r="N19" i="4" a="1"/>
  <c r="N19" i="4" s="1"/>
  <c r="O19" i="4"/>
  <c r="M19" i="4" a="1"/>
  <c r="M19" i="4" s="1"/>
  <c r="Q19" i="4"/>
  <c r="V19" i="4"/>
  <c r="P19" i="4"/>
  <c r="T19" i="4"/>
  <c r="U19" i="4"/>
  <c r="X19" i="4"/>
  <c r="W19" i="4"/>
  <c r="R19" i="4"/>
  <c r="S19" i="4"/>
  <c r="U17" i="4"/>
  <c r="U16" i="4"/>
  <c r="U15" i="4"/>
  <c r="U14" i="4"/>
  <c r="EB9" i="3" l="1"/>
  <c r="EA22" i="3"/>
  <c r="EB104" i="3"/>
  <c r="EH9" i="3"/>
  <c r="EI104" i="3"/>
  <c r="EG22" i="3"/>
  <c r="EL104" i="3"/>
  <c r="EM22" i="3"/>
  <c r="EG9" i="3"/>
  <c r="EG104" i="3"/>
  <c r="EK9" i="3"/>
  <c r="EF104" i="3"/>
  <c r="EC9" i="3"/>
  <c r="EI9" i="3"/>
  <c r="EF9" i="3"/>
  <c r="EB22" i="3"/>
  <c r="EM9" i="3"/>
  <c r="EF22" i="3"/>
  <c r="ED9" i="3"/>
  <c r="EI22" i="3"/>
  <c r="EC22" i="3"/>
  <c r="EE104" i="3"/>
  <c r="EL9" i="3"/>
  <c r="EK104" i="3"/>
  <c r="EE22" i="3"/>
  <c r="ED104" i="3"/>
  <c r="EC104" i="3"/>
  <c r="EJ22" i="3"/>
  <c r="EJ9" i="3"/>
  <c r="EM104" i="3"/>
  <c r="EJ104" i="3"/>
  <c r="EH22" i="3"/>
  <c r="ED22" i="3"/>
  <c r="EA104" i="3"/>
  <c r="EE9" i="3"/>
  <c r="EL22" i="3"/>
  <c r="EH104" i="3"/>
  <c r="EK22" i="3"/>
  <c r="EA9" i="3"/>
  <c r="H22" i="4"/>
  <c r="J22" i="4" a="1"/>
  <c r="J22" i="4" s="1"/>
  <c r="G22" i="4" a="1"/>
  <c r="G22" i="4" s="1"/>
  <c r="C23" i="4" a="1"/>
  <c r="C23" i="4" s="1"/>
  <c r="E22" i="4" a="1"/>
  <c r="E22" i="4" s="1"/>
  <c r="Q20" i="4"/>
  <c r="V20" i="4"/>
  <c r="P20" i="4"/>
  <c r="M20" i="4" a="1"/>
  <c r="M20" i="4" s="1"/>
  <c r="O20" i="4"/>
  <c r="T20" i="4"/>
  <c r="N20" i="4" a="1"/>
  <c r="N20" i="4" s="1"/>
  <c r="W20" i="4"/>
  <c r="R20" i="4"/>
  <c r="S20" i="4"/>
  <c r="X20" i="4"/>
  <c r="U20" i="4"/>
  <c r="D21" i="4"/>
  <c r="I21" i="4" s="1" a="1"/>
  <c r="I21" i="4" s="1"/>
  <c r="K21" i="4" s="1" a="1"/>
  <c r="K21" i="4" s="1"/>
  <c r="F21" i="4"/>
  <c r="L21" i="4" a="1"/>
  <c r="L21" i="4" s="1"/>
  <c r="W16" i="4"/>
  <c r="W15" i="4"/>
  <c r="W14" i="4"/>
  <c r="W17" i="4"/>
  <c r="X15" i="4" l="1"/>
  <c r="X14" i="4"/>
  <c r="X17" i="4"/>
  <c r="X16" i="4"/>
  <c r="M21" i="4" a="1"/>
  <c r="M21" i="4" s="1"/>
  <c r="J23" i="4" a="1"/>
  <c r="J23" i="4" s="1"/>
  <c r="C24" i="4" a="1"/>
  <c r="C24" i="4" s="1"/>
  <c r="E23" i="4" a="1"/>
  <c r="E23" i="4" s="1"/>
  <c r="H23" i="4"/>
  <c r="G23" i="4" a="1"/>
  <c r="G23" i="4" s="1"/>
  <c r="F22" i="4"/>
  <c r="D22" i="4"/>
  <c r="I22" i="4" s="1" a="1"/>
  <c r="I22" i="4" s="1"/>
  <c r="K22" i="4" s="1" a="1"/>
  <c r="K22" i="4" s="1"/>
  <c r="L22" i="4" a="1"/>
  <c r="L22" i="4" s="1"/>
  <c r="Y20" i="4" l="1"/>
  <c r="Z18" i="4"/>
  <c r="Y18" i="4"/>
  <c r="AA18" i="4"/>
  <c r="F41" i="5" a="1"/>
  <c r="F41" i="5" s="1"/>
  <c r="M22" i="4" a="1"/>
  <c r="M22" i="4" s="1"/>
  <c r="V21" i="4"/>
  <c r="F23" i="4"/>
  <c r="D23" i="4"/>
  <c r="I23" i="4" s="1" a="1"/>
  <c r="I23" i="4" s="1"/>
  <c r="K23" i="4" s="1" a="1"/>
  <c r="K23" i="4" s="1"/>
  <c r="L23" i="4" a="1"/>
  <c r="L23" i="4" s="1"/>
  <c r="G24" i="4" a="1"/>
  <c r="G24" i="4" s="1"/>
  <c r="E24" i="4" a="1"/>
  <c r="E24" i="4" s="1"/>
  <c r="C25" i="4" a="1"/>
  <c r="C25" i="4" s="1"/>
  <c r="H24" i="4"/>
  <c r="J24" i="4" a="1"/>
  <c r="J24" i="4" s="1"/>
  <c r="AD18" i="4" l="1"/>
  <c r="AB18" i="4"/>
  <c r="AC18" i="4"/>
  <c r="AJ22" i="4"/>
  <c r="V22" i="4"/>
  <c r="C26" i="4" a="1"/>
  <c r="C26" i="4" s="1"/>
  <c r="J25" i="4" a="1"/>
  <c r="J25" i="4" s="1"/>
  <c r="E25" i="4" a="1"/>
  <c r="E25" i="4" s="1"/>
  <c r="G25" i="4" a="1"/>
  <c r="G25" i="4" s="1"/>
  <c r="H25" i="4"/>
  <c r="M23" i="4" a="1"/>
  <c r="M23" i="4" s="1"/>
  <c r="V23" i="4" s="1"/>
  <c r="F24" i="4"/>
  <c r="D24" i="4"/>
  <c r="I24" i="4" s="1" a="1"/>
  <c r="I24" i="4" s="1"/>
  <c r="K24" i="4" s="1" a="1"/>
  <c r="K24" i="4" s="1"/>
  <c r="L24" i="4" a="1"/>
  <c r="L24" i="4" s="1"/>
  <c r="D25" i="4" l="1"/>
  <c r="I25" i="4" s="1" a="1"/>
  <c r="I25" i="4" s="1"/>
  <c r="K25" i="4" s="1" a="1"/>
  <c r="K25" i="4" s="1"/>
  <c r="F25" i="4"/>
  <c r="L25" i="4" a="1"/>
  <c r="L25" i="4" s="1"/>
  <c r="C27" i="4" a="1"/>
  <c r="C27" i="4" s="1"/>
  <c r="J26" i="4" a="1"/>
  <c r="J26" i="4" s="1"/>
  <c r="H26" i="4"/>
  <c r="G26" i="4" a="1"/>
  <c r="G26" i="4" s="1"/>
  <c r="E26" i="4" a="1"/>
  <c r="E26" i="4" s="1"/>
  <c r="M24" i="4" a="1"/>
  <c r="M24" i="4" s="1"/>
  <c r="M25" i="4" l="1" a="1"/>
  <c r="M25" i="4" s="1"/>
  <c r="V25" i="4" s="1"/>
  <c r="D26" i="4"/>
  <c r="I26" i="4" s="1" a="1"/>
  <c r="I26" i="4" s="1"/>
  <c r="K26" i="4" s="1" a="1"/>
  <c r="K26" i="4" s="1"/>
  <c r="F26" i="4"/>
  <c r="L26" i="4" a="1"/>
  <c r="L26" i="4" s="1"/>
  <c r="V24" i="4"/>
  <c r="C28" i="4" a="1"/>
  <c r="C28" i="4" s="1"/>
  <c r="G27" i="4" a="1"/>
  <c r="G27" i="4" s="1"/>
  <c r="J27" i="4" a="1"/>
  <c r="J27" i="4" s="1"/>
  <c r="E27" i="4" a="1"/>
  <c r="E27" i="4" s="1"/>
  <c r="H27" i="4"/>
  <c r="D27" i="4" l="1"/>
  <c r="I27" i="4" s="1" a="1"/>
  <c r="I27" i="4" s="1"/>
  <c r="K27" i="4" a="1"/>
  <c r="K27" i="4" s="1"/>
  <c r="F27" i="4"/>
  <c r="L27" i="4" a="1"/>
  <c r="L27" i="4" s="1"/>
  <c r="M26" i="4" a="1"/>
  <c r="M26" i="4" s="1"/>
  <c r="V26" i="4" s="1"/>
  <c r="G28" i="4" a="1"/>
  <c r="G28" i="4" s="1"/>
  <c r="C29" i="4" a="1"/>
  <c r="C29" i="4" s="1"/>
  <c r="H28" i="4"/>
  <c r="J28" i="4" a="1"/>
  <c r="J28" i="4" s="1"/>
  <c r="E28" i="4" a="1"/>
  <c r="E28" i="4" s="1"/>
  <c r="D28" i="4" l="1"/>
  <c r="I28" i="4" s="1" a="1"/>
  <c r="I28" i="4" s="1"/>
  <c r="F28" i="4"/>
  <c r="K28" i="4" a="1"/>
  <c r="K28" i="4" s="1"/>
  <c r="L28" i="4" a="1"/>
  <c r="L28" i="4" s="1"/>
  <c r="J29" i="4" a="1"/>
  <c r="J29" i="4" s="1"/>
  <c r="E29" i="4" a="1"/>
  <c r="E29" i="4" s="1"/>
  <c r="C30" i="4" a="1"/>
  <c r="C30" i="4" s="1"/>
  <c r="G29" i="4" a="1"/>
  <c r="G29" i="4" s="1"/>
  <c r="H29" i="4"/>
  <c r="M27" i="4" a="1"/>
  <c r="M27" i="4" s="1"/>
  <c r="V27" i="4" s="1"/>
  <c r="H30" i="4" l="1"/>
  <c r="G30" i="4" a="1"/>
  <c r="G30" i="4" s="1"/>
  <c r="E30" i="4" a="1"/>
  <c r="E30" i="4" s="1"/>
  <c r="J30" i="4" a="1"/>
  <c r="J30" i="4" s="1"/>
  <c r="C31" i="4" a="1"/>
  <c r="C31" i="4" s="1"/>
  <c r="D29" i="4"/>
  <c r="I29" i="4" s="1" a="1"/>
  <c r="I29" i="4" s="1"/>
  <c r="K29" i="4" a="1"/>
  <c r="K29" i="4" s="1"/>
  <c r="F29" i="4"/>
  <c r="L29" i="4" a="1"/>
  <c r="L29" i="4" s="1"/>
  <c r="M28" i="4" a="1"/>
  <c r="M28" i="4" s="1"/>
  <c r="F30" i="4" l="1"/>
  <c r="D30" i="4"/>
  <c r="I30" i="4" s="1" a="1"/>
  <c r="I30" i="4" s="1"/>
  <c r="K30" i="4" s="1" a="1"/>
  <c r="K30" i="4" s="1"/>
  <c r="L30" i="4" a="1"/>
  <c r="L30" i="4" s="1"/>
  <c r="M29" i="4" a="1"/>
  <c r="M29" i="4" s="1"/>
  <c r="V28" i="4"/>
  <c r="G31" i="4" a="1"/>
  <c r="G31" i="4" s="1"/>
  <c r="C32" i="4" a="1"/>
  <c r="C32" i="4" s="1"/>
  <c r="H31" i="4"/>
  <c r="J31" i="4" a="1"/>
  <c r="J31" i="4" s="1"/>
  <c r="E31" i="4" a="1"/>
  <c r="E31" i="4" s="1"/>
  <c r="H32" i="4" l="1"/>
  <c r="C33" i="4" a="1"/>
  <c r="C33" i="4" s="1"/>
  <c r="E32" i="4" a="1"/>
  <c r="E32" i="4" s="1"/>
  <c r="J32" i="4" a="1"/>
  <c r="J32" i="4" s="1"/>
  <c r="G32" i="4" a="1"/>
  <c r="G32" i="4" s="1"/>
  <c r="M30" i="4" a="1"/>
  <c r="M30" i="4" s="1"/>
  <c r="V30" i="4" s="1"/>
  <c r="V29" i="4"/>
  <c r="D31" i="4"/>
  <c r="I31" i="4" s="1" a="1"/>
  <c r="I31" i="4" s="1"/>
  <c r="F31" i="4"/>
  <c r="K31" i="4" a="1"/>
  <c r="K31" i="4" s="1"/>
  <c r="L31" i="4" a="1"/>
  <c r="L31" i="4" s="1"/>
  <c r="D32" i="4" l="1"/>
  <c r="I32" i="4" s="1" a="1"/>
  <c r="I32" i="4" s="1"/>
  <c r="K32" i="4" s="1" a="1"/>
  <c r="K32" i="4" s="1"/>
  <c r="F32" i="4"/>
  <c r="L32" i="4" a="1"/>
  <c r="L32" i="4" s="1"/>
  <c r="H33" i="4"/>
  <c r="E33" i="4" a="1"/>
  <c r="E33" i="4" s="1"/>
  <c r="J33" i="4" a="1"/>
  <c r="J33" i="4" s="1"/>
  <c r="C34" i="4" a="1"/>
  <c r="C34" i="4" s="1"/>
  <c r="G33" i="4" a="1"/>
  <c r="G33" i="4" s="1"/>
  <c r="M31" i="4" a="1"/>
  <c r="M31" i="4" s="1"/>
  <c r="V31" i="4" s="1"/>
  <c r="J34" i="4" l="1" a="1"/>
  <c r="J34" i="4" s="1"/>
  <c r="C35" i="4" a="1"/>
  <c r="C35" i="4" s="1"/>
  <c r="H34" i="4"/>
  <c r="E34" i="4" a="1"/>
  <c r="E34" i="4" s="1"/>
  <c r="G34" i="4" a="1"/>
  <c r="G34" i="4" s="1"/>
  <c r="M32" i="4" a="1"/>
  <c r="M32" i="4" s="1"/>
  <c r="F33" i="4"/>
  <c r="D33" i="4"/>
  <c r="I33" i="4" s="1" a="1"/>
  <c r="I33" i="4" s="1"/>
  <c r="K33" i="4" s="1" a="1"/>
  <c r="K33" i="4" s="1"/>
  <c r="L33" i="4" a="1"/>
  <c r="L33" i="4" s="1"/>
  <c r="M33" i="4" l="1" a="1"/>
  <c r="M33" i="4" s="1"/>
  <c r="V33" i="4" s="1"/>
  <c r="V32" i="4"/>
  <c r="F34" i="4"/>
  <c r="D34" i="4"/>
  <c r="I34" i="4" s="1" a="1"/>
  <c r="I34" i="4" s="1"/>
  <c r="K34" i="4" s="1" a="1"/>
  <c r="K34" i="4" s="1"/>
  <c r="L34" i="4" a="1"/>
  <c r="L34" i="4" s="1"/>
  <c r="G35" i="4" a="1"/>
  <c r="G35" i="4" s="1"/>
  <c r="J35" i="4" a="1"/>
  <c r="J35" i="4" s="1"/>
  <c r="E35" i="4" a="1"/>
  <c r="E35" i="4" s="1"/>
  <c r="H35" i="4"/>
  <c r="C36" i="4" a="1"/>
  <c r="C36" i="4" s="1"/>
  <c r="E36" i="4" l="1" a="1"/>
  <c r="E36" i="4" s="1"/>
  <c r="J36" i="4" a="1"/>
  <c r="J36" i="4" s="1"/>
  <c r="C37" i="4" a="1"/>
  <c r="C37" i="4" s="1"/>
  <c r="N32" i="4" s="1" a="1"/>
  <c r="N32" i="4" s="1"/>
  <c r="H36" i="4"/>
  <c r="G36" i="4" a="1"/>
  <c r="G36" i="4" s="1"/>
  <c r="D35" i="4"/>
  <c r="I35" i="4" s="1" a="1"/>
  <c r="I35" i="4" s="1"/>
  <c r="K35" i="4" s="1" a="1"/>
  <c r="K35" i="4" s="1"/>
  <c r="F35" i="4"/>
  <c r="L35" i="4" a="1"/>
  <c r="L35" i="4" s="1"/>
  <c r="M34" i="4" a="1"/>
  <c r="M34" i="4" s="1"/>
  <c r="N28" i="4" l="1" a="1"/>
  <c r="N28" i="4" s="1"/>
  <c r="N24" i="4" a="1"/>
  <c r="N24" i="4" s="1"/>
  <c r="N30" i="4" a="1"/>
  <c r="N30" i="4" s="1"/>
  <c r="O30" i="4" s="1"/>
  <c r="N34" i="4" a="1"/>
  <c r="N34" i="4" s="1"/>
  <c r="T34" i="4" s="1"/>
  <c r="N29" i="4" a="1"/>
  <c r="N29" i="4" s="1"/>
  <c r="T29" i="4" s="1"/>
  <c r="N27" i="4" a="1"/>
  <c r="N27" i="4" s="1"/>
  <c r="Q27" i="4" s="1"/>
  <c r="T32" i="4"/>
  <c r="Q32" i="4"/>
  <c r="O32" i="4"/>
  <c r="N31" i="4" a="1"/>
  <c r="N31" i="4" s="1"/>
  <c r="Q31" i="4" s="1"/>
  <c r="N33" i="4" a="1"/>
  <c r="N33" i="4" s="1"/>
  <c r="N25" i="4" a="1"/>
  <c r="N25" i="4" s="1"/>
  <c r="O25" i="4" s="1"/>
  <c r="Q24" i="4"/>
  <c r="O24" i="4"/>
  <c r="T24" i="4"/>
  <c r="Q28" i="4"/>
  <c r="O28" i="4"/>
  <c r="T28" i="4"/>
  <c r="M35" i="4" a="1"/>
  <c r="M35" i="4" s="1"/>
  <c r="V35" i="4" s="1"/>
  <c r="N35" i="4" a="1"/>
  <c r="N35" i="4" s="1"/>
  <c r="V34" i="4"/>
  <c r="C38" i="4" a="1"/>
  <c r="C38" i="4" s="1"/>
  <c r="E37" i="4" a="1"/>
  <c r="E37" i="4" s="1"/>
  <c r="J37" i="4" a="1"/>
  <c r="J37" i="4" s="1"/>
  <c r="H37" i="4"/>
  <c r="G37" i="4" a="1"/>
  <c r="G37" i="4" s="1"/>
  <c r="F36" i="4"/>
  <c r="D36" i="4"/>
  <c r="I36" i="4" s="1" a="1"/>
  <c r="I36" i="4" s="1"/>
  <c r="K36" i="4" s="1" a="1"/>
  <c r="K36" i="4" s="1"/>
  <c r="L36" i="4" a="1"/>
  <c r="L36" i="4" s="1"/>
  <c r="Q29" i="4" l="1"/>
  <c r="O29" i="4"/>
  <c r="O34" i="4"/>
  <c r="T30" i="4"/>
  <c r="O31" i="4"/>
  <c r="Q34" i="4"/>
  <c r="Q30" i="4"/>
  <c r="T31" i="4"/>
  <c r="T27" i="4"/>
  <c r="O27" i="4"/>
  <c r="Q25" i="4"/>
  <c r="T25" i="4"/>
  <c r="Q33" i="4"/>
  <c r="O33" i="4"/>
  <c r="T33" i="4"/>
  <c r="O35" i="4"/>
  <c r="T35" i="4"/>
  <c r="Q35" i="4"/>
  <c r="N36" i="4" a="1"/>
  <c r="N36" i="4" s="1"/>
  <c r="M36" i="4" a="1"/>
  <c r="M36" i="4" s="1"/>
  <c r="V36" i="4" s="1"/>
  <c r="F37" i="4"/>
  <c r="D37" i="4"/>
  <c r="I37" i="4" s="1" a="1"/>
  <c r="I37" i="4" s="1"/>
  <c r="K37" i="4" s="1" a="1"/>
  <c r="K37" i="4" s="1"/>
  <c r="L37" i="4" a="1"/>
  <c r="L37" i="4" s="1"/>
  <c r="C39" i="4" a="1"/>
  <c r="C39" i="4" s="1"/>
  <c r="J38" i="4" a="1"/>
  <c r="J38" i="4" s="1"/>
  <c r="G38" i="4" a="1"/>
  <c r="G38" i="4" s="1"/>
  <c r="E38" i="4" a="1"/>
  <c r="E38" i="4" s="1"/>
  <c r="H38" i="4"/>
  <c r="R28" i="4"/>
  <c r="R24" i="4"/>
  <c r="P33" i="4"/>
  <c r="R25" i="4"/>
  <c r="P32" i="4"/>
  <c r="P27" i="4"/>
  <c r="P29" i="4"/>
  <c r="P24" i="4"/>
  <c r="P25" i="4"/>
  <c r="R27" i="4"/>
  <c r="P30" i="4"/>
  <c r="R31" i="4"/>
  <c r="P28" i="4"/>
  <c r="R35" i="4"/>
  <c r="P31" i="4"/>
  <c r="R32" i="4"/>
  <c r="R33" i="4"/>
  <c r="R34" i="4"/>
  <c r="R30" i="4"/>
  <c r="P35" i="4"/>
  <c r="P34" i="4"/>
  <c r="R29" i="4"/>
  <c r="S33" i="4" l="1"/>
  <c r="S25" i="4"/>
  <c r="S30" i="4"/>
  <c r="S27" i="4"/>
  <c r="S28" i="4"/>
  <c r="S32" i="4"/>
  <c r="S29" i="4"/>
  <c r="S24" i="4"/>
  <c r="S31" i="4"/>
  <c r="S34" i="4"/>
  <c r="O36" i="4"/>
  <c r="Q36" i="4"/>
  <c r="T36" i="4"/>
  <c r="S35" i="4"/>
  <c r="J39" i="4" a="1"/>
  <c r="J39" i="4" s="1"/>
  <c r="H39" i="4"/>
  <c r="C40" i="4" a="1"/>
  <c r="C40" i="4" s="1"/>
  <c r="E39" i="4" a="1"/>
  <c r="E39" i="4" s="1"/>
  <c r="G39" i="4" a="1"/>
  <c r="G39" i="4" s="1"/>
  <c r="K38" i="4" a="1"/>
  <c r="K38" i="4" s="1"/>
  <c r="D38" i="4"/>
  <c r="I38" i="4" s="1" a="1"/>
  <c r="I38" i="4" s="1"/>
  <c r="F38" i="4"/>
  <c r="L38" i="4" a="1"/>
  <c r="L38" i="4" s="1"/>
  <c r="N37" i="4" a="1"/>
  <c r="N37" i="4" s="1"/>
  <c r="M37" i="4" a="1"/>
  <c r="M37" i="4" s="1"/>
  <c r="Q37" i="4" s="1"/>
  <c r="R37" i="4"/>
  <c r="R36" i="4"/>
  <c r="P36" i="4"/>
  <c r="V37" i="4" l="1"/>
  <c r="T37" i="4"/>
  <c r="O37" i="4"/>
  <c r="S36" i="4"/>
  <c r="D39" i="4"/>
  <c r="I39" i="4" s="1" a="1"/>
  <c r="I39" i="4" s="1"/>
  <c r="F39" i="4"/>
  <c r="K39" i="4" a="1"/>
  <c r="K39" i="4" s="1"/>
  <c r="L39" i="4" a="1"/>
  <c r="L39" i="4" s="1"/>
  <c r="M38" i="4" a="1"/>
  <c r="M38" i="4" s="1"/>
  <c r="T38" i="4"/>
  <c r="N38" i="4" a="1"/>
  <c r="N38" i="4" s="1"/>
  <c r="Q38" i="4"/>
  <c r="P38" i="4"/>
  <c r="O38" i="4"/>
  <c r="V38" i="4"/>
  <c r="S38" i="4"/>
  <c r="R38" i="4"/>
  <c r="U38" i="4"/>
  <c r="W38" i="4"/>
  <c r="X38" i="4"/>
  <c r="C41" i="4" a="1"/>
  <c r="C41" i="4" s="1"/>
  <c r="E40" i="4" a="1"/>
  <c r="E40" i="4" s="1"/>
  <c r="H40" i="4"/>
  <c r="J40" i="4" a="1"/>
  <c r="J40" i="4" s="1"/>
  <c r="G40" i="4" a="1"/>
  <c r="G40" i="4" s="1"/>
  <c r="P37" i="4"/>
  <c r="S37" i="4" l="1"/>
  <c r="F40" i="4"/>
  <c r="D40" i="4"/>
  <c r="I40" i="4" s="1" a="1"/>
  <c r="I40" i="4" s="1"/>
  <c r="K40" i="4" s="1" a="1"/>
  <c r="K40" i="4" s="1"/>
  <c r="L40" i="4" a="1"/>
  <c r="L40" i="4" s="1"/>
  <c r="C42" i="4" a="1"/>
  <c r="C42" i="4" s="1"/>
  <c r="N39" i="4" s="1" a="1"/>
  <c r="N39" i="4" s="1"/>
  <c r="H41" i="4"/>
  <c r="E41" i="4" a="1"/>
  <c r="E41" i="4" s="1"/>
  <c r="J41" i="4" a="1"/>
  <c r="J41" i="4" s="1"/>
  <c r="G41" i="4" a="1"/>
  <c r="G41" i="4" s="1"/>
  <c r="M39" i="4" a="1"/>
  <c r="M39" i="4" s="1"/>
  <c r="O39" i="4" l="1"/>
  <c r="T39" i="4"/>
  <c r="M40" i="4" a="1"/>
  <c r="M40" i="4" s="1"/>
  <c r="Q39" i="4"/>
  <c r="V39" i="4"/>
  <c r="D41" i="4"/>
  <c r="I41" i="4" s="1" a="1"/>
  <c r="I41" i="4" s="1"/>
  <c r="K41" i="4" s="1" a="1"/>
  <c r="K41" i="4" s="1"/>
  <c r="F41" i="4"/>
  <c r="L41" i="4" a="1"/>
  <c r="L41" i="4" s="1"/>
  <c r="J42" i="4" a="1"/>
  <c r="J42" i="4" s="1"/>
  <c r="C43" i="4" a="1"/>
  <c r="C43" i="4" s="1"/>
  <c r="N40" i="4" s="1" a="1"/>
  <c r="N40" i="4" s="1"/>
  <c r="H42" i="4"/>
  <c r="G42" i="4" a="1"/>
  <c r="G42" i="4" s="1"/>
  <c r="E42" i="4" a="1"/>
  <c r="E42" i="4" s="1"/>
  <c r="O40" i="4" l="1"/>
  <c r="T40" i="4"/>
  <c r="Q40" i="4"/>
  <c r="V40" i="4"/>
  <c r="M41" i="4" a="1"/>
  <c r="M41" i="4" s="1"/>
  <c r="H43" i="4"/>
  <c r="E43" i="4" a="1"/>
  <c r="E43" i="4" s="1"/>
  <c r="J43" i="4" a="1"/>
  <c r="J43" i="4" s="1"/>
  <c r="C44" i="4" a="1"/>
  <c r="C44" i="4" s="1"/>
  <c r="N41" i="4" s="1" a="1"/>
  <c r="N41" i="4" s="1"/>
  <c r="G43" i="4" a="1"/>
  <c r="G43" i="4" s="1"/>
  <c r="D42" i="4"/>
  <c r="I42" i="4" s="1" a="1"/>
  <c r="I42" i="4" s="1"/>
  <c r="K42" i="4" a="1"/>
  <c r="K42" i="4" s="1"/>
  <c r="F42" i="4"/>
  <c r="L42" i="4" a="1"/>
  <c r="L42" i="4" s="1"/>
  <c r="P39" i="4"/>
  <c r="R39" i="4"/>
  <c r="Q41" i="4" l="1"/>
  <c r="S39" i="4"/>
  <c r="O41" i="4"/>
  <c r="M42" i="4" a="1"/>
  <c r="M42" i="4" s="1"/>
  <c r="N42" i="4" a="1"/>
  <c r="N42" i="4" s="1"/>
  <c r="T41" i="4"/>
  <c r="V41" i="4"/>
  <c r="E44" i="4" a="1"/>
  <c r="E44" i="4" s="1"/>
  <c r="G44" i="4" a="1"/>
  <c r="G44" i="4" s="1"/>
  <c r="J44" i="4" a="1"/>
  <c r="J44" i="4" s="1"/>
  <c r="C45" i="4" a="1"/>
  <c r="C45" i="4" s="1"/>
  <c r="H44" i="4"/>
  <c r="F43" i="4"/>
  <c r="D43" i="4"/>
  <c r="I43" i="4" s="1" a="1"/>
  <c r="I43" i="4" s="1"/>
  <c r="K43" i="4" s="1" a="1"/>
  <c r="K43" i="4" s="1"/>
  <c r="L43" i="4" a="1"/>
  <c r="L43" i="4" s="1"/>
  <c r="R40" i="4"/>
  <c r="P40" i="4"/>
  <c r="S40" i="4" l="1"/>
  <c r="T42" i="4"/>
  <c r="V42" i="4"/>
  <c r="M43" i="4" a="1"/>
  <c r="M43" i="4" s="1"/>
  <c r="N43" i="4" a="1"/>
  <c r="N43" i="4" s="1"/>
  <c r="C46" i="4" a="1"/>
  <c r="C46" i="4" s="1"/>
  <c r="J45" i="4" a="1"/>
  <c r="J45" i="4" s="1"/>
  <c r="G45" i="4" a="1"/>
  <c r="G45" i="4" s="1"/>
  <c r="E45" i="4" a="1"/>
  <c r="E45" i="4" s="1"/>
  <c r="H45" i="4"/>
  <c r="F44" i="4"/>
  <c r="L44" i="4" a="1"/>
  <c r="L44" i="4" s="1"/>
  <c r="D44" i="4"/>
  <c r="I44" i="4" s="1" a="1"/>
  <c r="I44" i="4" s="1"/>
  <c r="K44" i="4" a="1"/>
  <c r="K44" i="4" s="1"/>
  <c r="O42" i="4"/>
  <c r="Q42" i="4"/>
  <c r="R42" i="4"/>
  <c r="R41" i="4"/>
  <c r="P41" i="4"/>
  <c r="P42" i="4"/>
  <c r="Q43" i="4" l="1"/>
  <c r="S41" i="4"/>
  <c r="T43" i="4"/>
  <c r="O43" i="4"/>
  <c r="V43" i="4"/>
  <c r="S42" i="4"/>
  <c r="F45" i="4"/>
  <c r="L45" i="4" a="1"/>
  <c r="L45" i="4" s="1"/>
  <c r="K45" i="4" a="1"/>
  <c r="K45" i="4" s="1"/>
  <c r="D45" i="4"/>
  <c r="I45" i="4" s="1" a="1"/>
  <c r="I45" i="4" s="1"/>
  <c r="M44" i="4" a="1"/>
  <c r="M44" i="4" s="1"/>
  <c r="V44" i="4" s="1"/>
  <c r="N44" i="4" a="1"/>
  <c r="N44" i="4" s="1"/>
  <c r="E46" i="4" a="1"/>
  <c r="E46" i="4" s="1"/>
  <c r="C47" i="4" a="1"/>
  <c r="C47" i="4" s="1"/>
  <c r="H46" i="4"/>
  <c r="G46" i="4" a="1"/>
  <c r="G46" i="4" s="1"/>
  <c r="J46" i="4" a="1"/>
  <c r="J46" i="4" s="1"/>
  <c r="U39" i="4"/>
  <c r="P43" i="4"/>
  <c r="R43" i="4"/>
  <c r="Q44" i="4" l="1"/>
  <c r="T44" i="4"/>
  <c r="O44" i="4"/>
  <c r="S43" i="4"/>
  <c r="D46" i="4"/>
  <c r="I46" i="4" s="1" a="1"/>
  <c r="I46" i="4" s="1"/>
  <c r="L46" i="4" a="1"/>
  <c r="L46" i="4" s="1"/>
  <c r="F46" i="4"/>
  <c r="K46" i="4" a="1"/>
  <c r="K46" i="4" s="1"/>
  <c r="J47" i="4" a="1"/>
  <c r="J47" i="4" s="1"/>
  <c r="C48" i="4" a="1"/>
  <c r="C48" i="4" s="1"/>
  <c r="E47" i="4" a="1"/>
  <c r="E47" i="4" s="1"/>
  <c r="G47" i="4" a="1"/>
  <c r="G47" i="4" s="1"/>
  <c r="H47" i="4"/>
  <c r="X45" i="4"/>
  <c r="V45" i="4"/>
  <c r="T45" i="4"/>
  <c r="P45" i="4"/>
  <c r="W45" i="4"/>
  <c r="U45" i="4"/>
  <c r="R45" i="4"/>
  <c r="N45" i="4" a="1"/>
  <c r="N45" i="4" s="1"/>
  <c r="S45" i="4"/>
  <c r="O45" i="4"/>
  <c r="Q45" i="4"/>
  <c r="M45" i="4" a="1"/>
  <c r="M45" i="4" s="1"/>
  <c r="AC46" i="4"/>
  <c r="Z46" i="4"/>
  <c r="AA46" i="4"/>
  <c r="AB46" i="4"/>
  <c r="Y46" i="4"/>
  <c r="AD46" i="4"/>
  <c r="W39" i="4"/>
  <c r="R44" i="4"/>
  <c r="P44" i="4"/>
  <c r="U40" i="4"/>
  <c r="S44" i="4" l="1"/>
  <c r="X39" i="4"/>
  <c r="K47" i="4" a="1"/>
  <c r="K47" i="4" s="1"/>
  <c r="D47" i="4"/>
  <c r="I47" i="4" s="1" a="1"/>
  <c r="I47" i="4" s="1"/>
  <c r="F47" i="4"/>
  <c r="L47" i="4" a="1"/>
  <c r="L47" i="4" s="1"/>
  <c r="C49" i="4" a="1"/>
  <c r="C49" i="4" s="1"/>
  <c r="G48" i="4" a="1"/>
  <c r="G48" i="4" s="1"/>
  <c r="E48" i="4" a="1"/>
  <c r="E48" i="4" s="1"/>
  <c r="J48" i="4" a="1"/>
  <c r="J48" i="4" s="1"/>
  <c r="H48" i="4"/>
  <c r="AB47" i="4"/>
  <c r="AC47" i="4"/>
  <c r="AA47" i="4"/>
  <c r="AD47" i="4"/>
  <c r="Z47" i="4"/>
  <c r="Y47" i="4"/>
  <c r="U46" i="4"/>
  <c r="N46" i="4" a="1"/>
  <c r="N46" i="4" s="1"/>
  <c r="M46" i="4" a="1"/>
  <c r="M46" i="4" s="1"/>
  <c r="V46" i="4"/>
  <c r="P46" i="4"/>
  <c r="T46" i="4"/>
  <c r="S46" i="4"/>
  <c r="X46" i="4"/>
  <c r="O46" i="4"/>
  <c r="Q46" i="4"/>
  <c r="W46" i="4"/>
  <c r="R46" i="4"/>
  <c r="U41" i="4"/>
  <c r="W40" i="4"/>
  <c r="U43" i="4"/>
  <c r="U42" i="4"/>
  <c r="X40" i="4" l="1"/>
  <c r="E49" i="4" a="1"/>
  <c r="E49" i="4" s="1"/>
  <c r="G49" i="4" a="1"/>
  <c r="G49" i="4" s="1"/>
  <c r="J49" i="4" a="1"/>
  <c r="J49" i="4" s="1"/>
  <c r="C50" i="4" a="1"/>
  <c r="C50" i="4" s="1"/>
  <c r="H49" i="4"/>
  <c r="R47" i="4"/>
  <c r="V47" i="4"/>
  <c r="N47" i="4" a="1"/>
  <c r="N47" i="4" s="1"/>
  <c r="X47" i="4"/>
  <c r="T47" i="4"/>
  <c r="Q47" i="4"/>
  <c r="O47" i="4"/>
  <c r="S47" i="4"/>
  <c r="W47" i="4"/>
  <c r="M47" i="4" a="1"/>
  <c r="M47" i="4" s="1"/>
  <c r="U47" i="4"/>
  <c r="P47" i="4"/>
  <c r="AC48" i="4"/>
  <c r="AD48" i="4"/>
  <c r="AB48" i="4"/>
  <c r="AA48" i="4"/>
  <c r="Z48" i="4"/>
  <c r="Y48" i="4"/>
  <c r="D48" i="4"/>
  <c r="I48" i="4" s="1" a="1"/>
  <c r="I48" i="4" s="1"/>
  <c r="K48" i="4" a="1"/>
  <c r="K48" i="4" s="1"/>
  <c r="L48" i="4" a="1"/>
  <c r="L48" i="4" s="1"/>
  <c r="F48" i="4"/>
  <c r="U44" i="4"/>
  <c r="W42" i="4"/>
  <c r="W41" i="4"/>
  <c r="W43" i="4"/>
  <c r="X42" i="4" l="1"/>
  <c r="X43" i="4"/>
  <c r="X41" i="4"/>
  <c r="N48" i="4" a="1"/>
  <c r="N48" i="4" s="1"/>
  <c r="V48" i="4"/>
  <c r="M48" i="4" a="1"/>
  <c r="M48" i="4" s="1"/>
  <c r="W48" i="4"/>
  <c r="U48" i="4"/>
  <c r="T48" i="4"/>
  <c r="R48" i="4"/>
  <c r="Q48" i="4"/>
  <c r="S48" i="4"/>
  <c r="O48" i="4"/>
  <c r="X48" i="4"/>
  <c r="P48" i="4"/>
  <c r="AA49" i="4"/>
  <c r="AC49" i="4"/>
  <c r="AB49" i="4"/>
  <c r="AD49" i="4"/>
  <c r="Z49" i="4"/>
  <c r="Y49" i="4"/>
  <c r="D49" i="4"/>
  <c r="I49" i="4" s="1" a="1"/>
  <c r="I49" i="4" s="1"/>
  <c r="L49" i="4" a="1"/>
  <c r="L49" i="4" s="1"/>
  <c r="F49" i="4"/>
  <c r="K49" i="4" a="1"/>
  <c r="K49" i="4" s="1"/>
  <c r="G50" i="4" a="1"/>
  <c r="G50" i="4" s="1"/>
  <c r="H50" i="4"/>
  <c r="E50" i="4" a="1"/>
  <c r="E50" i="4" s="1"/>
  <c r="J50" i="4" a="1"/>
  <c r="J50" i="4" s="1"/>
  <c r="C51" i="4" a="1"/>
  <c r="C51" i="4" s="1"/>
  <c r="W44" i="4"/>
  <c r="X44" i="4" l="1"/>
  <c r="C52" i="4" a="1"/>
  <c r="C52" i="4" s="1"/>
  <c r="G51" i="4" a="1"/>
  <c r="G51" i="4" s="1"/>
  <c r="H51" i="4"/>
  <c r="E51" i="4" a="1"/>
  <c r="E51" i="4" s="1"/>
  <c r="J51" i="4" a="1"/>
  <c r="J51" i="4" s="1"/>
  <c r="L50" i="4" a="1"/>
  <c r="L50" i="4" s="1"/>
  <c r="F50" i="4"/>
  <c r="K50" i="4" a="1"/>
  <c r="K50" i="4" s="1"/>
  <c r="D50" i="4"/>
  <c r="I50" i="4" s="1" a="1"/>
  <c r="I50" i="4" s="1"/>
  <c r="AC50" i="4"/>
  <c r="AB50" i="4"/>
  <c r="Y50" i="4"/>
  <c r="AA50" i="4"/>
  <c r="Z50" i="4"/>
  <c r="AD50" i="4"/>
  <c r="M49" i="4" a="1"/>
  <c r="M49" i="4" s="1"/>
  <c r="T49" i="4"/>
  <c r="P49" i="4"/>
  <c r="V49" i="4"/>
  <c r="W49" i="4"/>
  <c r="U49" i="4"/>
  <c r="S49" i="4"/>
  <c r="O49" i="4"/>
  <c r="N49" i="4" a="1"/>
  <c r="N49" i="4" s="1"/>
  <c r="X49" i="4"/>
  <c r="Q49" i="4"/>
  <c r="R49" i="4"/>
  <c r="W50" i="4" l="1"/>
  <c r="U50" i="4"/>
  <c r="M50" i="4" a="1"/>
  <c r="M50" i="4" s="1"/>
  <c r="Q50" i="4"/>
  <c r="P50" i="4"/>
  <c r="O50" i="4"/>
  <c r="T50" i="4"/>
  <c r="R50" i="4"/>
  <c r="X50" i="4"/>
  <c r="S50" i="4"/>
  <c r="V50" i="4"/>
  <c r="N50" i="4" a="1"/>
  <c r="N50" i="4" s="1"/>
  <c r="D51" i="4"/>
  <c r="I51" i="4" s="1" a="1"/>
  <c r="I51" i="4" s="1"/>
  <c r="K51" i="4" a="1"/>
  <c r="K51" i="4" s="1"/>
  <c r="F51" i="4"/>
  <c r="L51" i="4" a="1"/>
  <c r="L51" i="4" s="1"/>
  <c r="AB51" i="4"/>
  <c r="AD51" i="4"/>
  <c r="Y51" i="4"/>
  <c r="AA51" i="4"/>
  <c r="AC51" i="4"/>
  <c r="Z51" i="4"/>
  <c r="G52" i="4" a="1"/>
  <c r="G52" i="4" s="1"/>
  <c r="E52" i="4" a="1"/>
  <c r="E52" i="4" s="1"/>
  <c r="H52" i="4"/>
  <c r="J52" i="4" a="1"/>
  <c r="J52" i="4" s="1"/>
  <c r="C53" i="4" a="1"/>
  <c r="C53" i="4" s="1"/>
  <c r="S51" i="4" l="1"/>
  <c r="T51" i="4"/>
  <c r="R51" i="4"/>
  <c r="U51" i="4"/>
  <c r="W51" i="4"/>
  <c r="O51" i="4"/>
  <c r="N51" i="4" a="1"/>
  <c r="N51" i="4" s="1"/>
  <c r="V51" i="4"/>
  <c r="P51" i="4"/>
  <c r="Q51" i="4"/>
  <c r="X51" i="4"/>
  <c r="M51" i="4" a="1"/>
  <c r="M51" i="4" s="1"/>
  <c r="J53" i="4" a="1"/>
  <c r="J53" i="4" s="1"/>
  <c r="C54" i="4" a="1"/>
  <c r="C54" i="4" s="1"/>
  <c r="H53" i="4"/>
  <c r="E53" i="4" a="1"/>
  <c r="E53" i="4" s="1"/>
  <c r="G53" i="4" a="1"/>
  <c r="G53" i="4" s="1"/>
  <c r="K52" i="4" a="1"/>
  <c r="K52" i="4" s="1"/>
  <c r="L52" i="4" a="1"/>
  <c r="L52" i="4" s="1"/>
  <c r="F52" i="4"/>
  <c r="D52" i="4"/>
  <c r="I52" i="4" s="1" a="1"/>
  <c r="I52" i="4" s="1"/>
  <c r="AB52" i="4"/>
  <c r="AD52" i="4"/>
  <c r="AC52" i="4"/>
  <c r="Z52" i="4"/>
  <c r="Y52" i="4"/>
  <c r="AA52" i="4"/>
  <c r="P52" i="4" l="1"/>
  <c r="X52" i="4"/>
  <c r="Q52" i="4"/>
  <c r="V52" i="4"/>
  <c r="O52" i="4"/>
  <c r="W52" i="4"/>
  <c r="U52" i="4"/>
  <c r="N52" i="4" a="1"/>
  <c r="N52" i="4" s="1"/>
  <c r="R52" i="4"/>
  <c r="T52" i="4"/>
  <c r="M52" i="4" a="1"/>
  <c r="M52" i="4" s="1"/>
  <c r="S52" i="4"/>
  <c r="L53" i="4" a="1"/>
  <c r="L53" i="4" s="1"/>
  <c r="D53" i="4"/>
  <c r="I53" i="4" s="1" a="1"/>
  <c r="I53" i="4" s="1"/>
  <c r="K53" i="4" a="1"/>
  <c r="K53" i="4" s="1"/>
  <c r="F53" i="4"/>
  <c r="AB53" i="4"/>
  <c r="AA53" i="4"/>
  <c r="Z53" i="4"/>
  <c r="Y53" i="4"/>
  <c r="AC53" i="4"/>
  <c r="AD53" i="4"/>
  <c r="J54" i="4" a="1"/>
  <c r="J54" i="4" s="1"/>
  <c r="H54" i="4"/>
  <c r="G54" i="4" a="1"/>
  <c r="G54" i="4" s="1"/>
  <c r="E54" i="4" a="1"/>
  <c r="E54" i="4" s="1"/>
  <c r="C55" i="4" a="1"/>
  <c r="C55" i="4" s="1"/>
  <c r="K54" i="4" l="1" a="1"/>
  <c r="K54" i="4" s="1"/>
  <c r="F54" i="4"/>
  <c r="D54" i="4"/>
  <c r="I54" i="4" s="1" a="1"/>
  <c r="I54" i="4" s="1"/>
  <c r="L54" i="4" a="1"/>
  <c r="L54" i="4" s="1"/>
  <c r="P53" i="4"/>
  <c r="Q53" i="4"/>
  <c r="U53" i="4"/>
  <c r="O53" i="4"/>
  <c r="T53" i="4"/>
  <c r="N53" i="4" a="1"/>
  <c r="N53" i="4" s="1"/>
  <c r="W53" i="4"/>
  <c r="V53" i="4"/>
  <c r="S53" i="4"/>
  <c r="M53" i="4" a="1"/>
  <c r="M53" i="4" s="1"/>
  <c r="R53" i="4"/>
  <c r="X53" i="4"/>
  <c r="AC54" i="4"/>
  <c r="AB54" i="4"/>
  <c r="Y54" i="4"/>
  <c r="AD54" i="4"/>
  <c r="AA54" i="4"/>
  <c r="Z54" i="4"/>
  <c r="J55" i="4" a="1"/>
  <c r="J55" i="4" s="1"/>
  <c r="G55" i="4" a="1"/>
  <c r="G55" i="4" s="1"/>
  <c r="C56" i="4" a="1"/>
  <c r="C56" i="4" s="1"/>
  <c r="E55" i="4" a="1"/>
  <c r="E55" i="4" s="1"/>
  <c r="H55" i="4"/>
  <c r="AB55" i="4" l="1"/>
  <c r="AD55" i="4"/>
  <c r="Z55" i="4"/>
  <c r="Y55" i="4"/>
  <c r="AA55" i="4"/>
  <c r="AC55" i="4"/>
  <c r="E56" i="4" a="1"/>
  <c r="E56" i="4" s="1"/>
  <c r="H56" i="4"/>
  <c r="J56" i="4" a="1"/>
  <c r="J56" i="4" s="1"/>
  <c r="G56" i="4" a="1"/>
  <c r="G56" i="4" s="1"/>
  <c r="C57" i="4" a="1"/>
  <c r="C57" i="4" s="1"/>
  <c r="D55" i="4"/>
  <c r="I55" i="4" s="1" a="1"/>
  <c r="I55" i="4" s="1"/>
  <c r="L55" i="4" a="1"/>
  <c r="L55" i="4" s="1"/>
  <c r="F55" i="4"/>
  <c r="K55" i="4" a="1"/>
  <c r="K55" i="4" s="1"/>
  <c r="R54" i="4"/>
  <c r="T54" i="4"/>
  <c r="Q54" i="4"/>
  <c r="S54" i="4"/>
  <c r="P54" i="4"/>
  <c r="N54" i="4" a="1"/>
  <c r="N54" i="4" s="1"/>
  <c r="U54" i="4"/>
  <c r="O54" i="4"/>
  <c r="V54" i="4"/>
  <c r="X54" i="4"/>
  <c r="M54" i="4" a="1"/>
  <c r="M54" i="4" s="1"/>
  <c r="W54" i="4"/>
  <c r="D56" i="4" l="1"/>
  <c r="I56" i="4" s="1" a="1"/>
  <c r="I56" i="4" s="1"/>
  <c r="L56" i="4" a="1"/>
  <c r="L56" i="4" s="1"/>
  <c r="K56" i="4" a="1"/>
  <c r="K56" i="4" s="1"/>
  <c r="F56" i="4"/>
  <c r="AB56" i="4"/>
  <c r="AD56" i="4"/>
  <c r="Y56" i="4"/>
  <c r="AC56" i="4"/>
  <c r="AA56" i="4"/>
  <c r="Z56" i="4"/>
  <c r="X55" i="4"/>
  <c r="R55" i="4"/>
  <c r="O55" i="4"/>
  <c r="P55" i="4"/>
  <c r="W55" i="4"/>
  <c r="N55" i="4" a="1"/>
  <c r="N55" i="4" s="1"/>
  <c r="M55" i="4" a="1"/>
  <c r="M55" i="4" s="1"/>
  <c r="Q55" i="4"/>
  <c r="S55" i="4"/>
  <c r="V55" i="4"/>
  <c r="T55" i="4"/>
  <c r="U55" i="4"/>
  <c r="J57" i="4" a="1"/>
  <c r="J57" i="4" s="1"/>
  <c r="H57" i="4"/>
  <c r="E57" i="4" a="1"/>
  <c r="E57" i="4" s="1"/>
  <c r="G57" i="4" a="1"/>
  <c r="G57" i="4" s="1"/>
  <c r="C58" i="4" a="1"/>
  <c r="C58" i="4" s="1"/>
  <c r="K57" i="4" l="1" a="1"/>
  <c r="K57" i="4" s="1"/>
  <c r="L57" i="4" a="1"/>
  <c r="L57" i="4" s="1"/>
  <c r="D57" i="4"/>
  <c r="I57" i="4" s="1" a="1"/>
  <c r="I57" i="4" s="1"/>
  <c r="F57" i="4"/>
  <c r="C59" i="4" a="1"/>
  <c r="C59" i="4" s="1"/>
  <c r="J58" i="4" a="1"/>
  <c r="J58" i="4" s="1"/>
  <c r="E58" i="4" a="1"/>
  <c r="E58" i="4" s="1"/>
  <c r="H58" i="4"/>
  <c r="G58" i="4" a="1"/>
  <c r="G58" i="4" s="1"/>
  <c r="AD57" i="4"/>
  <c r="Y57" i="4"/>
  <c r="AA57" i="4"/>
  <c r="AC57" i="4"/>
  <c r="AB57" i="4"/>
  <c r="Z57" i="4"/>
  <c r="W56" i="4"/>
  <c r="T56" i="4"/>
  <c r="N56" i="4" a="1"/>
  <c r="N56" i="4" s="1"/>
  <c r="U56" i="4"/>
  <c r="X56" i="4"/>
  <c r="V56" i="4"/>
  <c r="M56" i="4" a="1"/>
  <c r="M56" i="4" s="1"/>
  <c r="P56" i="4"/>
  <c r="S56" i="4"/>
  <c r="O56" i="4"/>
  <c r="Q56" i="4"/>
  <c r="R56" i="4"/>
  <c r="AC58" i="4" l="1"/>
  <c r="AA58" i="4"/>
  <c r="AD58" i="4"/>
  <c r="AB58" i="4"/>
  <c r="Z58" i="4"/>
  <c r="Y58" i="4"/>
  <c r="J59" i="4" a="1"/>
  <c r="J59" i="4" s="1"/>
  <c r="H59" i="4"/>
  <c r="C60" i="4" a="1"/>
  <c r="C60" i="4" s="1"/>
  <c r="E59" i="4" a="1"/>
  <c r="E59" i="4" s="1"/>
  <c r="G59" i="4" a="1"/>
  <c r="G59" i="4" s="1"/>
  <c r="F58" i="4"/>
  <c r="L58" i="4" a="1"/>
  <c r="L58" i="4" s="1"/>
  <c r="D58" i="4"/>
  <c r="I58" i="4" s="1" a="1"/>
  <c r="I58" i="4" s="1"/>
  <c r="K58" i="4" a="1"/>
  <c r="K58" i="4" s="1"/>
  <c r="T57" i="4"/>
  <c r="V57" i="4"/>
  <c r="U57" i="4"/>
  <c r="W57" i="4"/>
  <c r="R57" i="4"/>
  <c r="N57" i="4" a="1"/>
  <c r="N57" i="4" s="1"/>
  <c r="X57" i="4"/>
  <c r="M57" i="4" a="1"/>
  <c r="M57" i="4" s="1"/>
  <c r="O57" i="4"/>
  <c r="P57" i="4"/>
  <c r="Q57" i="4"/>
  <c r="S57" i="4"/>
  <c r="D59" i="4" l="1"/>
  <c r="I59" i="4" s="1" a="1"/>
  <c r="I59" i="4" s="1"/>
  <c r="L59" i="4" a="1"/>
  <c r="L59" i="4" s="1"/>
  <c r="F59" i="4"/>
  <c r="K59" i="4" a="1"/>
  <c r="K59" i="4" s="1"/>
  <c r="S58" i="4"/>
  <c r="T58" i="4"/>
  <c r="X58" i="4"/>
  <c r="U58" i="4"/>
  <c r="Q58" i="4"/>
  <c r="O58" i="4"/>
  <c r="N58" i="4" a="1"/>
  <c r="N58" i="4" s="1"/>
  <c r="P58" i="4"/>
  <c r="V58" i="4"/>
  <c r="M58" i="4" a="1"/>
  <c r="M58" i="4" s="1"/>
  <c r="R58" i="4"/>
  <c r="W58" i="4"/>
  <c r="G60" i="4" a="1"/>
  <c r="G60" i="4" s="1"/>
  <c r="H60" i="4"/>
  <c r="E60" i="4" a="1"/>
  <c r="E60" i="4" s="1"/>
  <c r="J60" i="4" a="1"/>
  <c r="J60" i="4" s="1"/>
  <c r="C61" i="4" a="1"/>
  <c r="C61" i="4" s="1"/>
  <c r="AB59" i="4"/>
  <c r="Z59" i="4"/>
  <c r="AD59" i="4"/>
  <c r="AC59" i="4"/>
  <c r="AA59" i="4"/>
  <c r="Y59" i="4"/>
  <c r="Z60" i="4" l="1"/>
  <c r="AB60" i="4"/>
  <c r="AD60" i="4"/>
  <c r="Y60" i="4"/>
  <c r="AC60" i="4"/>
  <c r="AA60" i="4"/>
  <c r="S59" i="4"/>
  <c r="Q59" i="4"/>
  <c r="T59" i="4"/>
  <c r="O59" i="4"/>
  <c r="M59" i="4" a="1"/>
  <c r="M59" i="4" s="1"/>
  <c r="P59" i="4"/>
  <c r="W59" i="4"/>
  <c r="R59" i="4"/>
  <c r="N59" i="4" a="1"/>
  <c r="N59" i="4" s="1"/>
  <c r="V59" i="4"/>
  <c r="X59" i="4"/>
  <c r="U59" i="4"/>
  <c r="F60" i="4"/>
  <c r="L60" i="4" a="1"/>
  <c r="L60" i="4" s="1"/>
  <c r="K60" i="4" a="1"/>
  <c r="K60" i="4" s="1"/>
  <c r="D60" i="4"/>
  <c r="I60" i="4" s="1" a="1"/>
  <c r="I60" i="4" s="1"/>
  <c r="J61" i="4" a="1"/>
  <c r="J61" i="4" s="1"/>
  <c r="C62" i="4" a="1"/>
  <c r="C62" i="4" s="1"/>
  <c r="E61" i="4" a="1"/>
  <c r="E61" i="4" s="1"/>
  <c r="G61" i="4" a="1"/>
  <c r="G61" i="4" s="1"/>
  <c r="H61" i="4"/>
  <c r="R60" i="4" l="1"/>
  <c r="U60" i="4"/>
  <c r="W60" i="4"/>
  <c r="M60" i="4" a="1"/>
  <c r="M60" i="4" s="1"/>
  <c r="S60" i="4"/>
  <c r="Q60" i="4"/>
  <c r="T60" i="4"/>
  <c r="P60" i="4"/>
  <c r="X60" i="4"/>
  <c r="O60" i="4"/>
  <c r="V60" i="4"/>
  <c r="N60" i="4" a="1"/>
  <c r="N60" i="4" s="1"/>
  <c r="D61" i="4"/>
  <c r="I61" i="4" s="1" a="1"/>
  <c r="I61" i="4" s="1"/>
  <c r="L61" i="4" a="1"/>
  <c r="L61" i="4" s="1"/>
  <c r="K61" i="4" a="1"/>
  <c r="K61" i="4" s="1"/>
  <c r="F61" i="4"/>
  <c r="AC61" i="4"/>
  <c r="Z61" i="4"/>
  <c r="AA61" i="4"/>
  <c r="Y61" i="4"/>
  <c r="AB61" i="4"/>
  <c r="AD61" i="4"/>
  <c r="C63" i="4" a="1"/>
  <c r="C63" i="4" s="1"/>
  <c r="E62" i="4" a="1"/>
  <c r="E62" i="4" s="1"/>
  <c r="J62" i="4" a="1"/>
  <c r="J62" i="4" s="1"/>
  <c r="G62" i="4" a="1"/>
  <c r="G62" i="4" s="1"/>
  <c r="H62" i="4"/>
  <c r="AC62" i="4" l="1"/>
  <c r="Z62" i="4"/>
  <c r="AA62" i="4"/>
  <c r="Y62" i="4"/>
  <c r="AB62" i="4"/>
  <c r="AD62" i="4"/>
  <c r="E63" i="4" a="1"/>
  <c r="E63" i="4" s="1"/>
  <c r="C64" i="4" a="1"/>
  <c r="C64" i="4" s="1"/>
  <c r="G63" i="4" a="1"/>
  <c r="G63" i="4" s="1"/>
  <c r="J63" i="4" a="1"/>
  <c r="J63" i="4" s="1"/>
  <c r="H63" i="4"/>
  <c r="S61" i="4"/>
  <c r="T61" i="4"/>
  <c r="P61" i="4"/>
  <c r="M61" i="4" a="1"/>
  <c r="M61" i="4" s="1"/>
  <c r="V61" i="4"/>
  <c r="W61" i="4"/>
  <c r="N61" i="4" a="1"/>
  <c r="N61" i="4" s="1"/>
  <c r="Q61" i="4"/>
  <c r="O61" i="4"/>
  <c r="R61" i="4"/>
  <c r="X61" i="4"/>
  <c r="U61" i="4"/>
  <c r="F62" i="4"/>
  <c r="K62" i="4" a="1"/>
  <c r="K62" i="4" s="1"/>
  <c r="L62" i="4" a="1"/>
  <c r="L62" i="4" s="1"/>
  <c r="D62" i="4"/>
  <c r="I62" i="4" s="1" a="1"/>
  <c r="I62" i="4" s="1"/>
  <c r="J64" i="4" l="1" a="1"/>
  <c r="J64" i="4" s="1"/>
  <c r="C65" i="4" a="1"/>
  <c r="C65" i="4" s="1"/>
  <c r="G64" i="4" a="1"/>
  <c r="G64" i="4" s="1"/>
  <c r="H64" i="4"/>
  <c r="E64" i="4" a="1"/>
  <c r="E64" i="4" s="1"/>
  <c r="D63" i="4"/>
  <c r="I63" i="4" s="1" a="1"/>
  <c r="I63" i="4" s="1"/>
  <c r="L63" i="4" a="1"/>
  <c r="L63" i="4" s="1"/>
  <c r="F63" i="4"/>
  <c r="K63" i="4" a="1"/>
  <c r="K63" i="4" s="1"/>
  <c r="N62" i="4" a="1"/>
  <c r="N62" i="4" s="1"/>
  <c r="X62" i="4"/>
  <c r="S62" i="4"/>
  <c r="M62" i="4" a="1"/>
  <c r="M62" i="4" s="1"/>
  <c r="Q62" i="4"/>
  <c r="P62" i="4"/>
  <c r="U62" i="4"/>
  <c r="W62" i="4"/>
  <c r="R62" i="4"/>
  <c r="O62" i="4"/>
  <c r="V62" i="4"/>
  <c r="T62" i="4"/>
  <c r="AC63" i="4"/>
  <c r="AA63" i="4"/>
  <c r="Y63" i="4"/>
  <c r="Z63" i="4"/>
  <c r="AB63" i="4"/>
  <c r="AD63" i="4"/>
  <c r="G65" i="4" l="1" a="1"/>
  <c r="G65" i="4" s="1"/>
  <c r="C66" i="4" a="1"/>
  <c r="C66" i="4" s="1"/>
  <c r="H65" i="4"/>
  <c r="J65" i="4" a="1"/>
  <c r="J65" i="4" s="1"/>
  <c r="E65" i="4" a="1"/>
  <c r="E65" i="4" s="1"/>
  <c r="U63" i="4"/>
  <c r="Q63" i="4"/>
  <c r="O63" i="4"/>
  <c r="N63" i="4" a="1"/>
  <c r="N63" i="4" s="1"/>
  <c r="R63" i="4"/>
  <c r="V63" i="4"/>
  <c r="S63" i="4"/>
  <c r="T63" i="4"/>
  <c r="W63" i="4"/>
  <c r="M63" i="4" a="1"/>
  <c r="M63" i="4" s="1"/>
  <c r="P63" i="4"/>
  <c r="X63" i="4"/>
  <c r="D64" i="4"/>
  <c r="I64" i="4" s="1" a="1"/>
  <c r="I64" i="4" s="1"/>
  <c r="K64" i="4" a="1"/>
  <c r="K64" i="4" s="1"/>
  <c r="F64" i="4"/>
  <c r="L64" i="4" a="1"/>
  <c r="L64" i="4" s="1"/>
  <c r="Y64" i="4"/>
  <c r="AD64" i="4"/>
  <c r="AB64" i="4"/>
  <c r="AC64" i="4"/>
  <c r="Z64" i="4"/>
  <c r="AA64" i="4"/>
  <c r="AD65" i="4" l="1"/>
  <c r="Y65" i="4"/>
  <c r="Z65" i="4"/>
  <c r="AB65" i="4"/>
  <c r="AA65" i="4"/>
  <c r="AC65" i="4"/>
  <c r="H66" i="4"/>
  <c r="E66" i="4" a="1"/>
  <c r="E66" i="4" s="1"/>
  <c r="G66" i="4" a="1"/>
  <c r="G66" i="4" s="1"/>
  <c r="J66" i="4" a="1"/>
  <c r="J66" i="4" s="1"/>
  <c r="C67" i="4" a="1"/>
  <c r="C67" i="4" s="1"/>
  <c r="P64" i="4"/>
  <c r="U64" i="4"/>
  <c r="S64" i="4"/>
  <c r="N64" i="4" a="1"/>
  <c r="N64" i="4" s="1"/>
  <c r="W64" i="4"/>
  <c r="O64" i="4"/>
  <c r="M64" i="4" a="1"/>
  <c r="M64" i="4" s="1"/>
  <c r="V64" i="4"/>
  <c r="R64" i="4"/>
  <c r="T64" i="4"/>
  <c r="Q64" i="4"/>
  <c r="X64" i="4"/>
  <c r="D65" i="4"/>
  <c r="I65" i="4" s="1" a="1"/>
  <c r="I65" i="4" s="1"/>
  <c r="K65" i="4" a="1"/>
  <c r="K65" i="4" s="1"/>
  <c r="L65" i="4" a="1"/>
  <c r="L65" i="4" s="1"/>
  <c r="F65" i="4"/>
  <c r="D66" i="4" l="1"/>
  <c r="I66" i="4" s="1" a="1"/>
  <c r="I66" i="4" s="1"/>
  <c r="L66" i="4" a="1"/>
  <c r="L66" i="4" s="1"/>
  <c r="K66" i="4" a="1"/>
  <c r="K66" i="4" s="1"/>
  <c r="F66" i="4"/>
  <c r="S65" i="4"/>
  <c r="O65" i="4"/>
  <c r="T65" i="4"/>
  <c r="P65" i="4"/>
  <c r="V65" i="4"/>
  <c r="Q65" i="4"/>
  <c r="X65" i="4"/>
  <c r="N65" i="4" a="1"/>
  <c r="N65" i="4" s="1"/>
  <c r="W65" i="4"/>
  <c r="U65" i="4"/>
  <c r="M65" i="4" a="1"/>
  <c r="M65" i="4" s="1"/>
  <c r="R65" i="4"/>
  <c r="Y66" i="4"/>
  <c r="AB66" i="4"/>
  <c r="Z66" i="4"/>
  <c r="AD66" i="4"/>
  <c r="AA66" i="4"/>
  <c r="AC66" i="4"/>
  <c r="C68" i="4" a="1"/>
  <c r="C68" i="4" s="1"/>
  <c r="J67" i="4" a="1"/>
  <c r="J67" i="4" s="1"/>
  <c r="H67" i="4"/>
  <c r="G67" i="4" a="1"/>
  <c r="G67" i="4" s="1"/>
  <c r="E67" i="4" a="1"/>
  <c r="E67" i="4" s="1"/>
  <c r="K67" i="4" l="1" a="1"/>
  <c r="K67" i="4" s="1"/>
  <c r="D67" i="4"/>
  <c r="I67" i="4" s="1" a="1"/>
  <c r="I67" i="4" s="1"/>
  <c r="L67" i="4" a="1"/>
  <c r="L67" i="4" s="1"/>
  <c r="F67" i="4"/>
  <c r="AD67" i="4"/>
  <c r="Z67" i="4"/>
  <c r="AC67" i="4"/>
  <c r="AA67" i="4"/>
  <c r="Y67" i="4"/>
  <c r="AB67" i="4"/>
  <c r="E68" i="4" a="1"/>
  <c r="E68" i="4" s="1"/>
  <c r="H68" i="4"/>
  <c r="J68" i="4" a="1"/>
  <c r="J68" i="4" s="1"/>
  <c r="G68" i="4" a="1"/>
  <c r="G68" i="4" s="1"/>
  <c r="C69" i="4" a="1"/>
  <c r="C69" i="4" s="1"/>
  <c r="Q66" i="4"/>
  <c r="W66" i="4"/>
  <c r="X66" i="4"/>
  <c r="U66" i="4"/>
  <c r="P66" i="4"/>
  <c r="V66" i="4"/>
  <c r="T66" i="4"/>
  <c r="R66" i="4"/>
  <c r="M66" i="4" a="1"/>
  <c r="M66" i="4" s="1"/>
  <c r="N66" i="4" a="1"/>
  <c r="N66" i="4" s="1"/>
  <c r="O66" i="4"/>
  <c r="S66" i="4"/>
  <c r="O67" i="4" l="1"/>
  <c r="P67" i="4"/>
  <c r="R67" i="4"/>
  <c r="N67" i="4" a="1"/>
  <c r="N67" i="4" s="1"/>
  <c r="V67" i="4"/>
  <c r="T67" i="4"/>
  <c r="Q67" i="4"/>
  <c r="S67" i="4"/>
  <c r="X67" i="4"/>
  <c r="W67" i="4"/>
  <c r="M67" i="4" a="1"/>
  <c r="M67" i="4" s="1"/>
  <c r="U67" i="4"/>
  <c r="AA68" i="4"/>
  <c r="AC68" i="4"/>
  <c r="AD68" i="4"/>
  <c r="Y68" i="4"/>
  <c r="Z68" i="4"/>
  <c r="AB68" i="4"/>
  <c r="H69" i="4"/>
  <c r="G69" i="4" a="1"/>
  <c r="G69" i="4" s="1"/>
  <c r="J69" i="4" a="1"/>
  <c r="J69" i="4" s="1"/>
  <c r="C70" i="4" a="1"/>
  <c r="C70" i="4" s="1"/>
  <c r="E69" i="4" a="1"/>
  <c r="E69" i="4" s="1"/>
  <c r="F68" i="4"/>
  <c r="K68" i="4" a="1"/>
  <c r="K68" i="4" s="1"/>
  <c r="D68" i="4"/>
  <c r="I68" i="4" s="1" a="1"/>
  <c r="I68" i="4" s="1"/>
  <c r="L68" i="4" a="1"/>
  <c r="L68" i="4" s="1"/>
  <c r="L69" i="4" l="1" a="1"/>
  <c r="L69" i="4" s="1"/>
  <c r="F69" i="4"/>
  <c r="K69" i="4" a="1"/>
  <c r="K69" i="4" s="1"/>
  <c r="D69" i="4"/>
  <c r="I69" i="4" s="1" a="1"/>
  <c r="I69" i="4" s="1"/>
  <c r="G70" i="4" a="1"/>
  <c r="G70" i="4" s="1"/>
  <c r="E70" i="4" a="1"/>
  <c r="E70" i="4" s="1"/>
  <c r="J70" i="4" a="1"/>
  <c r="J70" i="4" s="1"/>
  <c r="H70" i="4"/>
  <c r="C71" i="4" a="1"/>
  <c r="C71" i="4" s="1"/>
  <c r="AD69" i="4"/>
  <c r="AA69" i="4"/>
  <c r="Z69" i="4"/>
  <c r="Y69" i="4"/>
  <c r="AC69" i="4"/>
  <c r="AB69" i="4"/>
  <c r="R68" i="4"/>
  <c r="W68" i="4"/>
  <c r="P68" i="4"/>
  <c r="N68" i="4" a="1"/>
  <c r="N68" i="4" s="1"/>
  <c r="X68" i="4"/>
  <c r="U68" i="4"/>
  <c r="O68" i="4"/>
  <c r="T68" i="4"/>
  <c r="S68" i="4"/>
  <c r="M68" i="4" a="1"/>
  <c r="M68" i="4" s="1"/>
  <c r="Q68" i="4"/>
  <c r="V68" i="4"/>
  <c r="AC70" i="4" l="1"/>
  <c r="AA70" i="4"/>
  <c r="AB70" i="4"/>
  <c r="AD70" i="4"/>
  <c r="Y70" i="4"/>
  <c r="Z70" i="4"/>
  <c r="G71" i="4" a="1"/>
  <c r="G71" i="4" s="1"/>
  <c r="C72" i="4" a="1"/>
  <c r="C72" i="4" s="1"/>
  <c r="E71" i="4" a="1"/>
  <c r="E71" i="4" s="1"/>
  <c r="H71" i="4"/>
  <c r="J71" i="4" a="1"/>
  <c r="J71" i="4" s="1"/>
  <c r="D70" i="4"/>
  <c r="I70" i="4" s="1" a="1"/>
  <c r="I70" i="4" s="1"/>
  <c r="K70" i="4" a="1"/>
  <c r="K70" i="4" s="1"/>
  <c r="F70" i="4"/>
  <c r="L70" i="4" a="1"/>
  <c r="L70" i="4" s="1"/>
  <c r="S69" i="4"/>
  <c r="M69" i="4" a="1"/>
  <c r="M69" i="4" s="1"/>
  <c r="T69" i="4"/>
  <c r="R69" i="4"/>
  <c r="U69" i="4"/>
  <c r="V69" i="4"/>
  <c r="W69" i="4"/>
  <c r="O69" i="4"/>
  <c r="N69" i="4" a="1"/>
  <c r="N69" i="4" s="1"/>
  <c r="X69" i="4"/>
  <c r="Q69" i="4"/>
  <c r="P69" i="4"/>
  <c r="AC71" i="4" l="1"/>
  <c r="Y71" i="4"/>
  <c r="AB71" i="4"/>
  <c r="Z71" i="4"/>
  <c r="AD71" i="4"/>
  <c r="AA71" i="4"/>
  <c r="J72" i="4" a="1"/>
  <c r="J72" i="4" s="1"/>
  <c r="C73" i="4" a="1"/>
  <c r="C73" i="4" s="1"/>
  <c r="H72" i="4"/>
  <c r="E72" i="4" a="1"/>
  <c r="E72" i="4" s="1"/>
  <c r="G72" i="4" a="1"/>
  <c r="G72" i="4" s="1"/>
  <c r="W70" i="4"/>
  <c r="U70" i="4"/>
  <c r="N70" i="4" a="1"/>
  <c r="N70" i="4" s="1"/>
  <c r="P70" i="4"/>
  <c r="V70" i="4"/>
  <c r="M70" i="4" a="1"/>
  <c r="M70" i="4" s="1"/>
  <c r="O70" i="4"/>
  <c r="X70" i="4"/>
  <c r="T70" i="4"/>
  <c r="S70" i="4"/>
  <c r="Q70" i="4"/>
  <c r="R70" i="4"/>
  <c r="L71" i="4" a="1"/>
  <c r="L71" i="4" s="1"/>
  <c r="F71" i="4"/>
  <c r="D71" i="4"/>
  <c r="I71" i="4" s="1" a="1"/>
  <c r="I71" i="4" s="1"/>
  <c r="K71" i="4" a="1"/>
  <c r="K71" i="4" s="1"/>
  <c r="K72" i="4" l="1" a="1"/>
  <c r="K72" i="4" s="1"/>
  <c r="L72" i="4" a="1"/>
  <c r="L72" i="4" s="1"/>
  <c r="D72" i="4"/>
  <c r="I72" i="4" s="1" a="1"/>
  <c r="I72" i="4" s="1"/>
  <c r="F72" i="4"/>
  <c r="AA72" i="4"/>
  <c r="AB72" i="4"/>
  <c r="Y72" i="4"/>
  <c r="AC72" i="4"/>
  <c r="Z72" i="4"/>
  <c r="AD72" i="4"/>
  <c r="M71" i="4" a="1"/>
  <c r="M71" i="4" s="1"/>
  <c r="V71" i="4"/>
  <c r="R71" i="4"/>
  <c r="X71" i="4"/>
  <c r="O71" i="4"/>
  <c r="N71" i="4" a="1"/>
  <c r="N71" i="4" s="1"/>
  <c r="P71" i="4"/>
  <c r="S71" i="4"/>
  <c r="Q71" i="4"/>
  <c r="T71" i="4"/>
  <c r="U71" i="4"/>
  <c r="W71" i="4"/>
  <c r="E73" i="4" a="1"/>
  <c r="E73" i="4" s="1"/>
  <c r="J73" i="4" a="1"/>
  <c r="J73" i="4" s="1"/>
  <c r="H73" i="4"/>
  <c r="C74" i="4" a="1"/>
  <c r="C74" i="4" s="1"/>
  <c r="G73" i="4" a="1"/>
  <c r="G73" i="4" s="1"/>
  <c r="J74" i="4" l="1" a="1"/>
  <c r="J74" i="4" s="1"/>
  <c r="H74" i="4"/>
  <c r="C75" i="4" a="1"/>
  <c r="C75" i="4" s="1"/>
  <c r="G74" i="4" a="1"/>
  <c r="G74" i="4" s="1"/>
  <c r="E74" i="4" a="1"/>
  <c r="E74" i="4" s="1"/>
  <c r="AD73" i="4"/>
  <c r="AC73" i="4"/>
  <c r="Y73" i="4"/>
  <c r="AB73" i="4"/>
  <c r="AA73" i="4"/>
  <c r="Z73" i="4"/>
  <c r="W72" i="4"/>
  <c r="V72" i="4"/>
  <c r="U72" i="4"/>
  <c r="O72" i="4"/>
  <c r="Q72" i="4"/>
  <c r="X72" i="4"/>
  <c r="M72" i="4" a="1"/>
  <c r="M72" i="4" s="1"/>
  <c r="T72" i="4"/>
  <c r="R72" i="4"/>
  <c r="P72" i="4"/>
  <c r="N72" i="4" a="1"/>
  <c r="N72" i="4" s="1"/>
  <c r="S72" i="4"/>
  <c r="L73" i="4" a="1"/>
  <c r="L73" i="4" s="1"/>
  <c r="K73" i="4" a="1"/>
  <c r="K73" i="4" s="1"/>
  <c r="F73" i="4"/>
  <c r="D73" i="4"/>
  <c r="I73" i="4" s="1" a="1"/>
  <c r="I73" i="4" s="1"/>
  <c r="F74" i="4" l="1"/>
  <c r="D74" i="4"/>
  <c r="I74" i="4" s="1" a="1"/>
  <c r="I74" i="4" s="1"/>
  <c r="K74" i="4" a="1"/>
  <c r="K74" i="4" s="1"/>
  <c r="L74" i="4" a="1"/>
  <c r="L74" i="4" s="1"/>
  <c r="C76" i="4" a="1"/>
  <c r="C76" i="4" s="1"/>
  <c r="J75" i="4" a="1"/>
  <c r="J75" i="4" s="1"/>
  <c r="H75" i="4"/>
  <c r="G75" i="4" a="1"/>
  <c r="G75" i="4" s="1"/>
  <c r="E75" i="4" a="1"/>
  <c r="E75" i="4" s="1"/>
  <c r="AA74" i="4"/>
  <c r="AB74" i="4"/>
  <c r="Z74" i="4"/>
  <c r="AC74" i="4"/>
  <c r="AD74" i="4"/>
  <c r="Y74" i="4"/>
  <c r="X73" i="4"/>
  <c r="P73" i="4"/>
  <c r="T73" i="4"/>
  <c r="W73" i="4"/>
  <c r="R73" i="4"/>
  <c r="S73" i="4"/>
  <c r="N73" i="4" a="1"/>
  <c r="N73" i="4" s="1"/>
  <c r="V73" i="4"/>
  <c r="U73" i="4"/>
  <c r="M73" i="4" a="1"/>
  <c r="M73" i="4" s="1"/>
  <c r="Q73" i="4"/>
  <c r="O73" i="4"/>
  <c r="D75" i="4" l="1"/>
  <c r="I75" i="4" s="1" a="1"/>
  <c r="I75" i="4" s="1"/>
  <c r="F75" i="4"/>
  <c r="K75" i="4" a="1"/>
  <c r="K75" i="4" s="1"/>
  <c r="L75" i="4" a="1"/>
  <c r="L75" i="4" s="1"/>
  <c r="AD75" i="4"/>
  <c r="AC75" i="4"/>
  <c r="AA75" i="4"/>
  <c r="AB75" i="4"/>
  <c r="Z75" i="4"/>
  <c r="Y75" i="4"/>
  <c r="E76" i="4" a="1"/>
  <c r="E76" i="4" s="1"/>
  <c r="J76" i="4" a="1"/>
  <c r="J76" i="4" s="1"/>
  <c r="G76" i="4" a="1"/>
  <c r="G76" i="4" s="1"/>
  <c r="H76" i="4"/>
  <c r="C77" i="4" a="1"/>
  <c r="C77" i="4" s="1"/>
  <c r="S74" i="4"/>
  <c r="Q74" i="4"/>
  <c r="P74" i="4"/>
  <c r="R74" i="4"/>
  <c r="U74" i="4"/>
  <c r="T74" i="4"/>
  <c r="V74" i="4"/>
  <c r="X74" i="4"/>
  <c r="N74" i="4" a="1"/>
  <c r="N74" i="4" s="1"/>
  <c r="W74" i="4"/>
  <c r="O74" i="4"/>
  <c r="M74" i="4" a="1"/>
  <c r="M74" i="4" s="1"/>
  <c r="H77" i="4" l="1"/>
  <c r="J77" i="4" a="1"/>
  <c r="J77" i="4" s="1"/>
  <c r="C78" i="4" a="1"/>
  <c r="C78" i="4" s="1"/>
  <c r="G77" i="4" a="1"/>
  <c r="G77" i="4" s="1"/>
  <c r="E77" i="4" a="1"/>
  <c r="E77" i="4" s="1"/>
  <c r="AD76" i="4"/>
  <c r="AB76" i="4"/>
  <c r="AC76" i="4"/>
  <c r="Y76" i="4"/>
  <c r="Z76" i="4"/>
  <c r="AA76" i="4"/>
  <c r="X75" i="4"/>
  <c r="U75" i="4"/>
  <c r="O75" i="4"/>
  <c r="Q75" i="4"/>
  <c r="T75" i="4"/>
  <c r="S75" i="4"/>
  <c r="R75" i="4"/>
  <c r="N75" i="4" a="1"/>
  <c r="N75" i="4" s="1"/>
  <c r="W75" i="4"/>
  <c r="P75" i="4"/>
  <c r="V75" i="4"/>
  <c r="M75" i="4" a="1"/>
  <c r="M75" i="4" s="1"/>
  <c r="F76" i="4"/>
  <c r="K76" i="4" a="1"/>
  <c r="K76" i="4" s="1"/>
  <c r="D76" i="4"/>
  <c r="I76" i="4" s="1" a="1"/>
  <c r="I76" i="4" s="1"/>
  <c r="L76" i="4" a="1"/>
  <c r="L76" i="4" s="1"/>
  <c r="X76" i="4" l="1"/>
  <c r="R76" i="4"/>
  <c r="T76" i="4"/>
  <c r="U76" i="4"/>
  <c r="P76" i="4"/>
  <c r="V76" i="4"/>
  <c r="W76" i="4"/>
  <c r="N76" i="4" a="1"/>
  <c r="N76" i="4" s="1"/>
  <c r="O76" i="4"/>
  <c r="M76" i="4" a="1"/>
  <c r="M76" i="4" s="1"/>
  <c r="Q76" i="4"/>
  <c r="S76" i="4"/>
  <c r="F77" i="4"/>
  <c r="K77" i="4" a="1"/>
  <c r="K77" i="4" s="1"/>
  <c r="D77" i="4"/>
  <c r="I77" i="4" s="1" a="1"/>
  <c r="I77" i="4" s="1"/>
  <c r="L77" i="4" a="1"/>
  <c r="L77" i="4" s="1"/>
  <c r="E78" i="4" a="1"/>
  <c r="E78" i="4" s="1"/>
  <c r="C79" i="4" a="1"/>
  <c r="C79" i="4" s="1"/>
  <c r="G78" i="4" a="1"/>
  <c r="G78" i="4" s="1"/>
  <c r="H78" i="4"/>
  <c r="J78" i="4" a="1"/>
  <c r="J78" i="4" s="1"/>
  <c r="AB77" i="4"/>
  <c r="AC77" i="4"/>
  <c r="AD77" i="4"/>
  <c r="AA77" i="4"/>
  <c r="Y77" i="4"/>
  <c r="Z77" i="4"/>
  <c r="C80" i="4" l="1" a="1"/>
  <c r="C80" i="4" s="1"/>
  <c r="G79" i="4" a="1"/>
  <c r="G79" i="4" s="1"/>
  <c r="E79" i="4" a="1"/>
  <c r="E79" i="4" s="1"/>
  <c r="J79" i="4" a="1"/>
  <c r="J79" i="4" s="1"/>
  <c r="H79" i="4"/>
  <c r="AC78" i="4"/>
  <c r="Y78" i="4"/>
  <c r="AA78" i="4"/>
  <c r="AB78" i="4"/>
  <c r="Z78" i="4"/>
  <c r="AD78" i="4"/>
  <c r="D78" i="4"/>
  <c r="I78" i="4" s="1" a="1"/>
  <c r="I78" i="4" s="1"/>
  <c r="K78" i="4" a="1"/>
  <c r="K78" i="4" s="1"/>
  <c r="L78" i="4" a="1"/>
  <c r="L78" i="4" s="1"/>
  <c r="F78" i="4"/>
  <c r="M77" i="4" a="1"/>
  <c r="M77" i="4" s="1"/>
  <c r="S77" i="4"/>
  <c r="O77" i="4"/>
  <c r="W77" i="4"/>
  <c r="V77" i="4"/>
  <c r="T77" i="4"/>
  <c r="X77" i="4"/>
  <c r="R77" i="4"/>
  <c r="P77" i="4"/>
  <c r="U77" i="4"/>
  <c r="Q77" i="4"/>
  <c r="N77" i="4" a="1"/>
  <c r="N77" i="4" s="1"/>
  <c r="AA79" i="4" l="1"/>
  <c r="AB79" i="4"/>
  <c r="AC79" i="4"/>
  <c r="AD79" i="4"/>
  <c r="Y79" i="4"/>
  <c r="Z79" i="4"/>
  <c r="P78" i="4"/>
  <c r="Q78" i="4"/>
  <c r="U78" i="4"/>
  <c r="R78" i="4"/>
  <c r="X78" i="4"/>
  <c r="S78" i="4"/>
  <c r="T78" i="4"/>
  <c r="V78" i="4"/>
  <c r="O78" i="4"/>
  <c r="W78" i="4"/>
  <c r="N78" i="4" a="1"/>
  <c r="N78" i="4" s="1"/>
  <c r="M78" i="4" a="1"/>
  <c r="M78" i="4" s="1"/>
  <c r="D79" i="4"/>
  <c r="I79" i="4" s="1" a="1"/>
  <c r="I79" i="4" s="1"/>
  <c r="F79" i="4"/>
  <c r="K79" i="4" a="1"/>
  <c r="K79" i="4" s="1"/>
  <c r="L79" i="4" a="1"/>
  <c r="L79" i="4" s="1"/>
  <c r="H80" i="4"/>
  <c r="G80" i="4" a="1"/>
  <c r="G80" i="4" s="1"/>
  <c r="C81" i="4" a="1"/>
  <c r="C81" i="4" s="1"/>
  <c r="E80" i="4" a="1"/>
  <c r="E80" i="4" s="1"/>
  <c r="J80" i="4" a="1"/>
  <c r="J80" i="4" s="1"/>
  <c r="O79" i="4" l="1"/>
  <c r="P79" i="4"/>
  <c r="Q79" i="4"/>
  <c r="V79" i="4"/>
  <c r="W79" i="4"/>
  <c r="S79" i="4"/>
  <c r="R79" i="4"/>
  <c r="N79" i="4" a="1"/>
  <c r="N79" i="4" s="1"/>
  <c r="X79" i="4"/>
  <c r="T79" i="4"/>
  <c r="U79" i="4"/>
  <c r="M79" i="4" a="1"/>
  <c r="M79" i="4" s="1"/>
  <c r="L80" i="4" a="1"/>
  <c r="L80" i="4" s="1"/>
  <c r="K80" i="4" a="1"/>
  <c r="K80" i="4" s="1"/>
  <c r="F80" i="4"/>
  <c r="D80" i="4"/>
  <c r="I80" i="4" s="1" a="1"/>
  <c r="I80" i="4" s="1"/>
  <c r="AD80" i="4"/>
  <c r="Y80" i="4"/>
  <c r="AB80" i="4"/>
  <c r="AA80" i="4"/>
  <c r="AC80" i="4"/>
  <c r="Z80" i="4"/>
  <c r="E81" i="4" a="1"/>
  <c r="E81" i="4" s="1"/>
  <c r="G81" i="4" a="1"/>
  <c r="G81" i="4" s="1"/>
  <c r="H81" i="4"/>
  <c r="J81" i="4" a="1"/>
  <c r="J81" i="4" s="1"/>
  <c r="C82" i="4" a="1"/>
  <c r="C82" i="4" s="1"/>
  <c r="C83" i="4" l="1" a="1"/>
  <c r="C83" i="4" s="1"/>
  <c r="J82" i="4" a="1"/>
  <c r="J82" i="4" s="1"/>
  <c r="G82" i="4" a="1"/>
  <c r="G82" i="4" s="1"/>
  <c r="E82" i="4" a="1"/>
  <c r="E82" i="4" s="1"/>
  <c r="H82" i="4"/>
  <c r="AC81" i="4"/>
  <c r="AB81" i="4"/>
  <c r="AA81" i="4"/>
  <c r="AD81" i="4"/>
  <c r="Y81" i="4"/>
  <c r="Z81" i="4"/>
  <c r="L81" i="4" a="1"/>
  <c r="L81" i="4" s="1"/>
  <c r="D81" i="4"/>
  <c r="I81" i="4" s="1" a="1"/>
  <c r="I81" i="4" s="1"/>
  <c r="K81" i="4" a="1"/>
  <c r="K81" i="4" s="1"/>
  <c r="F81" i="4"/>
  <c r="Q80" i="4"/>
  <c r="R80" i="4"/>
  <c r="S80" i="4"/>
  <c r="P80" i="4"/>
  <c r="W80" i="4"/>
  <c r="O80" i="4"/>
  <c r="M80" i="4" a="1"/>
  <c r="M80" i="4" s="1"/>
  <c r="T80" i="4"/>
  <c r="V80" i="4"/>
  <c r="U80" i="4"/>
  <c r="X80" i="4"/>
  <c r="N80" i="4" a="1"/>
  <c r="N80" i="4" s="1"/>
  <c r="R81" i="4" l="1"/>
  <c r="W81" i="4"/>
  <c r="M81" i="4" a="1"/>
  <c r="M81" i="4" s="1"/>
  <c r="X81" i="4"/>
  <c r="T81" i="4"/>
  <c r="S81" i="4"/>
  <c r="P81" i="4"/>
  <c r="O81" i="4"/>
  <c r="Q81" i="4"/>
  <c r="U81" i="4"/>
  <c r="N81" i="4" a="1"/>
  <c r="N81" i="4" s="1"/>
  <c r="V81" i="4"/>
  <c r="K82" i="4" a="1"/>
  <c r="K82" i="4" s="1"/>
  <c r="F82" i="4"/>
  <c r="D82" i="4"/>
  <c r="I82" i="4" s="1" a="1"/>
  <c r="I82" i="4" s="1"/>
  <c r="L82" i="4" a="1"/>
  <c r="L82" i="4" s="1"/>
  <c r="Y82" i="4"/>
  <c r="AC82" i="4"/>
  <c r="AB82" i="4"/>
  <c r="AA82" i="4"/>
  <c r="Z82" i="4"/>
  <c r="AD82" i="4"/>
  <c r="G83" i="4" a="1"/>
  <c r="G83" i="4" s="1"/>
  <c r="J83" i="4" a="1"/>
  <c r="J83" i="4" s="1"/>
  <c r="E83" i="4" a="1"/>
  <c r="E83" i="4" s="1"/>
  <c r="C84" i="4" a="1"/>
  <c r="C84" i="4" s="1"/>
  <c r="H83" i="4"/>
  <c r="X82" i="4" l="1"/>
  <c r="T82" i="4"/>
  <c r="V82" i="4"/>
  <c r="R82" i="4"/>
  <c r="Q82" i="4"/>
  <c r="W82" i="4"/>
  <c r="O82" i="4"/>
  <c r="S82" i="4"/>
  <c r="U82" i="4"/>
  <c r="P82" i="4"/>
  <c r="N82" i="4" a="1"/>
  <c r="N82" i="4" s="1"/>
  <c r="M82" i="4" a="1"/>
  <c r="M82" i="4" s="1"/>
  <c r="AB83" i="4"/>
  <c r="Y83" i="4"/>
  <c r="AA83" i="4"/>
  <c r="AC83" i="4"/>
  <c r="Z83" i="4"/>
  <c r="AD83" i="4"/>
  <c r="K83" i="4" a="1"/>
  <c r="K83" i="4" s="1"/>
  <c r="L83" i="4" a="1"/>
  <c r="L83" i="4" s="1"/>
  <c r="F83" i="4"/>
  <c r="D83" i="4"/>
  <c r="I83" i="4" s="1" a="1"/>
  <c r="I83" i="4" s="1"/>
  <c r="C85" i="4" a="1"/>
  <c r="C85" i="4" s="1"/>
  <c r="E84" i="4" a="1"/>
  <c r="E84" i="4" s="1"/>
  <c r="H84" i="4"/>
  <c r="G84" i="4" a="1"/>
  <c r="G84" i="4" s="1"/>
  <c r="J84" i="4" a="1"/>
  <c r="J84" i="4" s="1"/>
  <c r="L84" i="4" l="1" a="1"/>
  <c r="L84" i="4" s="1"/>
  <c r="K84" i="4" a="1"/>
  <c r="K84" i="4" s="1"/>
  <c r="F84" i="4"/>
  <c r="D84" i="4"/>
  <c r="I84" i="4" s="1" a="1"/>
  <c r="I84" i="4" s="1"/>
  <c r="Y84" i="4"/>
  <c r="Z84" i="4"/>
  <c r="AD84" i="4"/>
  <c r="AC84" i="4"/>
  <c r="AA84" i="4"/>
  <c r="AB84" i="4"/>
  <c r="G85" i="4" a="1"/>
  <c r="G85" i="4" s="1"/>
  <c r="C86" i="4" a="1"/>
  <c r="C86" i="4" s="1"/>
  <c r="E85" i="4" a="1"/>
  <c r="E85" i="4" s="1"/>
  <c r="J85" i="4" a="1"/>
  <c r="J85" i="4" s="1"/>
  <c r="H85" i="4"/>
  <c r="R83" i="4"/>
  <c r="Q83" i="4"/>
  <c r="S83" i="4"/>
  <c r="P83" i="4"/>
  <c r="V83" i="4"/>
  <c r="O83" i="4"/>
  <c r="U83" i="4"/>
  <c r="N83" i="4" a="1"/>
  <c r="N83" i="4" s="1"/>
  <c r="W83" i="4"/>
  <c r="X83" i="4"/>
  <c r="M83" i="4" a="1"/>
  <c r="M83" i="4" s="1"/>
  <c r="T83" i="4"/>
  <c r="AA85" i="4" l="1"/>
  <c r="Y85" i="4"/>
  <c r="AD85" i="4"/>
  <c r="AC85" i="4"/>
  <c r="AB85" i="4"/>
  <c r="Z85" i="4"/>
  <c r="L85" i="4" a="1"/>
  <c r="L85" i="4" s="1"/>
  <c r="F85" i="4"/>
  <c r="K85" i="4" a="1"/>
  <c r="K85" i="4" s="1"/>
  <c r="D85" i="4"/>
  <c r="I85" i="4" s="1" a="1"/>
  <c r="I85" i="4" s="1"/>
  <c r="P84" i="4"/>
  <c r="O84" i="4"/>
  <c r="R84" i="4"/>
  <c r="Q84" i="4"/>
  <c r="T84" i="4"/>
  <c r="N84" i="4" a="1"/>
  <c r="N84" i="4" s="1"/>
  <c r="S84" i="4"/>
  <c r="W84" i="4"/>
  <c r="M84" i="4" a="1"/>
  <c r="M84" i="4" s="1"/>
  <c r="X84" i="4"/>
  <c r="V84" i="4"/>
  <c r="U84" i="4"/>
  <c r="J86" i="4" a="1"/>
  <c r="J86" i="4" s="1"/>
  <c r="G86" i="4" a="1"/>
  <c r="G86" i="4" s="1"/>
  <c r="C87" i="4" a="1"/>
  <c r="C87" i="4" s="1"/>
  <c r="E86" i="4" a="1"/>
  <c r="E86" i="4" s="1"/>
  <c r="H86" i="4"/>
  <c r="D86" i="4" l="1"/>
  <c r="I86" i="4" s="1" a="1"/>
  <c r="I86" i="4" s="1"/>
  <c r="F86" i="4"/>
  <c r="K86" i="4" a="1"/>
  <c r="K86" i="4" s="1"/>
  <c r="L86" i="4" a="1"/>
  <c r="L86" i="4" s="1"/>
  <c r="N85" i="4" a="1"/>
  <c r="N85" i="4" s="1"/>
  <c r="X85" i="4"/>
  <c r="Q85" i="4"/>
  <c r="O85" i="4"/>
  <c r="P85" i="4"/>
  <c r="S85" i="4"/>
  <c r="R85" i="4"/>
  <c r="V85" i="4"/>
  <c r="M85" i="4" a="1"/>
  <c r="M85" i="4" s="1"/>
  <c r="T85" i="4"/>
  <c r="U85" i="4"/>
  <c r="W85" i="4"/>
  <c r="AC86" i="4"/>
  <c r="Y86" i="4"/>
  <c r="AB86" i="4"/>
  <c r="AA86" i="4"/>
  <c r="Z86" i="4"/>
  <c r="AD86" i="4"/>
  <c r="J87" i="4" a="1"/>
  <c r="J87" i="4" s="1"/>
  <c r="G87" i="4" a="1"/>
  <c r="G87" i="4" s="1"/>
  <c r="C88" i="4" a="1"/>
  <c r="C88" i="4" s="1"/>
  <c r="E87" i="4" a="1"/>
  <c r="E87" i="4" s="1"/>
  <c r="H87" i="4"/>
  <c r="C89" i="4" l="1" a="1"/>
  <c r="C89" i="4" s="1"/>
  <c r="G88" i="4" a="1"/>
  <c r="G88" i="4" s="1"/>
  <c r="J88" i="4" a="1"/>
  <c r="J88" i="4" s="1"/>
  <c r="E88" i="4" a="1"/>
  <c r="E88" i="4" s="1"/>
  <c r="H88" i="4"/>
  <c r="AA87" i="4"/>
  <c r="AC87" i="4"/>
  <c r="Y87" i="4"/>
  <c r="AD87" i="4"/>
  <c r="AB87" i="4"/>
  <c r="Z87" i="4"/>
  <c r="F87" i="4"/>
  <c r="L87" i="4" a="1"/>
  <c r="L87" i="4" s="1"/>
  <c r="D87" i="4"/>
  <c r="I87" i="4" s="1" a="1"/>
  <c r="I87" i="4" s="1"/>
  <c r="K87" i="4" a="1"/>
  <c r="K87" i="4" s="1"/>
  <c r="S86" i="4"/>
  <c r="N86" i="4" a="1"/>
  <c r="N86" i="4" s="1"/>
  <c r="Q86" i="4"/>
  <c r="M86" i="4" a="1"/>
  <c r="M86" i="4" s="1"/>
  <c r="P86" i="4"/>
  <c r="U86" i="4"/>
  <c r="W86" i="4"/>
  <c r="X86" i="4"/>
  <c r="R86" i="4"/>
  <c r="V86" i="4"/>
  <c r="O86" i="4"/>
  <c r="T86" i="4"/>
  <c r="Z88" i="4" l="1"/>
  <c r="Y88" i="4"/>
  <c r="AD88" i="4"/>
  <c r="AC88" i="4"/>
  <c r="AB88" i="4"/>
  <c r="AA88" i="4"/>
  <c r="V87" i="4"/>
  <c r="O87" i="4"/>
  <c r="P87" i="4"/>
  <c r="S87" i="4"/>
  <c r="U87" i="4"/>
  <c r="T87" i="4"/>
  <c r="N87" i="4" a="1"/>
  <c r="N87" i="4" s="1"/>
  <c r="Q87" i="4"/>
  <c r="X87" i="4"/>
  <c r="W87" i="4"/>
  <c r="R87" i="4"/>
  <c r="M87" i="4" a="1"/>
  <c r="M87" i="4" s="1"/>
  <c r="D88" i="4"/>
  <c r="I88" i="4" s="1" a="1"/>
  <c r="I88" i="4" s="1"/>
  <c r="K88" i="4" a="1"/>
  <c r="K88" i="4" s="1"/>
  <c r="F88" i="4"/>
  <c r="L88" i="4" a="1"/>
  <c r="L88" i="4" s="1"/>
  <c r="H89" i="4"/>
  <c r="E89" i="4" a="1"/>
  <c r="E89" i="4" s="1"/>
  <c r="C90" i="4" a="1"/>
  <c r="C90" i="4" s="1"/>
  <c r="J89" i="4" a="1"/>
  <c r="J89" i="4" s="1"/>
  <c r="G89" i="4" a="1"/>
  <c r="G89" i="4" s="1"/>
  <c r="C91" i="4" l="1" a="1"/>
  <c r="C91" i="4" s="1"/>
  <c r="E90" i="4" a="1"/>
  <c r="E90" i="4" s="1"/>
  <c r="H90" i="4"/>
  <c r="J90" i="4" a="1"/>
  <c r="J90" i="4" s="1"/>
  <c r="G90" i="4" a="1"/>
  <c r="G90" i="4" s="1"/>
  <c r="AB89" i="4"/>
  <c r="Y89" i="4"/>
  <c r="Z89" i="4"/>
  <c r="AC89" i="4"/>
  <c r="AA89" i="4"/>
  <c r="AD89" i="4"/>
  <c r="D89" i="4"/>
  <c r="I89" i="4" s="1" a="1"/>
  <c r="I89" i="4" s="1"/>
  <c r="K89" i="4" a="1"/>
  <c r="K89" i="4" s="1"/>
  <c r="L89" i="4" a="1"/>
  <c r="L89" i="4" s="1"/>
  <c r="F89" i="4"/>
  <c r="M88" i="4" a="1"/>
  <c r="M88" i="4" s="1"/>
  <c r="R88" i="4"/>
  <c r="U88" i="4"/>
  <c r="N88" i="4" a="1"/>
  <c r="N88" i="4" s="1"/>
  <c r="Q88" i="4"/>
  <c r="S88" i="4"/>
  <c r="W88" i="4"/>
  <c r="T88" i="4"/>
  <c r="P88" i="4"/>
  <c r="O88" i="4"/>
  <c r="X88" i="4"/>
  <c r="V88" i="4"/>
  <c r="U89" i="4" l="1"/>
  <c r="R89" i="4"/>
  <c r="N89" i="4" a="1"/>
  <c r="N89" i="4" s="1"/>
  <c r="X89" i="4"/>
  <c r="O89" i="4"/>
  <c r="T89" i="4"/>
  <c r="M89" i="4" a="1"/>
  <c r="M89" i="4" s="1"/>
  <c r="P89" i="4"/>
  <c r="Q89" i="4"/>
  <c r="V89" i="4"/>
  <c r="S89" i="4"/>
  <c r="W89" i="4"/>
  <c r="AB90" i="4"/>
  <c r="AD90" i="4"/>
  <c r="AC90" i="4"/>
  <c r="Y90" i="4"/>
  <c r="AA90" i="4"/>
  <c r="Z90" i="4"/>
  <c r="L90" i="4" a="1"/>
  <c r="L90" i="4" s="1"/>
  <c r="F90" i="4"/>
  <c r="D90" i="4"/>
  <c r="I90" i="4" s="1" a="1"/>
  <c r="I90" i="4" s="1"/>
  <c r="K90" i="4" a="1"/>
  <c r="K90" i="4" s="1"/>
  <c r="H91" i="4"/>
  <c r="J91" i="4" a="1"/>
  <c r="J91" i="4" s="1"/>
  <c r="C92" i="4" a="1"/>
  <c r="C92" i="4" s="1"/>
  <c r="G91" i="4" a="1"/>
  <c r="G91" i="4" s="1"/>
  <c r="E91" i="4" a="1"/>
  <c r="E91" i="4" s="1"/>
  <c r="X90" i="4" l="1"/>
  <c r="Q90" i="4"/>
  <c r="M90" i="4" a="1"/>
  <c r="M90" i="4" s="1"/>
  <c r="S90" i="4"/>
  <c r="W90" i="4"/>
  <c r="T90" i="4"/>
  <c r="V90" i="4"/>
  <c r="O90" i="4"/>
  <c r="R90" i="4"/>
  <c r="U90" i="4"/>
  <c r="P90" i="4"/>
  <c r="N90" i="4" a="1"/>
  <c r="N90" i="4" s="1"/>
  <c r="AB91" i="4"/>
  <c r="AD91" i="4"/>
  <c r="Y91" i="4"/>
  <c r="AC91" i="4"/>
  <c r="Z91" i="4"/>
  <c r="AA91" i="4"/>
  <c r="F91" i="4"/>
  <c r="D91" i="4"/>
  <c r="I91" i="4" s="1" a="1"/>
  <c r="I91" i="4" s="1"/>
  <c r="K91" i="4" a="1"/>
  <c r="K91" i="4" s="1"/>
  <c r="L91" i="4" a="1"/>
  <c r="L91" i="4" s="1"/>
  <c r="C93" i="4" a="1"/>
  <c r="C93" i="4" s="1"/>
  <c r="G92" i="4" a="1"/>
  <c r="G92" i="4" s="1"/>
  <c r="J92" i="4" a="1"/>
  <c r="J92" i="4" s="1"/>
  <c r="E92" i="4" a="1"/>
  <c r="E92" i="4" s="1"/>
  <c r="H92" i="4"/>
  <c r="Z92" i="4" l="1"/>
  <c r="AB92" i="4"/>
  <c r="Y92" i="4"/>
  <c r="AC92" i="4"/>
  <c r="AD92" i="4"/>
  <c r="AA92" i="4"/>
  <c r="N91" i="4" a="1"/>
  <c r="N91" i="4" s="1"/>
  <c r="M91" i="4" a="1"/>
  <c r="M91" i="4" s="1"/>
  <c r="W91" i="4"/>
  <c r="T91" i="4"/>
  <c r="Q91" i="4"/>
  <c r="X91" i="4"/>
  <c r="O91" i="4"/>
  <c r="U91" i="4"/>
  <c r="P91" i="4"/>
  <c r="V91" i="4"/>
  <c r="S91" i="4"/>
  <c r="R91" i="4"/>
  <c r="L92" i="4" a="1"/>
  <c r="L92" i="4" s="1"/>
  <c r="F92" i="4"/>
  <c r="D92" i="4"/>
  <c r="I92" i="4" s="1" a="1"/>
  <c r="I92" i="4" s="1"/>
  <c r="K92" i="4" a="1"/>
  <c r="K92" i="4" s="1"/>
  <c r="E93" i="4" a="1"/>
  <c r="E93" i="4" s="1"/>
  <c r="C94" i="4" a="1"/>
  <c r="C94" i="4" s="1"/>
  <c r="J93" i="4" a="1"/>
  <c r="J93" i="4" s="1"/>
  <c r="H93" i="4"/>
  <c r="G93" i="4" a="1"/>
  <c r="G93" i="4" s="1"/>
  <c r="N92" i="4" l="1" a="1"/>
  <c r="N92" i="4" s="1"/>
  <c r="Q92" i="4"/>
  <c r="S92" i="4"/>
  <c r="U92" i="4"/>
  <c r="T92" i="4"/>
  <c r="P92" i="4"/>
  <c r="M92" i="4" a="1"/>
  <c r="M92" i="4" s="1"/>
  <c r="R92" i="4"/>
  <c r="W92" i="4"/>
  <c r="X92" i="4"/>
  <c r="O92" i="4"/>
  <c r="V92" i="4"/>
  <c r="Z93" i="4"/>
  <c r="AB93" i="4"/>
  <c r="Y93" i="4"/>
  <c r="AD93" i="4"/>
  <c r="AC93" i="4"/>
  <c r="AA93" i="4"/>
  <c r="F93" i="4"/>
  <c r="K93" i="4" a="1"/>
  <c r="K93" i="4" s="1"/>
  <c r="L93" i="4" a="1"/>
  <c r="L93" i="4" s="1"/>
  <c r="D93" i="4"/>
  <c r="I93" i="4" s="1" a="1"/>
  <c r="I93" i="4" s="1"/>
  <c r="J94" i="4" a="1"/>
  <c r="J94" i="4" s="1"/>
  <c r="H94" i="4"/>
  <c r="C95" i="4" a="1"/>
  <c r="C95" i="4" s="1"/>
  <c r="G94" i="4" a="1"/>
  <c r="G94" i="4" s="1"/>
  <c r="E94" i="4" a="1"/>
  <c r="E94" i="4" s="1"/>
  <c r="N93" i="4" l="1" a="1"/>
  <c r="N93" i="4" s="1"/>
  <c r="Q93" i="4"/>
  <c r="X93" i="4"/>
  <c r="W93" i="4"/>
  <c r="U93" i="4"/>
  <c r="O93" i="4"/>
  <c r="S93" i="4"/>
  <c r="R93" i="4"/>
  <c r="M93" i="4" a="1"/>
  <c r="M93" i="4" s="1"/>
  <c r="P93" i="4"/>
  <c r="V93" i="4"/>
  <c r="T93" i="4"/>
  <c r="D94" i="4"/>
  <c r="I94" i="4" s="1" a="1"/>
  <c r="I94" i="4" s="1"/>
  <c r="F94" i="4"/>
  <c r="L94" i="4" a="1"/>
  <c r="L94" i="4" s="1"/>
  <c r="K94" i="4" a="1"/>
  <c r="K94" i="4" s="1"/>
  <c r="C96" i="4" a="1"/>
  <c r="C96" i="4" s="1"/>
  <c r="J95" i="4" a="1"/>
  <c r="J95" i="4" s="1"/>
  <c r="E95" i="4" a="1"/>
  <c r="E95" i="4" s="1"/>
  <c r="H95" i="4"/>
  <c r="G95" i="4" a="1"/>
  <c r="G95" i="4" s="1"/>
  <c r="AC94" i="4"/>
  <c r="Z94" i="4"/>
  <c r="Y94" i="4"/>
  <c r="AD94" i="4"/>
  <c r="AB94" i="4"/>
  <c r="AA94" i="4"/>
  <c r="AD95" i="4" l="1"/>
  <c r="AC95" i="4"/>
  <c r="AB95" i="4"/>
  <c r="AA95" i="4"/>
  <c r="Z95" i="4"/>
  <c r="Y95" i="4"/>
  <c r="O94" i="4"/>
  <c r="X94" i="4"/>
  <c r="V94" i="4"/>
  <c r="M94" i="4" a="1"/>
  <c r="M94" i="4" s="1"/>
  <c r="S94" i="4"/>
  <c r="N94" i="4" a="1"/>
  <c r="N94" i="4" s="1"/>
  <c r="Q94" i="4"/>
  <c r="P94" i="4"/>
  <c r="R94" i="4"/>
  <c r="W94" i="4"/>
  <c r="T94" i="4"/>
  <c r="U94" i="4"/>
  <c r="L95" i="4" a="1"/>
  <c r="L95" i="4" s="1"/>
  <c r="K95" i="4" a="1"/>
  <c r="K95" i="4" s="1"/>
  <c r="D95" i="4"/>
  <c r="I95" i="4" s="1" a="1"/>
  <c r="I95" i="4" s="1"/>
  <c r="F95" i="4"/>
  <c r="G96" i="4" a="1"/>
  <c r="G96" i="4" s="1"/>
  <c r="C97" i="4" a="1"/>
  <c r="C97" i="4" s="1"/>
  <c r="H96" i="4"/>
  <c r="J96" i="4" a="1"/>
  <c r="J96" i="4" s="1"/>
  <c r="E96" i="4" a="1"/>
  <c r="E96" i="4" s="1"/>
  <c r="F96" i="4" l="1"/>
  <c r="K96" i="4" a="1"/>
  <c r="K96" i="4" s="1"/>
  <c r="L96" i="4" a="1"/>
  <c r="L96" i="4" s="1"/>
  <c r="D96" i="4"/>
  <c r="I96" i="4" s="1" a="1"/>
  <c r="I96" i="4" s="1"/>
  <c r="E97" i="4" a="1"/>
  <c r="E97" i="4" s="1"/>
  <c r="J97" i="4" a="1"/>
  <c r="J97" i="4" s="1"/>
  <c r="H97" i="4"/>
  <c r="G97" i="4" a="1"/>
  <c r="G97" i="4" s="1"/>
  <c r="C98" i="4" a="1"/>
  <c r="C98" i="4" s="1"/>
  <c r="AB96" i="4"/>
  <c r="Y96" i="4"/>
  <c r="AD96" i="4"/>
  <c r="AA96" i="4"/>
  <c r="AC96" i="4"/>
  <c r="Z96" i="4"/>
  <c r="V95" i="4"/>
  <c r="O95" i="4"/>
  <c r="U95" i="4"/>
  <c r="M95" i="4" a="1"/>
  <c r="M95" i="4" s="1"/>
  <c r="R95" i="4"/>
  <c r="P95" i="4"/>
  <c r="N95" i="4" a="1"/>
  <c r="N95" i="4" s="1"/>
  <c r="X95" i="4"/>
  <c r="S95" i="4"/>
  <c r="T95" i="4"/>
  <c r="Q95" i="4"/>
  <c r="W95" i="4"/>
  <c r="J98" i="4" l="1" a="1"/>
  <c r="J98" i="4" s="1"/>
  <c r="C99" i="4" a="1"/>
  <c r="C99" i="4" s="1"/>
  <c r="G98" i="4" a="1"/>
  <c r="G98" i="4" s="1"/>
  <c r="H98" i="4"/>
  <c r="E98" i="4" a="1"/>
  <c r="E98" i="4" s="1"/>
  <c r="L97" i="4" a="1"/>
  <c r="L97" i="4" s="1"/>
  <c r="K97" i="4" a="1"/>
  <c r="K97" i="4" s="1"/>
  <c r="F97" i="4"/>
  <c r="D97" i="4"/>
  <c r="I97" i="4" s="1" a="1"/>
  <c r="I97" i="4" s="1"/>
  <c r="AC97" i="4"/>
  <c r="AB97" i="4"/>
  <c r="Z97" i="4"/>
  <c r="AD97" i="4"/>
  <c r="Y97" i="4"/>
  <c r="AA97" i="4"/>
  <c r="V96" i="4"/>
  <c r="W96" i="4"/>
  <c r="S96" i="4"/>
  <c r="T96" i="4"/>
  <c r="P96" i="4"/>
  <c r="U96" i="4"/>
  <c r="X96" i="4"/>
  <c r="Q96" i="4"/>
  <c r="R96" i="4"/>
  <c r="M96" i="4" a="1"/>
  <c r="M96" i="4" s="1"/>
  <c r="N96" i="4" a="1"/>
  <c r="N96" i="4" s="1"/>
  <c r="O96" i="4"/>
  <c r="T97" i="4" l="1"/>
  <c r="P97" i="4"/>
  <c r="U97" i="4"/>
  <c r="O97" i="4"/>
  <c r="M97" i="4" a="1"/>
  <c r="M97" i="4" s="1"/>
  <c r="Q97" i="4"/>
  <c r="R97" i="4"/>
  <c r="W97" i="4"/>
  <c r="S97" i="4"/>
  <c r="V97" i="4"/>
  <c r="X97" i="4"/>
  <c r="N97" i="4" a="1"/>
  <c r="N97" i="4" s="1"/>
  <c r="AB98" i="4"/>
  <c r="AC98" i="4"/>
  <c r="Y98" i="4"/>
  <c r="AA98" i="4"/>
  <c r="AD98" i="4"/>
  <c r="Z98" i="4"/>
  <c r="F98" i="4"/>
  <c r="L98" i="4" a="1"/>
  <c r="L98" i="4" s="1"/>
  <c r="K98" i="4" a="1"/>
  <c r="K98" i="4" s="1"/>
  <c r="D98" i="4"/>
  <c r="I98" i="4" s="1" a="1"/>
  <c r="I98" i="4" s="1"/>
  <c r="G99" i="4" a="1"/>
  <c r="G99" i="4" s="1"/>
  <c r="H99" i="4"/>
  <c r="C100" i="4" a="1"/>
  <c r="C100" i="4" s="1"/>
  <c r="J99" i="4" a="1"/>
  <c r="J99" i="4" s="1"/>
  <c r="E99" i="4" a="1"/>
  <c r="E99" i="4" s="1"/>
  <c r="Q98" i="4" l="1"/>
  <c r="S98" i="4"/>
  <c r="W98" i="4"/>
  <c r="X98" i="4"/>
  <c r="R98" i="4"/>
  <c r="N98" i="4" a="1"/>
  <c r="N98" i="4" s="1"/>
  <c r="P98" i="4"/>
  <c r="M98" i="4" a="1"/>
  <c r="M98" i="4" s="1"/>
  <c r="T98" i="4"/>
  <c r="O98" i="4"/>
  <c r="U98" i="4"/>
  <c r="V98" i="4"/>
  <c r="J100" i="4" a="1"/>
  <c r="J100" i="4" s="1"/>
  <c r="G100" i="4" a="1"/>
  <c r="G100" i="4" s="1"/>
  <c r="C101" i="4" a="1"/>
  <c r="C101" i="4" s="1"/>
  <c r="E100" i="4" a="1"/>
  <c r="E100" i="4" s="1"/>
  <c r="H100" i="4"/>
  <c r="AA99" i="4"/>
  <c r="Z99" i="4"/>
  <c r="Y99" i="4"/>
  <c r="AD99" i="4"/>
  <c r="AC99" i="4"/>
  <c r="AB99" i="4"/>
  <c r="F99" i="4"/>
  <c r="D99" i="4"/>
  <c r="I99" i="4" s="1" a="1"/>
  <c r="I99" i="4" s="1"/>
  <c r="K99" i="4" a="1"/>
  <c r="K99" i="4" s="1"/>
  <c r="L99" i="4" a="1"/>
  <c r="L99" i="4" s="1"/>
  <c r="Y100" i="4" l="1"/>
  <c r="AA100" i="4"/>
  <c r="Z100" i="4"/>
  <c r="AD100" i="4"/>
  <c r="AB100" i="4"/>
  <c r="AC100" i="4"/>
  <c r="J101" i="4" a="1"/>
  <c r="J101" i="4" s="1"/>
  <c r="H101" i="4"/>
  <c r="E101" i="4" a="1"/>
  <c r="E101" i="4" s="1"/>
  <c r="C102" i="4" a="1"/>
  <c r="C102" i="4" s="1"/>
  <c r="G101" i="4" a="1"/>
  <c r="G101" i="4" s="1"/>
  <c r="K100" i="4" a="1"/>
  <c r="K100" i="4" s="1"/>
  <c r="F100" i="4"/>
  <c r="L100" i="4" a="1"/>
  <c r="L100" i="4" s="1"/>
  <c r="D100" i="4"/>
  <c r="I100" i="4" s="1" a="1"/>
  <c r="I100" i="4" s="1"/>
  <c r="T99" i="4"/>
  <c r="S99" i="4"/>
  <c r="X99" i="4"/>
  <c r="M99" i="4" a="1"/>
  <c r="M99" i="4" s="1"/>
  <c r="O99" i="4"/>
  <c r="P99" i="4"/>
  <c r="Q99" i="4"/>
  <c r="U99" i="4"/>
  <c r="R99" i="4"/>
  <c r="W99" i="4"/>
  <c r="V99" i="4"/>
  <c r="N99" i="4" a="1"/>
  <c r="N99" i="4" s="1"/>
  <c r="H102" i="4" l="1"/>
  <c r="C103" i="4" a="1"/>
  <c r="C103" i="4" s="1"/>
  <c r="E102" i="4" a="1"/>
  <c r="E102" i="4" s="1"/>
  <c r="G102" i="4" a="1"/>
  <c r="G102" i="4" s="1"/>
  <c r="J102" i="4" a="1"/>
  <c r="J102" i="4" s="1"/>
  <c r="AA101" i="4"/>
  <c r="AC101" i="4"/>
  <c r="AB101" i="4"/>
  <c r="Y101" i="4"/>
  <c r="AD101" i="4"/>
  <c r="Z101" i="4"/>
  <c r="V100" i="4"/>
  <c r="M100" i="4" a="1"/>
  <c r="M100" i="4" s="1"/>
  <c r="U100" i="4"/>
  <c r="N100" i="4" a="1"/>
  <c r="N100" i="4" s="1"/>
  <c r="W100" i="4"/>
  <c r="S100" i="4"/>
  <c r="O100" i="4"/>
  <c r="P100" i="4"/>
  <c r="X100" i="4"/>
  <c r="T100" i="4"/>
  <c r="Q100" i="4"/>
  <c r="R100" i="4"/>
  <c r="K101" i="4" a="1"/>
  <c r="K101" i="4" s="1"/>
  <c r="D101" i="4"/>
  <c r="I101" i="4" s="1" a="1"/>
  <c r="I101" i="4" s="1"/>
  <c r="F101" i="4"/>
  <c r="L101" i="4" a="1"/>
  <c r="L101" i="4" s="1"/>
  <c r="M101" i="4" l="1" a="1"/>
  <c r="M101" i="4" s="1"/>
  <c r="X101" i="4"/>
  <c r="P101" i="4"/>
  <c r="Q101" i="4"/>
  <c r="R101" i="4"/>
  <c r="T101" i="4"/>
  <c r="O101" i="4"/>
  <c r="S101" i="4"/>
  <c r="V101" i="4"/>
  <c r="W101" i="4"/>
  <c r="U101" i="4"/>
  <c r="N101" i="4" a="1"/>
  <c r="N101" i="4" s="1"/>
  <c r="J103" i="4" a="1"/>
  <c r="J103" i="4" s="1"/>
  <c r="G103" i="4" a="1"/>
  <c r="G103" i="4" s="1"/>
  <c r="C104" i="4" a="1"/>
  <c r="C104" i="4" s="1"/>
  <c r="H103" i="4"/>
  <c r="E103" i="4" a="1"/>
  <c r="E103" i="4" s="1"/>
  <c r="D102" i="4"/>
  <c r="I102" i="4" s="1" a="1"/>
  <c r="I102" i="4" s="1"/>
  <c r="F102" i="4"/>
  <c r="L102" i="4" a="1"/>
  <c r="L102" i="4" s="1"/>
  <c r="K102" i="4" a="1"/>
  <c r="K102" i="4" s="1"/>
  <c r="Z102" i="4"/>
  <c r="AD102" i="4"/>
  <c r="AA102" i="4"/>
  <c r="Y102" i="4"/>
  <c r="AB102" i="4"/>
  <c r="AC102" i="4"/>
  <c r="R102" i="4" l="1"/>
  <c r="V102" i="4"/>
  <c r="P102" i="4"/>
  <c r="W102" i="4"/>
  <c r="X102" i="4"/>
  <c r="Q102" i="4"/>
  <c r="M102" i="4" a="1"/>
  <c r="M102" i="4" s="1"/>
  <c r="T102" i="4"/>
  <c r="S102" i="4"/>
  <c r="N102" i="4" a="1"/>
  <c r="N102" i="4" s="1"/>
  <c r="U102" i="4"/>
  <c r="O102" i="4"/>
  <c r="AC103" i="4"/>
  <c r="AB103" i="4"/>
  <c r="AA103" i="4"/>
  <c r="AD103" i="4"/>
  <c r="Z103" i="4"/>
  <c r="Y103" i="4"/>
  <c r="F103" i="4"/>
  <c r="D103" i="4"/>
  <c r="I103" i="4" s="1" a="1"/>
  <c r="I103" i="4" s="1"/>
  <c r="L103" i="4" a="1"/>
  <c r="L103" i="4" s="1"/>
  <c r="K103" i="4" a="1"/>
  <c r="K103" i="4" s="1"/>
  <c r="E104" i="4" a="1"/>
  <c r="E104" i="4" s="1"/>
  <c r="H104" i="4"/>
  <c r="J104" i="4" a="1"/>
  <c r="J104" i="4" s="1"/>
  <c r="G104" i="4" a="1"/>
  <c r="G104" i="4" s="1"/>
  <c r="C105" i="4" a="1"/>
  <c r="C105" i="4" s="1"/>
  <c r="R103" i="4" l="1"/>
  <c r="O103" i="4"/>
  <c r="X103" i="4"/>
  <c r="T103" i="4"/>
  <c r="M103" i="4" a="1"/>
  <c r="M103" i="4" s="1"/>
  <c r="V103" i="4"/>
  <c r="Q103" i="4"/>
  <c r="U103" i="4"/>
  <c r="S103" i="4"/>
  <c r="N103" i="4" a="1"/>
  <c r="N103" i="4" s="1"/>
  <c r="W103" i="4"/>
  <c r="P103" i="4"/>
  <c r="K104" i="4" a="1"/>
  <c r="K104" i="4" s="1"/>
  <c r="D104" i="4"/>
  <c r="I104" i="4" s="1" a="1"/>
  <c r="I104" i="4" s="1"/>
  <c r="F104" i="4"/>
  <c r="L104" i="4" a="1"/>
  <c r="L104" i="4" s="1"/>
  <c r="C106" i="4" a="1"/>
  <c r="C106" i="4" s="1"/>
  <c r="E105" i="4" a="1"/>
  <c r="E105" i="4" s="1"/>
  <c r="J105" i="4" a="1"/>
  <c r="J105" i="4" s="1"/>
  <c r="G105" i="4" a="1"/>
  <c r="G105" i="4" s="1"/>
  <c r="H105" i="4"/>
  <c r="AA104" i="4"/>
  <c r="AB104" i="4"/>
  <c r="AD104" i="4"/>
  <c r="Y104" i="4"/>
  <c r="Z104" i="4"/>
  <c r="AC104" i="4"/>
  <c r="H106" i="4" l="1"/>
  <c r="C107" i="4" a="1"/>
  <c r="C107" i="4" s="1"/>
  <c r="J106" i="4" a="1"/>
  <c r="J106" i="4" s="1"/>
  <c r="G106" i="4" a="1"/>
  <c r="G106" i="4" s="1"/>
  <c r="E106" i="4" a="1"/>
  <c r="E106" i="4" s="1"/>
  <c r="R104" i="4"/>
  <c r="T104" i="4"/>
  <c r="P104" i="4"/>
  <c r="Q104" i="4"/>
  <c r="U104" i="4"/>
  <c r="O104" i="4"/>
  <c r="W104" i="4"/>
  <c r="X104" i="4"/>
  <c r="V104" i="4"/>
  <c r="N104" i="4" a="1"/>
  <c r="N104" i="4" s="1"/>
  <c r="S104" i="4"/>
  <c r="M104" i="4" a="1"/>
  <c r="M104" i="4" s="1"/>
  <c r="F105" i="4"/>
  <c r="K105" i="4" a="1"/>
  <c r="K105" i="4" s="1"/>
  <c r="D105" i="4"/>
  <c r="I105" i="4" s="1" a="1"/>
  <c r="I105" i="4" s="1"/>
  <c r="L105" i="4" a="1"/>
  <c r="L105" i="4" s="1"/>
  <c r="AA105" i="4"/>
  <c r="AB105" i="4"/>
  <c r="AC105" i="4"/>
  <c r="Z105" i="4"/>
  <c r="Y105" i="4"/>
  <c r="AD105" i="4"/>
  <c r="K106" i="4" l="1" a="1"/>
  <c r="K106" i="4" s="1"/>
  <c r="F106" i="4"/>
  <c r="L106" i="4" a="1"/>
  <c r="L106" i="4" s="1"/>
  <c r="D106" i="4"/>
  <c r="I106" i="4" s="1" a="1"/>
  <c r="I106" i="4" s="1"/>
  <c r="C108" i="4" a="1"/>
  <c r="C108" i="4" s="1"/>
  <c r="H107" i="4"/>
  <c r="G107" i="4" a="1"/>
  <c r="G107" i="4" s="1"/>
  <c r="J107" i="4" a="1"/>
  <c r="J107" i="4" s="1"/>
  <c r="E107" i="4" a="1"/>
  <c r="E107" i="4" s="1"/>
  <c r="S105" i="4"/>
  <c r="O105" i="4"/>
  <c r="Q105" i="4"/>
  <c r="W105" i="4"/>
  <c r="X105" i="4"/>
  <c r="N105" i="4" a="1"/>
  <c r="N105" i="4" s="1"/>
  <c r="R105" i="4"/>
  <c r="P105" i="4"/>
  <c r="T105" i="4"/>
  <c r="U105" i="4"/>
  <c r="V105" i="4"/>
  <c r="M105" i="4" a="1"/>
  <c r="M105" i="4" s="1"/>
  <c r="AC106" i="4"/>
  <c r="AD106" i="4"/>
  <c r="AB106" i="4"/>
  <c r="Y106" i="4"/>
  <c r="AA106" i="4"/>
  <c r="Z106" i="4"/>
  <c r="C109" i="4" l="1" a="1"/>
  <c r="C109" i="4" s="1"/>
  <c r="E108" i="4" a="1"/>
  <c r="E108" i="4" s="1"/>
  <c r="J108" i="4" a="1"/>
  <c r="J108" i="4" s="1"/>
  <c r="H108" i="4"/>
  <c r="G108" i="4" a="1"/>
  <c r="G108" i="4" s="1"/>
  <c r="AB107" i="4"/>
  <c r="AA107" i="4"/>
  <c r="AD107" i="4"/>
  <c r="Y107" i="4"/>
  <c r="Z107" i="4"/>
  <c r="AC107" i="4"/>
  <c r="R106" i="4"/>
  <c r="Q106" i="4"/>
  <c r="P106" i="4"/>
  <c r="U106" i="4"/>
  <c r="T106" i="4"/>
  <c r="W106" i="4"/>
  <c r="S106" i="4"/>
  <c r="X106" i="4"/>
  <c r="N106" i="4" a="1"/>
  <c r="N106" i="4" s="1"/>
  <c r="M106" i="4" a="1"/>
  <c r="M106" i="4" s="1"/>
  <c r="V106" i="4"/>
  <c r="O106" i="4"/>
  <c r="D107" i="4"/>
  <c r="I107" i="4" s="1" a="1"/>
  <c r="I107" i="4" s="1"/>
  <c r="L107" i="4" a="1"/>
  <c r="L107" i="4" s="1"/>
  <c r="F107" i="4"/>
  <c r="K107" i="4" a="1"/>
  <c r="K107" i="4" s="1"/>
  <c r="L108" i="4" l="1" a="1"/>
  <c r="L108" i="4" s="1"/>
  <c r="K108" i="4" a="1"/>
  <c r="K108" i="4" s="1"/>
  <c r="F108" i="4"/>
  <c r="D108" i="4"/>
  <c r="I108" i="4" s="1" a="1"/>
  <c r="I108" i="4" s="1"/>
  <c r="W107" i="4"/>
  <c r="Q107" i="4"/>
  <c r="N107" i="4" a="1"/>
  <c r="N107" i="4" s="1"/>
  <c r="T107" i="4"/>
  <c r="S107" i="4"/>
  <c r="U107" i="4"/>
  <c r="R107" i="4"/>
  <c r="M107" i="4" a="1"/>
  <c r="M107" i="4" s="1"/>
  <c r="P107" i="4"/>
  <c r="V107" i="4"/>
  <c r="X107" i="4"/>
  <c r="O107" i="4"/>
  <c r="AB108" i="4"/>
  <c r="AC108" i="4"/>
  <c r="Z108" i="4"/>
  <c r="AD108" i="4"/>
  <c r="Y108" i="4"/>
  <c r="AA108" i="4"/>
  <c r="G109" i="4" a="1"/>
  <c r="G109" i="4" s="1"/>
  <c r="H109" i="4"/>
  <c r="J109" i="4" a="1"/>
  <c r="J109" i="4" s="1"/>
  <c r="E109" i="4" a="1"/>
  <c r="E109" i="4" s="1"/>
  <c r="C110" i="4" a="1"/>
  <c r="C110" i="4" s="1"/>
  <c r="J110" i="4" l="1" a="1"/>
  <c r="J110" i="4" s="1"/>
  <c r="E110" i="4" a="1"/>
  <c r="E110" i="4" s="1"/>
  <c r="G110" i="4" a="1"/>
  <c r="G110" i="4" s="1"/>
  <c r="H110" i="4"/>
  <c r="C111" i="4" a="1"/>
  <c r="C111" i="4" s="1"/>
  <c r="AB109" i="4"/>
  <c r="AD109" i="4"/>
  <c r="AC109" i="4"/>
  <c r="Y109" i="4"/>
  <c r="Z109" i="4"/>
  <c r="AA109" i="4"/>
  <c r="L109" i="4" a="1"/>
  <c r="L109" i="4" s="1"/>
  <c r="K109" i="4" a="1"/>
  <c r="K109" i="4" s="1"/>
  <c r="F109" i="4"/>
  <c r="D109" i="4"/>
  <c r="I109" i="4" s="1" a="1"/>
  <c r="I109" i="4" s="1"/>
  <c r="O108" i="4"/>
  <c r="W108" i="4"/>
  <c r="P108" i="4"/>
  <c r="X108" i="4"/>
  <c r="S108" i="4"/>
  <c r="T108" i="4"/>
  <c r="R108" i="4"/>
  <c r="V108" i="4"/>
  <c r="M108" i="4" a="1"/>
  <c r="M108" i="4" s="1"/>
  <c r="U108" i="4"/>
  <c r="Q108" i="4"/>
  <c r="N108" i="4" a="1"/>
  <c r="N108" i="4" s="1"/>
  <c r="AB110" i="4" l="1"/>
  <c r="AD110" i="4"/>
  <c r="Y110" i="4"/>
  <c r="Z110" i="4"/>
  <c r="AA110" i="4"/>
  <c r="AC110" i="4"/>
  <c r="D110" i="4"/>
  <c r="I110" i="4" s="1" a="1"/>
  <c r="I110" i="4" s="1"/>
  <c r="K110" i="4" a="1"/>
  <c r="K110" i="4" s="1"/>
  <c r="L110" i="4" a="1"/>
  <c r="L110" i="4" s="1"/>
  <c r="F110" i="4"/>
  <c r="G111" i="4" a="1"/>
  <c r="G111" i="4" s="1"/>
  <c r="E111" i="4" a="1"/>
  <c r="E111" i="4" s="1"/>
  <c r="J111" i="4" a="1"/>
  <c r="J111" i="4" s="1"/>
  <c r="C112" i="4" a="1"/>
  <c r="C112" i="4" s="1"/>
  <c r="H111" i="4"/>
  <c r="U109" i="4"/>
  <c r="X109" i="4"/>
  <c r="R109" i="4"/>
  <c r="P109" i="4"/>
  <c r="Q109" i="4"/>
  <c r="T109" i="4"/>
  <c r="V109" i="4"/>
  <c r="S109" i="4"/>
  <c r="N109" i="4" a="1"/>
  <c r="N109" i="4" s="1"/>
  <c r="M109" i="4" a="1"/>
  <c r="M109" i="4" s="1"/>
  <c r="O109" i="4"/>
  <c r="W109" i="4"/>
  <c r="Q110" i="4" l="1"/>
  <c r="R110" i="4"/>
  <c r="V110" i="4"/>
  <c r="M110" i="4" a="1"/>
  <c r="M110" i="4" s="1"/>
  <c r="O110" i="4"/>
  <c r="W110" i="4"/>
  <c r="T110" i="4"/>
  <c r="P110" i="4"/>
  <c r="N110" i="4" a="1"/>
  <c r="N110" i="4" s="1"/>
  <c r="X110" i="4"/>
  <c r="S110" i="4"/>
  <c r="U110" i="4"/>
  <c r="E112" i="4" a="1"/>
  <c r="E112" i="4" s="1"/>
  <c r="H112" i="4"/>
  <c r="G112" i="4" a="1"/>
  <c r="G112" i="4" s="1"/>
  <c r="J112" i="4" a="1"/>
  <c r="J112" i="4" s="1"/>
  <c r="C113" i="4" a="1"/>
  <c r="C113" i="4" s="1"/>
  <c r="Y111" i="4"/>
  <c r="AC111" i="4"/>
  <c r="Z111" i="4"/>
  <c r="AD111" i="4"/>
  <c r="AB111" i="4"/>
  <c r="AA111" i="4"/>
  <c r="L111" i="4" a="1"/>
  <c r="L111" i="4" s="1"/>
  <c r="D111" i="4"/>
  <c r="I111" i="4" s="1" a="1"/>
  <c r="I111" i="4" s="1"/>
  <c r="F111" i="4"/>
  <c r="K111" i="4" a="1"/>
  <c r="K111" i="4" s="1"/>
  <c r="G113" i="4" l="1" a="1"/>
  <c r="G113" i="4" s="1"/>
  <c r="H113" i="4"/>
  <c r="C114" i="4" a="1"/>
  <c r="C114" i="4" s="1"/>
  <c r="E113" i="4" a="1"/>
  <c r="E113" i="4" s="1"/>
  <c r="J113" i="4" a="1"/>
  <c r="J113" i="4" s="1"/>
  <c r="N111" i="4" a="1"/>
  <c r="N111" i="4" s="1"/>
  <c r="V111" i="4"/>
  <c r="T111" i="4"/>
  <c r="X111" i="4"/>
  <c r="S111" i="4"/>
  <c r="M111" i="4" a="1"/>
  <c r="M111" i="4" s="1"/>
  <c r="Q111" i="4"/>
  <c r="O111" i="4"/>
  <c r="W111" i="4"/>
  <c r="P111" i="4"/>
  <c r="U111" i="4"/>
  <c r="R111" i="4"/>
  <c r="AD112" i="4"/>
  <c r="AB112" i="4"/>
  <c r="Y112" i="4"/>
  <c r="AC112" i="4"/>
  <c r="Z112" i="4"/>
  <c r="AA112" i="4"/>
  <c r="F112" i="4"/>
  <c r="K112" i="4" a="1"/>
  <c r="K112" i="4" s="1"/>
  <c r="D112" i="4"/>
  <c r="I112" i="4" s="1" a="1"/>
  <c r="I112" i="4" s="1"/>
  <c r="L112" i="4" a="1"/>
  <c r="L112" i="4" s="1"/>
  <c r="D113" i="4" l="1"/>
  <c r="I113" i="4" s="1" a="1"/>
  <c r="I113" i="4" s="1"/>
  <c r="K113" i="4" a="1"/>
  <c r="K113" i="4" s="1"/>
  <c r="L113" i="4" a="1"/>
  <c r="L113" i="4" s="1"/>
  <c r="F113" i="4"/>
  <c r="AC113" i="4"/>
  <c r="Y113" i="4"/>
  <c r="AD113" i="4"/>
  <c r="AA113" i="4"/>
  <c r="AB113" i="4"/>
  <c r="Z113" i="4"/>
  <c r="N112" i="4" a="1"/>
  <c r="N112" i="4" s="1"/>
  <c r="S112" i="4"/>
  <c r="U112" i="4"/>
  <c r="Q112" i="4"/>
  <c r="R112" i="4"/>
  <c r="W112" i="4"/>
  <c r="X112" i="4"/>
  <c r="O112" i="4"/>
  <c r="V112" i="4"/>
  <c r="P112" i="4"/>
  <c r="M112" i="4" a="1"/>
  <c r="M112" i="4" s="1"/>
  <c r="T112" i="4"/>
  <c r="C115" i="4" a="1"/>
  <c r="C115" i="4" s="1"/>
  <c r="H114" i="4"/>
  <c r="E114" i="4" a="1"/>
  <c r="E114" i="4" s="1"/>
  <c r="G114" i="4" a="1"/>
  <c r="G114" i="4" s="1"/>
  <c r="J114" i="4" a="1"/>
  <c r="J114" i="4" s="1"/>
  <c r="F114" i="4" l="1"/>
  <c r="D114" i="4"/>
  <c r="I114" i="4" s="1" a="1"/>
  <c r="I114" i="4" s="1"/>
  <c r="K114" i="4" a="1"/>
  <c r="K114" i="4" s="1"/>
  <c r="L114" i="4" a="1"/>
  <c r="L114" i="4" s="1"/>
  <c r="H115" i="4"/>
  <c r="G115" i="4" a="1"/>
  <c r="G115" i="4" s="1"/>
  <c r="E115" i="4" a="1"/>
  <c r="E115" i="4" s="1"/>
  <c r="C116" i="4" a="1"/>
  <c r="C116" i="4" s="1"/>
  <c r="J115" i="4" a="1"/>
  <c r="J115" i="4" s="1"/>
  <c r="Z114" i="4"/>
  <c r="AC114" i="4"/>
  <c r="AB114" i="4"/>
  <c r="AA114" i="4"/>
  <c r="Y114" i="4"/>
  <c r="AD114" i="4"/>
  <c r="N113" i="4" a="1"/>
  <c r="N113" i="4" s="1"/>
  <c r="W113" i="4"/>
  <c r="S113" i="4"/>
  <c r="P113" i="4"/>
  <c r="M113" i="4" a="1"/>
  <c r="M113" i="4" s="1"/>
  <c r="T113" i="4"/>
  <c r="X113" i="4"/>
  <c r="R113" i="4"/>
  <c r="Q113" i="4"/>
  <c r="V113" i="4"/>
  <c r="U113" i="4"/>
  <c r="O113" i="4"/>
  <c r="Z115" i="4" l="1"/>
  <c r="AB115" i="4"/>
  <c r="Y115" i="4"/>
  <c r="AD115" i="4"/>
  <c r="AA115" i="4"/>
  <c r="AC115" i="4"/>
  <c r="C117" i="4" a="1"/>
  <c r="C117" i="4" s="1"/>
  <c r="G116" i="4" a="1"/>
  <c r="G116" i="4" s="1"/>
  <c r="E116" i="4" a="1"/>
  <c r="E116" i="4" s="1"/>
  <c r="H116" i="4"/>
  <c r="J116" i="4" a="1"/>
  <c r="J116" i="4" s="1"/>
  <c r="D115" i="4"/>
  <c r="I115" i="4" s="1" a="1"/>
  <c r="I115" i="4" s="1"/>
  <c r="L115" i="4" a="1"/>
  <c r="L115" i="4" s="1"/>
  <c r="F115" i="4"/>
  <c r="K115" i="4" a="1"/>
  <c r="K115" i="4" s="1"/>
  <c r="S114" i="4"/>
  <c r="P114" i="4"/>
  <c r="T114" i="4"/>
  <c r="U114" i="4"/>
  <c r="N114" i="4" a="1"/>
  <c r="N114" i="4" s="1"/>
  <c r="V114" i="4"/>
  <c r="M114" i="4" a="1"/>
  <c r="M114" i="4" s="1"/>
  <c r="Q114" i="4"/>
  <c r="X114" i="4"/>
  <c r="W114" i="4"/>
  <c r="R114" i="4"/>
  <c r="O114" i="4"/>
  <c r="Z116" i="4" l="1"/>
  <c r="AC116" i="4"/>
  <c r="AA116" i="4"/>
  <c r="AB116" i="4"/>
  <c r="Y116" i="4"/>
  <c r="AD116" i="4"/>
  <c r="K116" i="4" a="1"/>
  <c r="K116" i="4" s="1"/>
  <c r="D116" i="4"/>
  <c r="I116" i="4" s="1" a="1"/>
  <c r="I116" i="4" s="1"/>
  <c r="L116" i="4" a="1"/>
  <c r="L116" i="4" s="1"/>
  <c r="F116" i="4"/>
  <c r="H117" i="4"/>
  <c r="C118" i="4" a="1"/>
  <c r="C118" i="4" s="1"/>
  <c r="E117" i="4" a="1"/>
  <c r="E117" i="4" s="1"/>
  <c r="G117" i="4" a="1"/>
  <c r="G117" i="4" s="1"/>
  <c r="J117" i="4" a="1"/>
  <c r="J117" i="4" s="1"/>
  <c r="W115" i="4"/>
  <c r="X115" i="4"/>
  <c r="R115" i="4"/>
  <c r="Q115" i="4"/>
  <c r="M115" i="4" a="1"/>
  <c r="M115" i="4" s="1"/>
  <c r="T115" i="4"/>
  <c r="S115" i="4"/>
  <c r="O115" i="4"/>
  <c r="P115" i="4"/>
  <c r="U115" i="4"/>
  <c r="N115" i="4" a="1"/>
  <c r="N115" i="4" s="1"/>
  <c r="V115" i="4"/>
  <c r="N116" i="4" l="1" a="1"/>
  <c r="N116" i="4" s="1"/>
  <c r="M116" i="4" a="1"/>
  <c r="M116" i="4" s="1"/>
  <c r="Q116" i="4"/>
  <c r="S116" i="4"/>
  <c r="V116" i="4"/>
  <c r="R116" i="4"/>
  <c r="O116" i="4"/>
  <c r="P116" i="4"/>
  <c r="W116" i="4"/>
  <c r="X116" i="4"/>
  <c r="T116" i="4"/>
  <c r="U116" i="4"/>
  <c r="D117" i="4"/>
  <c r="I117" i="4" s="1" a="1"/>
  <c r="I117" i="4" s="1"/>
  <c r="K117" i="4" a="1"/>
  <c r="K117" i="4" s="1"/>
  <c r="L117" i="4" a="1"/>
  <c r="L117" i="4" s="1"/>
  <c r="F117" i="4"/>
  <c r="G118" i="4" a="1"/>
  <c r="G118" i="4" s="1"/>
  <c r="H118" i="4"/>
  <c r="C119" i="4" a="1"/>
  <c r="C119" i="4" s="1"/>
  <c r="J118" i="4" a="1"/>
  <c r="J118" i="4" s="1"/>
  <c r="E118" i="4" a="1"/>
  <c r="E118" i="4" s="1"/>
  <c r="Y117" i="4"/>
  <c r="AB117" i="4"/>
  <c r="AC117" i="4"/>
  <c r="AD117" i="4"/>
  <c r="AA117" i="4"/>
  <c r="Z117" i="4"/>
  <c r="J119" i="4" l="1" a="1"/>
  <c r="J119" i="4" s="1"/>
  <c r="C120" i="4" a="1"/>
  <c r="C120" i="4" s="1"/>
  <c r="E119" i="4" a="1"/>
  <c r="E119" i="4" s="1"/>
  <c r="H119" i="4"/>
  <c r="G119" i="4" a="1"/>
  <c r="G119" i="4" s="1"/>
  <c r="AD118" i="4"/>
  <c r="AA118" i="4"/>
  <c r="Z118" i="4"/>
  <c r="AC118" i="4"/>
  <c r="AB118" i="4"/>
  <c r="Y118" i="4"/>
  <c r="M117" i="4" a="1"/>
  <c r="M117" i="4" s="1"/>
  <c r="S117" i="4"/>
  <c r="X117" i="4"/>
  <c r="R117" i="4"/>
  <c r="O117" i="4"/>
  <c r="W117" i="4"/>
  <c r="P117" i="4"/>
  <c r="V117" i="4"/>
  <c r="Q117" i="4"/>
  <c r="N117" i="4" a="1"/>
  <c r="N117" i="4" s="1"/>
  <c r="U117" i="4"/>
  <c r="T117" i="4"/>
  <c r="F118" i="4"/>
  <c r="D118" i="4"/>
  <c r="I118" i="4" s="1" a="1"/>
  <c r="I118" i="4" s="1"/>
  <c r="L118" i="4" a="1"/>
  <c r="L118" i="4" s="1"/>
  <c r="K118" i="4" a="1"/>
  <c r="K118" i="4" s="1"/>
  <c r="V118" i="4" l="1"/>
  <c r="R118" i="4"/>
  <c r="O118" i="4"/>
  <c r="U118" i="4"/>
  <c r="Q118" i="4"/>
  <c r="S118" i="4"/>
  <c r="N118" i="4" a="1"/>
  <c r="N118" i="4" s="1"/>
  <c r="M118" i="4" a="1"/>
  <c r="M118" i="4" s="1"/>
  <c r="X118" i="4"/>
  <c r="T118" i="4"/>
  <c r="W118" i="4"/>
  <c r="P118" i="4"/>
  <c r="Y119" i="4"/>
  <c r="AD119" i="4"/>
  <c r="Z119" i="4"/>
  <c r="AB119" i="4"/>
  <c r="AA119" i="4"/>
  <c r="AC119" i="4"/>
  <c r="H120" i="4"/>
  <c r="J120" i="4" a="1"/>
  <c r="J120" i="4" s="1"/>
  <c r="G120" i="4" a="1"/>
  <c r="G120" i="4" s="1"/>
  <c r="E120" i="4" a="1"/>
  <c r="E120" i="4" s="1"/>
  <c r="N22" i="4" a="1"/>
  <c r="N22" i="4" s="1"/>
  <c r="N21" i="4" a="1"/>
  <c r="N21" i="4" s="1"/>
  <c r="N26" i="4" a="1"/>
  <c r="N26" i="4" s="1"/>
  <c r="N23" i="4" a="1"/>
  <c r="N23" i="4" s="1"/>
  <c r="F119" i="4"/>
  <c r="K119" i="4" a="1"/>
  <c r="K119" i="4" s="1"/>
  <c r="L119" i="4" a="1"/>
  <c r="L119" i="4" s="1"/>
  <c r="D119" i="4"/>
  <c r="I119" i="4" s="1" a="1"/>
  <c r="I119" i="4" s="1"/>
  <c r="AB120" i="4" l="1"/>
  <c r="Z120" i="4"/>
  <c r="AC120" i="4"/>
  <c r="AA120" i="4"/>
  <c r="Y120" i="4"/>
  <c r="AD120" i="4"/>
  <c r="T23" i="4"/>
  <c r="O23" i="4"/>
  <c r="Q23" i="4"/>
  <c r="R119" i="4"/>
  <c r="O119" i="4"/>
  <c r="S119" i="4"/>
  <c r="P119" i="4"/>
  <c r="W119" i="4"/>
  <c r="Q119" i="4"/>
  <c r="T119" i="4"/>
  <c r="V119" i="4"/>
  <c r="N119" i="4" a="1"/>
  <c r="N119" i="4" s="1"/>
  <c r="U119" i="4"/>
  <c r="X119" i="4"/>
  <c r="M119" i="4" a="1"/>
  <c r="M119" i="4" s="1"/>
  <c r="Q22" i="4"/>
  <c r="T22" i="4"/>
  <c r="O22" i="4"/>
  <c r="T21" i="4"/>
  <c r="O21" i="4"/>
  <c r="Q21" i="4"/>
  <c r="K120" i="4" a="1"/>
  <c r="K120" i="4" s="1"/>
  <c r="F120" i="4"/>
  <c r="L120" i="4" a="1"/>
  <c r="L120" i="4" s="1"/>
  <c r="D120" i="4"/>
  <c r="I120" i="4" s="1" a="1"/>
  <c r="I120" i="4" s="1"/>
  <c r="Q26" i="4"/>
  <c r="T26" i="4"/>
  <c r="O26" i="4"/>
  <c r="R22" i="4"/>
  <c r="R26" i="4"/>
  <c r="P22" i="4"/>
  <c r="P26" i="4"/>
  <c r="R23" i="4"/>
  <c r="R21" i="4"/>
  <c r="P23" i="4"/>
  <c r="P21" i="4"/>
  <c r="S23" i="4" l="1"/>
  <c r="S22" i="4"/>
  <c r="S21" i="4"/>
  <c r="S26" i="4"/>
  <c r="V120" i="4"/>
  <c r="X120" i="4"/>
  <c r="P120" i="4"/>
  <c r="Q120" i="4"/>
  <c r="U120" i="4"/>
  <c r="O120" i="4"/>
  <c r="W120" i="4"/>
  <c r="T120" i="4"/>
  <c r="S120" i="4"/>
  <c r="R120" i="4"/>
  <c r="M120" i="4" a="1"/>
  <c r="M120" i="4" s="1"/>
  <c r="N120" i="4" a="1"/>
  <c r="N120" i="4" s="1"/>
  <c r="U37" i="4"/>
  <c r="U25" i="4"/>
  <c r="U36" i="4"/>
  <c r="U29" i="4"/>
  <c r="U31" i="4"/>
  <c r="U30" i="4"/>
  <c r="U28" i="4"/>
  <c r="U35" i="4"/>
  <c r="U24" i="4"/>
  <c r="U33" i="4"/>
  <c r="U34" i="4"/>
  <c r="U26" i="4"/>
  <c r="U32" i="4"/>
  <c r="U27" i="4"/>
  <c r="U23" i="4"/>
  <c r="U22" i="4"/>
  <c r="U21" i="4"/>
  <c r="Z39" i="4" l="1"/>
  <c r="AA39" i="4"/>
  <c r="W37" i="4"/>
  <c r="W30" i="4"/>
  <c r="W36" i="4"/>
  <c r="W27" i="4"/>
  <c r="W31" i="4"/>
  <c r="W28" i="4"/>
  <c r="W26" i="4"/>
  <c r="W29" i="4"/>
  <c r="W23" i="4"/>
  <c r="W21" i="4"/>
  <c r="W35" i="4"/>
  <c r="W25" i="4"/>
  <c r="W24" i="4"/>
  <c r="W33" i="4"/>
  <c r="W32" i="4"/>
  <c r="W34" i="4"/>
  <c r="W22" i="4"/>
  <c r="X31" i="4" l="1"/>
  <c r="X34" i="4"/>
  <c r="X28" i="4"/>
  <c r="X35" i="4"/>
  <c r="X24" i="4"/>
  <c r="X32" i="4"/>
  <c r="X29" i="4"/>
  <c r="X27" i="4"/>
  <c r="X33" i="4"/>
  <c r="X30" i="4"/>
  <c r="X22" i="4"/>
  <c r="X36" i="4"/>
  <c r="X25" i="4"/>
  <c r="X21" i="4"/>
  <c r="X37" i="4"/>
  <c r="X23" i="4"/>
  <c r="X26" i="4"/>
  <c r="AC39" i="4"/>
  <c r="AD39" i="4"/>
  <c r="AB39" i="4"/>
  <c r="AA16" i="4" l="1"/>
  <c r="AA14" i="4"/>
  <c r="Y17" i="4"/>
  <c r="Z14" i="4"/>
  <c r="F38" i="5" a="1"/>
  <c r="F38" i="5" s="1"/>
  <c r="F35" i="5" a="1"/>
  <c r="F35" i="5" s="1"/>
  <c r="Y16" i="4"/>
  <c r="Z15" i="4"/>
  <c r="Y15" i="4"/>
  <c r="Z16" i="4"/>
  <c r="F36" i="5" a="1"/>
  <c r="F36" i="5" s="1"/>
  <c r="AA15" i="4"/>
  <c r="AA17" i="4"/>
  <c r="F37" i="5" a="1"/>
  <c r="F37" i="5" s="1"/>
  <c r="Z17" i="4"/>
  <c r="Y14" i="4"/>
  <c r="AA40" i="4"/>
  <c r="Z40" i="4"/>
  <c r="Y39" i="4"/>
  <c r="AA30" i="4"/>
  <c r="Z44" i="4"/>
  <c r="Z30" i="4"/>
  <c r="Y43" i="4"/>
  <c r="J41" i="5" a="1"/>
  <c r="J41" i="5" s="1"/>
  <c r="AJ35" i="4" s="1"/>
  <c r="Y38" i="4"/>
  <c r="Y44" i="4"/>
  <c r="N35" i="5" a="1"/>
  <c r="N35" i="5" s="1"/>
  <c r="AQ29" i="4" s="1"/>
  <c r="J37" i="5" a="1"/>
  <c r="J37" i="5" s="1"/>
  <c r="AJ31" i="4" s="1"/>
  <c r="AA44" i="4"/>
  <c r="AA35" i="4"/>
  <c r="AA42" i="4"/>
  <c r="AA38" i="4"/>
  <c r="AA45" i="4"/>
  <c r="Y23" i="4"/>
  <c r="Y42" i="4"/>
  <c r="Y40" i="4"/>
  <c r="Y36" i="4"/>
  <c r="AA41" i="4"/>
  <c r="Y41" i="4"/>
  <c r="Z26" i="4"/>
  <c r="Z23" i="4"/>
  <c r="Z41" i="4"/>
  <c r="Z45" i="4"/>
  <c r="Z42" i="4"/>
  <c r="AA29" i="4"/>
  <c r="AA28" i="4"/>
  <c r="Y21" i="4"/>
  <c r="N38" i="5" a="1"/>
  <c r="N38" i="5" s="1"/>
  <c r="Z31" i="4"/>
  <c r="Y22" i="4"/>
  <c r="Z35" i="4"/>
  <c r="Z32" i="4"/>
  <c r="Y29" i="4"/>
  <c r="Y28" i="4"/>
  <c r="AA32" i="4"/>
  <c r="Z21" i="4"/>
  <c r="Y24" i="4"/>
  <c r="Z24" i="4"/>
  <c r="AA27" i="4"/>
  <c r="AA34" i="4"/>
  <c r="Y27" i="4"/>
  <c r="AA36" i="4"/>
  <c r="AA33" i="4"/>
  <c r="J35" i="5" a="1"/>
  <c r="J35" i="5" s="1"/>
  <c r="J36" i="5" a="1"/>
  <c r="J36" i="5" s="1"/>
  <c r="Z36" i="4"/>
  <c r="Y25" i="4"/>
  <c r="AA23" i="4"/>
  <c r="AA31" i="4"/>
  <c r="AA21" i="4"/>
  <c r="AA25" i="4"/>
  <c r="N36" i="5" a="1"/>
  <c r="N36" i="5" s="1"/>
  <c r="Z22" i="4"/>
  <c r="Z33" i="4"/>
  <c r="J38" i="5" a="1"/>
  <c r="J38" i="5" s="1"/>
  <c r="Z25" i="4"/>
  <c r="Y30" i="4"/>
  <c r="Z27" i="4"/>
  <c r="N41" i="5" a="1"/>
  <c r="N41" i="5" s="1"/>
  <c r="Y26" i="4"/>
  <c r="Y34" i="4"/>
  <c r="Z29" i="4"/>
  <c r="Y31" i="4"/>
  <c r="AA22" i="4"/>
  <c r="AA24" i="4"/>
  <c r="Z28" i="4"/>
  <c r="Y32" i="4"/>
  <c r="Z34" i="4"/>
  <c r="J39" i="5" a="1"/>
  <c r="J39" i="5" s="1"/>
  <c r="Z38" i="4"/>
  <c r="N37" i="5" a="1"/>
  <c r="N37" i="5" s="1"/>
  <c r="M37" i="5" s="1" a="1"/>
  <c r="M37" i="5" s="1"/>
  <c r="AP31" i="4" s="1"/>
  <c r="Y33" i="4"/>
  <c r="AA37" i="4"/>
  <c r="Y45" i="4"/>
  <c r="Y37" i="4"/>
  <c r="Y35" i="4"/>
  <c r="Z37" i="4"/>
  <c r="AA43" i="4"/>
  <c r="Z43" i="4"/>
  <c r="AA26" i="4"/>
  <c r="AB16" i="4" l="1"/>
  <c r="AB15" i="4"/>
  <c r="AB14" i="4"/>
  <c r="AB17" i="4"/>
  <c r="E35" i="5" a="1"/>
  <c r="E35" i="5" s="1"/>
  <c r="AI16" i="4" s="1"/>
  <c r="AJ16" i="4"/>
  <c r="F40" i="5"/>
  <c r="E38" i="5" a="1"/>
  <c r="E38" i="5" s="1"/>
  <c r="AI19" i="4" s="1"/>
  <c r="AJ19" i="4"/>
  <c r="AJ18" i="4"/>
  <c r="E37" i="5" a="1"/>
  <c r="E37" i="5" s="1"/>
  <c r="AI18" i="4" s="1"/>
  <c r="AC17" i="4"/>
  <c r="AD17" i="4"/>
  <c r="AC15" i="4"/>
  <c r="AD15" i="4"/>
  <c r="AD14" i="4"/>
  <c r="AC14" i="4"/>
  <c r="AJ17" i="4"/>
  <c r="E36" i="5" a="1"/>
  <c r="E36" i="5" s="1"/>
  <c r="AI17" i="4" s="1"/>
  <c r="AC16" i="4"/>
  <c r="AD16" i="4"/>
  <c r="AC37" i="4"/>
  <c r="AB40" i="4"/>
  <c r="AC40" i="4"/>
  <c r="AD40" i="4"/>
  <c r="AB44" i="4"/>
  <c r="AB30" i="4"/>
  <c r="AC30" i="4"/>
  <c r="E25" i="5"/>
  <c r="E26" i="5" s="1"/>
  <c r="AD26" i="4"/>
  <c r="AD30" i="4"/>
  <c r="AB45" i="4"/>
  <c r="AD45" i="4"/>
  <c r="AC44" i="4"/>
  <c r="AD44" i="4"/>
  <c r="AC45" i="4"/>
  <c r="AB33" i="4"/>
  <c r="AD35" i="4"/>
  <c r="AD29" i="4"/>
  <c r="AB28" i="4"/>
  <c r="AC35" i="4"/>
  <c r="AB38" i="4"/>
  <c r="AB34" i="4"/>
  <c r="AD23" i="4"/>
  <c r="AC23" i="4"/>
  <c r="AD42" i="4"/>
  <c r="AC42" i="4"/>
  <c r="AB35" i="4"/>
  <c r="AB42" i="4"/>
  <c r="AB27" i="4"/>
  <c r="AC41" i="4"/>
  <c r="AB41" i="4"/>
  <c r="AB25" i="4"/>
  <c r="AB36" i="4"/>
  <c r="AB21" i="4"/>
  <c r="I37" i="5" a="1"/>
  <c r="I37" i="5" s="1"/>
  <c r="AI31" i="4" s="1"/>
  <c r="AD41" i="4"/>
  <c r="AC26" i="4"/>
  <c r="AC38" i="4"/>
  <c r="M35" i="5" a="1"/>
  <c r="M35" i="5" s="1"/>
  <c r="AP29" i="4" s="1"/>
  <c r="AD38" i="4"/>
  <c r="AD43" i="4"/>
  <c r="AB26" i="4"/>
  <c r="AB24" i="4"/>
  <c r="AQ32" i="4"/>
  <c r="M38" i="5" a="1"/>
  <c r="M38" i="5" s="1"/>
  <c r="AP32" i="4" s="1"/>
  <c r="AB43" i="4"/>
  <c r="AC43" i="4"/>
  <c r="AC28" i="4"/>
  <c r="AD28" i="4"/>
  <c r="I36" i="5" a="1"/>
  <c r="I36" i="5" s="1"/>
  <c r="AI30" i="4" s="1"/>
  <c r="AJ30" i="4"/>
  <c r="AC32" i="4"/>
  <c r="AD32" i="4"/>
  <c r="AB29" i="4"/>
  <c r="I38" i="5" a="1"/>
  <c r="I38" i="5" s="1"/>
  <c r="AI32" i="4" s="1"/>
  <c r="AJ32" i="4"/>
  <c r="AD37" i="4"/>
  <c r="AJ29" i="4"/>
  <c r="I35" i="5" a="1"/>
  <c r="I35" i="5" s="1"/>
  <c r="AI29" i="4" s="1"/>
  <c r="AC33" i="4"/>
  <c r="AD33" i="4"/>
  <c r="AD24" i="4"/>
  <c r="AC24" i="4"/>
  <c r="AB37" i="4"/>
  <c r="AC36" i="4"/>
  <c r="AD36" i="4"/>
  <c r="J40" i="5"/>
  <c r="I40" i="5" s="1"/>
  <c r="AI34" i="4" s="1"/>
  <c r="AD22" i="4"/>
  <c r="AC22" i="4"/>
  <c r="AB22" i="4"/>
  <c r="AQ30" i="4"/>
  <c r="M36" i="5" a="1"/>
  <c r="M36" i="5" s="1"/>
  <c r="AP30" i="4" s="1"/>
  <c r="N40" i="5"/>
  <c r="AC25" i="4"/>
  <c r="AD25" i="4"/>
  <c r="AB32" i="4"/>
  <c r="AC29" i="4"/>
  <c r="AQ31" i="4"/>
  <c r="AC21" i="4"/>
  <c r="AD21" i="4"/>
  <c r="AC34" i="4"/>
  <c r="AD34" i="4"/>
  <c r="AB23" i="4"/>
  <c r="AJ33" i="4"/>
  <c r="I39" i="5" a="1"/>
  <c r="I39" i="5" s="1"/>
  <c r="AI33" i="4" s="1"/>
  <c r="E27" i="5"/>
  <c r="AQ35" i="4"/>
  <c r="AD31" i="4"/>
  <c r="AC31" i="4"/>
  <c r="AD27" i="4"/>
  <c r="AC27" i="4"/>
  <c r="AB31" i="4"/>
  <c r="AJ21" i="4" l="1"/>
  <c r="E40" i="5"/>
  <c r="AI21" i="4" s="1"/>
  <c r="AJ34" i="4"/>
  <c r="M40" i="5"/>
  <c r="AP34" i="4" s="1"/>
  <c r="AQ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<sst xmlns="http://schemas.openxmlformats.org/spreadsheetml/2006/main" count="2928" uniqueCount="582">
  <si>
    <t>Template Information</t>
  </si>
  <si>
    <t>File Information</t>
  </si>
  <si>
    <t>Quick Start Help</t>
  </si>
  <si>
    <t>File Name:</t>
  </si>
  <si>
    <t>Ultimate Excel Personal Budget</t>
  </si>
  <si>
    <t>Template Structure:</t>
  </si>
  <si>
    <r>
      <t xml:space="preserve">This template has two relevant worksheets:
- </t>
    </r>
    <r>
      <rPr>
        <b/>
        <sz val="9"/>
        <color theme="1"/>
        <rFont val="Calibri"/>
        <family val="2"/>
        <scheme val="minor"/>
      </rPr>
      <t xml:space="preserve">Settings:                          </t>
    </r>
    <r>
      <rPr>
        <sz val="9"/>
        <color theme="1"/>
        <rFont val="Calibri"/>
        <family val="2"/>
        <scheme val="minor"/>
      </rPr>
      <t xml:space="preserve">Set the most important parameters for your personal budget
- </t>
    </r>
    <r>
      <rPr>
        <b/>
        <sz val="9"/>
        <color theme="1"/>
        <rFont val="Calibri"/>
        <family val="2"/>
        <scheme val="minor"/>
      </rPr>
      <t xml:space="preserve">Budget Planning: </t>
    </r>
    <r>
      <rPr>
        <sz val="9"/>
        <color theme="1"/>
        <rFont val="Calibri"/>
        <family val="2"/>
        <scheme val="minor"/>
      </rPr>
      <t xml:space="preserve">        Define your custom Income, Expense, and Savings categories and create a multi-period budget plan
-</t>
    </r>
    <r>
      <rPr>
        <b/>
        <sz val="9"/>
        <color theme="1"/>
        <rFont val="Calibri"/>
        <family val="2"/>
        <scheme val="minor"/>
      </rPr>
      <t xml:space="preserve"> Budget Tracking: </t>
    </r>
    <r>
      <rPr>
        <sz val="9"/>
        <color theme="1"/>
        <rFont val="Calibri"/>
        <family val="2"/>
        <scheme val="minor"/>
      </rPr>
      <t xml:space="preserve">        Track your actual money flows and assign them to your defined custom categories
- </t>
    </r>
    <r>
      <rPr>
        <b/>
        <sz val="9"/>
        <color theme="1"/>
        <rFont val="Calibri"/>
        <family val="2"/>
        <scheme val="minor"/>
      </rPr>
      <t>Budget Dashboard:</t>
    </r>
    <r>
      <rPr>
        <sz val="9"/>
        <color theme="1"/>
        <rFont val="Calibri"/>
        <family val="2"/>
        <scheme val="minor"/>
      </rPr>
      <t xml:space="preserve">    Monitor and analyse your budget performance for the current and historic months and years
You should always start by (1) setting the starting year in the Settings sheet, then (2) defining your custom categories and (3) setting up a budget plan in the Budget Planning sheet.</t>
    </r>
  </si>
  <si>
    <t>File Author:</t>
  </si>
  <si>
    <t>The Office Lab</t>
  </si>
  <si>
    <t>File License:</t>
  </si>
  <si>
    <r>
      <t xml:space="preserve">With the purchase of this template you have </t>
    </r>
    <r>
      <rPr>
        <b/>
        <sz val="9"/>
        <color theme="1"/>
        <rFont val="Calibri"/>
        <family val="2"/>
        <scheme val="minor"/>
      </rPr>
      <t xml:space="preserve">one license for your personal use. </t>
    </r>
    <r>
      <rPr>
        <sz val="9"/>
        <color theme="1"/>
        <rFont val="Calibri"/>
        <family val="2"/>
        <scheme val="minor"/>
      </rPr>
      <t xml:space="preserve">This license covers </t>
    </r>
    <r>
      <rPr>
        <b/>
        <sz val="9"/>
        <color theme="1"/>
        <rFont val="Calibri"/>
        <family val="2"/>
        <scheme val="minor"/>
      </rPr>
      <t>all members of your household</t>
    </r>
    <r>
      <rPr>
        <sz val="9"/>
        <color theme="1"/>
        <rFont val="Calibri"/>
        <family val="2"/>
        <scheme val="minor"/>
      </rPr>
      <t>.
However, an unauthorized redistribution of this file or any sort of derivate of this file for commercial gain is not permitted.</t>
    </r>
  </si>
  <si>
    <t>Budget Planning:</t>
  </si>
  <si>
    <r>
      <rPr>
        <b/>
        <sz val="10"/>
        <color theme="1"/>
        <rFont val="Calibri"/>
        <family val="2"/>
        <scheme val="minor"/>
      </rPr>
      <t>Adding New Categories</t>
    </r>
    <r>
      <rPr>
        <b/>
        <sz val="9"/>
        <color theme="1"/>
        <rFont val="Calibri"/>
        <family val="2"/>
        <scheme val="minor"/>
      </rPr>
      <t xml:space="preserve">
</t>
    </r>
    <r>
      <rPr>
        <sz val="9"/>
        <color theme="1"/>
        <rFont val="Calibri"/>
        <family val="2"/>
        <scheme val="minor"/>
      </rPr>
      <t xml:space="preserve">To add a new categorry in any of the three sections (Income, Expenses, Savings), unhide the empty placeholder rows in column C and overwrite the placeholders right below the respective section table. As soon as a category is part of the respective section table in column C, it will be considered and displayed in all sheets of the workbook.
</t>
    </r>
    <r>
      <rPr>
        <b/>
        <sz val="10"/>
        <color theme="1"/>
        <rFont val="Calibri"/>
        <family val="2"/>
        <scheme val="minor"/>
      </rPr>
      <t>Creating a Zero-Based Budget Plan</t>
    </r>
    <r>
      <rPr>
        <b/>
        <sz val="9"/>
        <color theme="1"/>
        <rFont val="Calibri"/>
        <family val="2"/>
        <scheme val="minor"/>
      </rPr>
      <t xml:space="preserve">
</t>
    </r>
    <r>
      <rPr>
        <sz val="9"/>
        <color theme="1"/>
        <rFont val="Calibri"/>
        <family val="2"/>
        <scheme val="minor"/>
      </rPr>
      <t xml:space="preserve">When you plan your budget values for all categories in a month, the goal is to allocate every disposable dollar from income to either categories or savings, so that in the end </t>
    </r>
    <r>
      <rPr>
        <b/>
        <i/>
        <sz val="9"/>
        <color theme="1"/>
        <rFont val="Calibri"/>
        <family val="2"/>
        <scheme val="minor"/>
      </rPr>
      <t>Income - (Expenses + Savings) = 0</t>
    </r>
    <r>
      <rPr>
        <b/>
        <sz val="9"/>
        <color theme="1"/>
        <rFont val="Calibri"/>
        <family val="2"/>
        <scheme val="minor"/>
      </rPr>
      <t xml:space="preserve"> </t>
    </r>
    <r>
      <rPr>
        <sz val="9"/>
        <color theme="1"/>
        <rFont val="Calibri"/>
        <family val="2"/>
        <scheme val="minor"/>
      </rPr>
      <t>for each individual month. In the upper section (row 6 &amp; 7) you will always see how much of your planned income is still left to be allocated for each month.</t>
    </r>
  </si>
  <si>
    <t>Documentation &amp; Help:</t>
  </si>
  <si>
    <t>excelfind.com/documentation/ultimate-excel-personal-budget</t>
  </si>
  <si>
    <t>Disclaimer:</t>
  </si>
  <si>
    <t>No liability is taken for any damage that might arise related to the use of this template in a business or personal context.</t>
  </si>
  <si>
    <t>Other Templates</t>
  </si>
  <si>
    <r>
      <t xml:space="preserve">We invite you to take a look at our most popular Excel template for project management: </t>
    </r>
    <r>
      <rPr>
        <b/>
        <sz val="9"/>
        <color theme="1"/>
        <rFont val="Calibri"/>
        <family val="2"/>
        <scheme val="minor"/>
      </rPr>
      <t xml:space="preserve">The Ultimate Excel Gantt Chart.
</t>
    </r>
    <r>
      <rPr>
        <sz val="9"/>
        <color theme="1"/>
        <rFont val="Calibri"/>
        <family val="2"/>
        <scheme val="minor"/>
      </rPr>
      <t xml:space="preserve">It's the most advanced Excel Gantt Chart template on the market that allows you to create a complex project schedule with dynamic task dependencies, automatic coloring, actual vs base plan comparison, and many more features.
</t>
    </r>
  </si>
  <si>
    <t>Budget Tracking:</t>
  </si>
  <si>
    <r>
      <rPr>
        <b/>
        <sz val="10"/>
        <color theme="1"/>
        <rFont val="Calibri"/>
        <family val="2"/>
        <scheme val="minor"/>
      </rPr>
      <t>Tracking Money Flows</t>
    </r>
    <r>
      <rPr>
        <sz val="9"/>
        <color theme="1"/>
        <rFont val="Calibri"/>
        <family val="2"/>
        <scheme val="minor"/>
      </rPr>
      <t xml:space="preserve">
You can add a new record to the Tracking table by entering a date, then selecting a type (income, expenses, or savings), choosing one of the respective categories, entering the amount (as an absolute number for all types) and the details of the transaction. Your records do not necessarily have to be entered or sorted in chronological order for the template to function correctly. That means, you can always enter "older" transactions at the bottom of the table and bring them to the chronologically correct position simply by sorting the Date column.</t>
    </r>
  </si>
  <si>
    <t>More information:</t>
  </si>
  <si>
    <t>For more detailed information on all features and how they were built, take a look at the 'Documentation &amp; Help' page (link on the left).</t>
  </si>
  <si>
    <t>Settings</t>
  </si>
  <si>
    <t>General</t>
  </si>
  <si>
    <t>Starting Year:</t>
  </si>
  <si>
    <t>Set the starting year (yyyy) once at the beginning and do not change it again.</t>
  </si>
  <si>
    <t>Budget Tracking &amp; Dashboard</t>
  </si>
  <si>
    <t>Late Monthly Income</t>
  </si>
  <si>
    <t>Shift late income:</t>
  </si>
  <si>
    <t>Inactive</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</si>
  <si>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</si>
  <si>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Starting on day x in month:</t>
  </si>
  <si>
    <t>KPI Calculation in Dashboard</t>
  </si>
  <si>
    <t>Savings Rate as % of Income:</t>
  </si>
  <si>
    <t>% allocated to Savings</t>
  </si>
  <si>
    <t>Choose how you want the savings rate (SR) to be calculated in the dashboard KPI tiles:
1) Active Option (% allocated to Savings):                              SR = Savings / Income
2) Passive Option (% not allocated to Expenses):                 SR = (Income - Expenses) / Income</t>
  </si>
  <si>
    <t>Budget Planning</t>
  </si>
  <si>
    <t>Define starting year in Settings ➜</t>
  </si>
  <si>
    <t>To be allocated:</t>
  </si>
  <si>
    <t>Income</t>
  </si>
  <si>
    <t>Salary Ivo</t>
  </si>
  <si>
    <t>Salary Kalina</t>
  </si>
  <si>
    <t>Rent</t>
  </si>
  <si>
    <t>Other</t>
  </si>
  <si>
    <t>Enter Income Category…</t>
  </si>
  <si>
    <t>Total</t>
  </si>
  <si>
    <t>Expenses</t>
  </si>
  <si>
    <t>Groceries</t>
  </si>
  <si>
    <t>Eat out</t>
  </si>
  <si>
    <t>Medical</t>
  </si>
  <si>
    <t>Baby</t>
  </si>
  <si>
    <t>Body care</t>
  </si>
  <si>
    <t>Maya</t>
  </si>
  <si>
    <t>Clothes</t>
  </si>
  <si>
    <t>Hobbies</t>
  </si>
  <si>
    <t>Home improvements</t>
  </si>
  <si>
    <t>Mortgage</t>
  </si>
  <si>
    <t>Utilities</t>
  </si>
  <si>
    <t>Subscriptions</t>
  </si>
  <si>
    <t>Transport</t>
  </si>
  <si>
    <t>Enter Expenses Category…</t>
  </si>
  <si>
    <t>Savings</t>
  </si>
  <si>
    <t>Metlife</t>
  </si>
  <si>
    <t>Avi Savings</t>
  </si>
  <si>
    <t>Emergency Fund</t>
  </si>
  <si>
    <t>Enter Savings Category…</t>
  </si>
  <si>
    <t>Budget Tracking</t>
  </si>
  <si>
    <t>Date</t>
  </si>
  <si>
    <t>Type</t>
  </si>
  <si>
    <t>Category</t>
  </si>
  <si>
    <t>Amount</t>
  </si>
  <si>
    <t>Details</t>
  </si>
  <si>
    <t>Balance</t>
  </si>
  <si>
    <t>Effective Date</t>
  </si>
  <si>
    <t>Памперси ДМ</t>
  </si>
  <si>
    <t>Амазон кафе машина</t>
  </si>
  <si>
    <t>Капки против колики</t>
  </si>
  <si>
    <t>Манго</t>
  </si>
  <si>
    <t>Спотифай</t>
  </si>
  <si>
    <t>Табла офис</t>
  </si>
  <si>
    <t>Сандвич АГ</t>
  </si>
  <si>
    <t>Женска консултация</t>
  </si>
  <si>
    <t>Time събиране колеги</t>
  </si>
  <si>
    <t>Санита</t>
  </si>
  <si>
    <t>Такси ресторант</t>
  </si>
  <si>
    <t>Нутрио</t>
  </si>
  <si>
    <t>Болярци</t>
  </si>
  <si>
    <t>Билла</t>
  </si>
  <si>
    <t>Плод-зеленчук</t>
  </si>
  <si>
    <t>Храна</t>
  </si>
  <si>
    <t>Икеа</t>
  </si>
  <si>
    <t>Вино за събиране с Кондови</t>
  </si>
  <si>
    <t>Ядки за събиране</t>
  </si>
  <si>
    <t>Момакс</t>
  </si>
  <si>
    <t>DnD LOTR</t>
  </si>
  <si>
    <t>ДМ</t>
  </si>
  <si>
    <t>Youtube</t>
  </si>
  <si>
    <t>Срадник kaution</t>
  </si>
  <si>
    <t>Хероку</t>
  </si>
  <si>
    <t>Лидл</t>
  </si>
  <si>
    <t>Амазон</t>
  </si>
  <si>
    <t>Табла кафе</t>
  </si>
  <si>
    <t>Табла сладки Явор</t>
  </si>
  <si>
    <t>Ревматолог</t>
  </si>
  <si>
    <t>Фреш З кафе</t>
  </si>
  <si>
    <t>Терапията</t>
  </si>
  <si>
    <t>Коледна градинка</t>
  </si>
  <si>
    <t>Фемили</t>
  </si>
  <si>
    <t>Кафе от Лаве</t>
  </si>
  <si>
    <t>Фъстъчено от Зелен</t>
  </si>
  <si>
    <t>Автобус</t>
  </si>
  <si>
    <t>Доставка пендел Ави</t>
  </si>
  <si>
    <t>Този тракер</t>
  </si>
  <si>
    <t>Паркомясто</t>
  </si>
  <si>
    <t>Калина лаборекспрес</t>
  </si>
  <si>
    <t>Джъмбо парти неща</t>
  </si>
  <si>
    <t>Плафон спалня</t>
  </si>
  <si>
    <t>Мляко &amp; стъф</t>
  </si>
  <si>
    <t>Kaufland</t>
  </si>
  <si>
    <t>Коледни календари</t>
  </si>
  <si>
    <t>Juicy burgers</t>
  </si>
  <si>
    <t>Худи рая</t>
  </si>
  <si>
    <t>Булмаг</t>
  </si>
  <si>
    <t>Закуски софи</t>
  </si>
  <si>
    <t>Вик</t>
  </si>
  <si>
    <t>Автобус от/до мола</t>
  </si>
  <si>
    <t>Ток</t>
  </si>
  <si>
    <t>Шампоан и памперси</t>
  </si>
  <si>
    <t>Хабитс</t>
  </si>
  <si>
    <t>Майчински</t>
  </si>
  <si>
    <t>H&amp;M</t>
  </si>
  <si>
    <t>Billa</t>
  </si>
  <si>
    <t>Netflix</t>
  </si>
  <si>
    <t>A1</t>
  </si>
  <si>
    <t>Чистачка за прозорци (коледа)</t>
  </si>
  <si>
    <t>Кака РД</t>
  </si>
  <si>
    <t>Леля Нели Коледа</t>
  </si>
  <si>
    <t>Свещи Коледа</t>
  </si>
  <si>
    <t>Еклери Коледа</t>
  </si>
  <si>
    <t>Гориво ЕКО</t>
  </si>
  <si>
    <t>Револют Премиум</t>
  </si>
  <si>
    <t>Кафе</t>
  </si>
  <si>
    <t>За Ави</t>
  </si>
  <si>
    <t>Кико РД</t>
  </si>
  <si>
    <t>Budget Dashboard</t>
  </si>
  <si>
    <t>Year</t>
  </si>
  <si>
    <t>Select the year to view ➜</t>
  </si>
  <si>
    <t>Current Year</t>
  </si>
  <si>
    <t>Period</t>
  </si>
  <si>
    <t>Select the period to view ➜</t>
  </si>
  <si>
    <t>Current Month</t>
  </si>
  <si>
    <t>row_id</t>
  </si>
  <si>
    <t>header_row_id</t>
  </si>
  <si>
    <t>is_header</t>
  </si>
  <si>
    <t>is_cat</t>
  </si>
  <si>
    <t>is_total</t>
  </si>
  <si>
    <t>is_empty</t>
  </si>
  <si>
    <t>type</t>
  </si>
  <si>
    <t>item</t>
  </si>
  <si>
    <t>tracked</t>
  </si>
  <si>
    <t>budget</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</si>
  <si>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</si>
  <si>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</si>
  <si>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</si>
  <si>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</si>
  <si>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</si>
  <si>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</si>
  <si>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</si>
  <si>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</si>
  <si>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</si>
  <si>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</si>
  <si>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</si>
  <si>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</si>
  <si>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t>Calculations</t>
  </si>
  <si>
    <t>Worksheet: Budget Tracking</t>
  </si>
  <si>
    <t>Today:</t>
  </si>
  <si>
    <t>Last Record:</t>
  </si>
  <si>
    <t>Delta Last Record:</t>
  </si>
  <si>
    <t># Records:</t>
  </si>
  <si>
    <t># Records this year:</t>
  </si>
  <si>
    <t>Tracking Balance:</t>
  </si>
  <si>
    <t>Balance Analysis Text:</t>
  </si>
  <si>
    <t>Worksheet: Budget Dashboard</t>
  </si>
  <si>
    <t>Selected Year:</t>
  </si>
  <si>
    <t>Selected Period:</t>
  </si>
  <si>
    <t>Selected Period (Display):</t>
  </si>
  <si>
    <t>Days in Period:</t>
  </si>
  <si>
    <t>Days passed in Period:</t>
  </si>
  <si>
    <t>Days passed in Period %:</t>
  </si>
  <si>
    <t>Period Tracking Balance:</t>
  </si>
  <si>
    <t>Period Savings Rate:</t>
  </si>
  <si>
    <r>
      <rPr>
        <b/>
        <sz val="11"/>
        <color theme="8"/>
        <rFont val="Calibri"/>
        <family val="2"/>
        <scheme val="minor"/>
      </rPr>
      <t>Chart Calculations:</t>
    </r>
    <r>
      <rPr>
        <sz val="11"/>
        <color theme="8"/>
        <rFont val="Calibri"/>
        <family val="2"/>
        <scheme val="minor"/>
      </rPr>
      <t xml:space="preserve"> Category Distribution Charts</t>
    </r>
  </si>
  <si>
    <r>
      <rPr>
        <b/>
        <sz val="11"/>
        <color theme="8"/>
        <rFont val="Calibri"/>
        <family val="2"/>
        <scheme val="minor"/>
      </rPr>
      <t>Chart Calculations:</t>
    </r>
    <r>
      <rPr>
        <sz val="11"/>
        <color theme="8"/>
        <rFont val="Calibri"/>
        <family val="2"/>
        <scheme val="minor"/>
      </rPr>
      <t xml:space="preserve"> Tracked (vs. Budget) Chart</t>
    </r>
  </si>
  <si>
    <t>Show Income:</t>
  </si>
  <si>
    <t>Show Expenses:</t>
  </si>
  <si>
    <t>Show Savings:</t>
  </si>
  <si>
    <t>Show Rem. Budget:</t>
  </si>
  <si>
    <t>Period in Focus</t>
  </si>
  <si>
    <t>Period not in Focus</t>
  </si>
  <si>
    <t>Month</t>
  </si>
  <si>
    <t>Month Num.</t>
  </si>
  <si>
    <t>In Focus</t>
  </si>
  <si>
    <t>Show Type</t>
  </si>
  <si>
    <t>Show Rem. Budget</t>
  </si>
  <si>
    <t>Tracked</t>
  </si>
  <si>
    <t>Budget</t>
  </si>
  <si>
    <t>Delta</t>
  </si>
  <si>
    <t>In Budget</t>
  </si>
  <si>
    <t>Remaining</t>
  </si>
  <si>
    <t>Excess</t>
  </si>
  <si>
    <t>Dropdown Data</t>
  </si>
  <si>
    <t>Year Dropdown</t>
  </si>
  <si>
    <t>Period Dropdown</t>
  </si>
  <si>
    <t>Total Year</t>
  </si>
  <si>
    <t>Ugreen cables and charger</t>
  </si>
  <si>
    <t>La Pastaria</t>
  </si>
  <si>
    <t>Lidl</t>
  </si>
  <si>
    <t>iCloud</t>
  </si>
  <si>
    <t>Brotato</t>
  </si>
  <si>
    <t>Бурлекс</t>
  </si>
  <si>
    <t xml:space="preserve">DM </t>
  </si>
  <si>
    <t>Салати</t>
  </si>
  <si>
    <t>Сурвакане</t>
  </si>
  <si>
    <t>K55 такса</t>
  </si>
  <si>
    <t>бурлекс</t>
  </si>
  <si>
    <t>лекарства ваксина</t>
  </si>
  <si>
    <t>лубрикант</t>
  </si>
  <si>
    <t>мама</t>
  </si>
  <si>
    <t>Vacation</t>
  </si>
  <si>
    <t>Drinks</t>
  </si>
  <si>
    <t>habits</t>
  </si>
  <si>
    <t>bus</t>
  </si>
  <si>
    <t>marche</t>
  </si>
  <si>
    <t>carefour</t>
  </si>
  <si>
    <t>Fun</t>
  </si>
  <si>
    <t>кино</t>
  </si>
  <si>
    <t>Узана хотел Балканци</t>
  </si>
  <si>
    <t>Валери книжка</t>
  </si>
  <si>
    <t>п&amp;з</t>
  </si>
  <si>
    <t>Практикер</t>
  </si>
  <si>
    <t>premama</t>
  </si>
  <si>
    <t>Alm Fab планове за шкаф</t>
  </si>
  <si>
    <t>Дм</t>
  </si>
  <si>
    <t>днд бейонд</t>
  </si>
  <si>
    <t>amazon</t>
  </si>
  <si>
    <t>viky nuts</t>
  </si>
  <si>
    <t>вальо корнизи</t>
  </si>
  <si>
    <t>дрехи reserved</t>
  </si>
  <si>
    <t>reserved</t>
  </si>
  <si>
    <t>pocket hole jig</t>
  </si>
  <si>
    <t>fresh z</t>
  </si>
  <si>
    <t>бонбони офис</t>
  </si>
  <si>
    <t>рибарски</t>
  </si>
  <si>
    <t>youtube</t>
  </si>
  <si>
    <t>фризьор</t>
  </si>
  <si>
    <t>иво чрд</t>
  </si>
  <si>
    <t>табла</t>
  </si>
  <si>
    <t>мляко</t>
  </si>
  <si>
    <t>orange</t>
  </si>
  <si>
    <t>телефонска</t>
  </si>
  <si>
    <t>софи</t>
  </si>
  <si>
    <t>чжоу</t>
  </si>
  <si>
    <t>centro</t>
  </si>
  <si>
    <t>чай</t>
  </si>
  <si>
    <t>late</t>
  </si>
  <si>
    <t>la bocca</t>
  </si>
  <si>
    <t>трион &amp; со</t>
  </si>
  <si>
    <t>цветя</t>
  </si>
  <si>
    <t>дивото брашно</t>
  </si>
  <si>
    <t>lanitop</t>
  </si>
  <si>
    <t>netflix</t>
  </si>
  <si>
    <t>metlife</t>
  </si>
  <si>
    <t>тоалетна</t>
  </si>
  <si>
    <t>кроасани лагард</t>
  </si>
  <si>
    <t>мпарк</t>
  </si>
  <si>
    <t>а1</t>
  </si>
  <si>
    <t>марше</t>
  </si>
  <si>
    <t>дм памперси</t>
  </si>
  <si>
    <t>нутрио</t>
  </si>
  <si>
    <t>икеа refund</t>
  </si>
  <si>
    <t>влагоабсорбатор озоне</t>
  </si>
  <si>
    <t>деган</t>
  </si>
  <si>
    <t>дея подарък</t>
  </si>
  <si>
    <t>данък апартамент '24 и '25</t>
  </si>
  <si>
    <t>вик</t>
  </si>
  <si>
    <t>Emergency fund</t>
  </si>
  <si>
    <t>Location</t>
  </si>
  <si>
    <t>Revolut</t>
  </si>
  <si>
    <t>Long Term Savings</t>
  </si>
  <si>
    <t>monthly leftovers</t>
  </si>
  <si>
    <t>IBKR</t>
  </si>
  <si>
    <t>T212</t>
  </si>
  <si>
    <t>Day-to-day payments</t>
  </si>
  <si>
    <t>salary</t>
  </si>
  <si>
    <t>мултиспорт</t>
  </si>
  <si>
    <t>spotify</t>
  </si>
  <si>
    <t>дюнери</t>
  </si>
  <si>
    <t>биозин + ефералган</t>
  </si>
  <si>
    <t>банички</t>
  </si>
  <si>
    <t>К55 такса</t>
  </si>
  <si>
    <t>хабитс</t>
  </si>
  <si>
    <t>дм</t>
  </si>
  <si>
    <t>булмаг за уарпове</t>
  </si>
  <si>
    <t>mango</t>
  </si>
  <si>
    <t>бурлекс + п&amp;з</t>
  </si>
  <si>
    <t>булмаг + п&amp;з</t>
  </si>
  <si>
    <t>премама</t>
  </si>
  <si>
    <t>рози</t>
  </si>
  <si>
    <t>atmos</t>
  </si>
  <si>
    <t>costa</t>
  </si>
  <si>
    <t>qiyami sushi</t>
  </si>
  <si>
    <t>amazon refund</t>
  </si>
  <si>
    <t>яна подарък калина</t>
  </si>
  <si>
    <t>килим + кутии</t>
  </si>
  <si>
    <t>бистро булевард</t>
  </si>
  <si>
    <t>калина рд</t>
  </si>
  <si>
    <t>brabantia кош</t>
  </si>
  <si>
    <t>калина рд мама + кака</t>
  </si>
  <si>
    <t>бурлекс уиски</t>
  </si>
  <si>
    <t>кутии</t>
  </si>
  <si>
    <t>дм падове</t>
  </si>
  <si>
    <t>узана</t>
  </si>
  <si>
    <t>кик дрешки</t>
  </si>
  <si>
    <t>нетфликс</t>
  </si>
  <si>
    <t>цигари</t>
  </si>
  <si>
    <t>роса доро</t>
  </si>
  <si>
    <t>ортопед</t>
  </si>
  <si>
    <t>Notes</t>
  </si>
  <si>
    <t>100 VWCE</t>
  </si>
  <si>
    <t>90/10 VWCE/ZPRV</t>
  </si>
  <si>
    <t>куиз + хабитс</t>
  </si>
  <si>
    <t>ibkr</t>
  </si>
  <si>
    <t>multisport</t>
  </si>
  <si>
    <t>fresh zone</t>
  </si>
  <si>
    <t>civ 6</t>
  </si>
  <si>
    <t>кроасани</t>
  </si>
  <si>
    <t>лалета калина</t>
  </si>
  <si>
    <t>taxi</t>
  </si>
  <si>
    <t>margarita</t>
  </si>
  <si>
    <t>бус</t>
  </si>
  <si>
    <t>пуканки + кубо милен цветков</t>
  </si>
  <si>
    <t>juicy</t>
  </si>
  <si>
    <t>балчик</t>
  </si>
  <si>
    <t>манго</t>
  </si>
  <si>
    <t>1password</t>
  </si>
  <si>
    <t>завеси сони-м</t>
  </si>
  <si>
    <t>х&amp;м завеси</t>
  </si>
  <si>
    <t>small city café + сладолед</t>
  </si>
  <si>
    <t>паркинг конст и елена</t>
  </si>
  <si>
    <t>фемили дрешки</t>
  </si>
  <si>
    <t>такси</t>
  </si>
  <si>
    <t>spotify duo</t>
  </si>
  <si>
    <t>spotify raya</t>
  </si>
  <si>
    <t>next</t>
  </si>
  <si>
    <t>превод</t>
  </si>
  <si>
    <t>чувалче за спане</t>
  </si>
  <si>
    <t>zesty refund</t>
  </si>
  <si>
    <t>dm</t>
  </si>
  <si>
    <t>red canape</t>
  </si>
  <si>
    <t>храна</t>
  </si>
  <si>
    <t>sake party</t>
  </si>
  <si>
    <t>jessy flight</t>
  </si>
  <si>
    <t>гюрлата</t>
  </si>
  <si>
    <t>ограда</t>
  </si>
  <si>
    <t>цигари + п&amp;з</t>
  </si>
  <si>
    <t>сьомга + пиле паркмарт</t>
  </si>
  <si>
    <t>крамер + роса доро</t>
  </si>
  <si>
    <t>cursor ai</t>
  </si>
  <si>
    <t>wine &amp; food</t>
  </si>
  <si>
    <t>la pastaria</t>
  </si>
  <si>
    <t>uizard</t>
  </si>
  <si>
    <t>ikea</t>
  </si>
  <si>
    <t>jysk</t>
  </si>
  <si>
    <t>лидл + п&amp;з</t>
  </si>
  <si>
    <t>суши</t>
  </si>
  <si>
    <t>осман дюнери</t>
  </si>
  <si>
    <t>office1</t>
  </si>
  <si>
    <t>чинар обяд</t>
  </si>
  <si>
    <t>х&amp;м завеси refund</t>
  </si>
  <si>
    <t>galileo AI</t>
  </si>
  <si>
    <t>великденски пазар</t>
  </si>
  <si>
    <t>балев</t>
  </si>
  <si>
    <t>юск надуваемо легло</t>
  </si>
  <si>
    <t>иво дрехи</t>
  </si>
  <si>
    <t>jessy biomet</t>
  </si>
  <si>
    <t>bulmag</t>
  </si>
  <si>
    <t>синя зона</t>
  </si>
  <si>
    <t>лаве</t>
  </si>
  <si>
    <t>тор за цветя</t>
  </si>
  <si>
    <t>43.12</t>
  </si>
  <si>
    <t>бира</t>
  </si>
  <si>
    <t>тениска</t>
  </si>
  <si>
    <t>лента</t>
  </si>
  <si>
    <t>бензин</t>
  </si>
  <si>
    <t>балчик корона</t>
  </si>
  <si>
    <t>drinks</t>
  </si>
  <si>
    <t>кафе</t>
  </si>
  <si>
    <t xml:space="preserve">дружба </t>
  </si>
  <si>
    <t>автомивка</t>
  </si>
  <si>
    <t>калина кецове</t>
  </si>
  <si>
    <t>juciy burgers</t>
  </si>
  <si>
    <t>крем дерматит</t>
  </si>
  <si>
    <t xml:space="preserve">нап данъчно облекчение </t>
  </si>
  <si>
    <t>килим</t>
  </si>
  <si>
    <t>дом на строителя</t>
  </si>
  <si>
    <t>сладолед</t>
  </si>
  <si>
    <t>ави 6 месеца</t>
  </si>
  <si>
    <t>шивач</t>
  </si>
  <si>
    <t>зъболекар</t>
  </si>
  <si>
    <t xml:space="preserve">балев </t>
  </si>
  <si>
    <t>фалафел</t>
  </si>
  <si>
    <t>eko</t>
  </si>
  <si>
    <t>ribarski</t>
  </si>
  <si>
    <t>falafeli</t>
  </si>
  <si>
    <t>telefonska</t>
  </si>
  <si>
    <t>letni gumi</t>
  </si>
  <si>
    <t>starbucks</t>
  </si>
  <si>
    <t>cursor</t>
  </si>
  <si>
    <t>kalina</t>
  </si>
  <si>
    <t>martini lunch</t>
  </si>
  <si>
    <t>radi birthday</t>
  </si>
  <si>
    <t>tok</t>
  </si>
  <si>
    <t>happy with yana &amp; kami</t>
  </si>
  <si>
    <t>Apple TV+</t>
  </si>
  <si>
    <t>p&amp;z</t>
  </si>
  <si>
    <t>burgers</t>
  </si>
  <si>
    <t>ortopedichni podmetki</t>
  </si>
  <si>
    <t>new balance ivo</t>
  </si>
  <si>
    <t>gate</t>
  </si>
  <si>
    <t>nov laminat avans</t>
  </si>
  <si>
    <t>ortoped</t>
  </si>
  <si>
    <t>cvetya</t>
  </si>
  <si>
    <t>viki nuts</t>
  </si>
  <si>
    <t>obezparazit</t>
  </si>
  <si>
    <t>a1</t>
  </si>
  <si>
    <t>so fresh ice cream</t>
  </si>
  <si>
    <t>makalali</t>
  </si>
  <si>
    <t>43.12 coffee</t>
  </si>
  <si>
    <t>duner</t>
  </si>
  <si>
    <t>revolut premium</t>
  </si>
  <si>
    <t>mpark</t>
  </si>
  <si>
    <t>panoramna snimka</t>
  </si>
  <si>
    <t>yanko laminat</t>
  </si>
  <si>
    <t>prahosmukachka naem</t>
  </si>
  <si>
    <t>ViK</t>
  </si>
  <si>
    <t>K55 taksa</t>
  </si>
  <si>
    <t>baby borsa</t>
  </si>
  <si>
    <t>Pazar</t>
  </si>
  <si>
    <t>plomba</t>
  </si>
  <si>
    <t>tabla yavor</t>
  </si>
  <si>
    <t>laminat rest</t>
  </si>
  <si>
    <t>dominos</t>
  </si>
  <si>
    <t>ograda refund</t>
  </si>
  <si>
    <t>menthol kolegi</t>
  </si>
  <si>
    <t>cubo</t>
  </si>
  <si>
    <t>taxi + bus</t>
  </si>
  <si>
    <t>BARlogata</t>
  </si>
  <si>
    <t>kino</t>
  </si>
  <si>
    <t>coffee + fresh</t>
  </si>
  <si>
    <t>baklev</t>
  </si>
  <si>
    <t>zara + p&amp;b</t>
  </si>
  <si>
    <t>dm pampersi</t>
  </si>
  <si>
    <t>casa felice</t>
  </si>
  <si>
    <t>obyad kolegi</t>
  </si>
  <si>
    <t>globa</t>
  </si>
  <si>
    <t>suhari</t>
  </si>
  <si>
    <t>mango banski</t>
  </si>
  <si>
    <t>vinetka</t>
  </si>
  <si>
    <t xml:space="preserve">thronefall </t>
  </si>
  <si>
    <t>knijki</t>
  </si>
  <si>
    <t>chadyr</t>
  </si>
  <si>
    <t>parmy</t>
  </si>
  <si>
    <t>the alters</t>
  </si>
  <si>
    <t>godzilla kolegi</t>
  </si>
  <si>
    <t>100 pizzas</t>
  </si>
  <si>
    <t>decathlon</t>
  </si>
  <si>
    <t>atm taxes</t>
  </si>
  <si>
    <t>tsaneva podaryk</t>
  </si>
  <si>
    <t>kartofi morsko kazino</t>
  </si>
  <si>
    <t>zara</t>
  </si>
  <si>
    <t>born preparati</t>
  </si>
  <si>
    <t>toaletna maya</t>
  </si>
  <si>
    <t>ekspertiza atelieta</t>
  </si>
  <si>
    <t>kilimi</t>
  </si>
  <si>
    <t>mono loco</t>
  </si>
  <si>
    <t>bunata</t>
  </si>
  <si>
    <t>vik</t>
  </si>
  <si>
    <t>good djob</t>
  </si>
  <si>
    <t>avalina preparati</t>
  </si>
  <si>
    <t>el kapan</t>
  </si>
  <si>
    <t>tabla</t>
  </si>
  <si>
    <t>new balance ivo refund</t>
  </si>
  <si>
    <t>this war of mine ps5</t>
  </si>
  <si>
    <t>kabakum</t>
  </si>
  <si>
    <t>banichki</t>
  </si>
  <si>
    <t>ponichki</t>
  </si>
  <si>
    <t>gaz voda</t>
  </si>
  <si>
    <t>uf burgers</t>
  </si>
  <si>
    <t>corsi di cucina</t>
  </si>
  <si>
    <t>technost za chistachki</t>
  </si>
  <si>
    <t>maslo</t>
  </si>
  <si>
    <t>lave</t>
  </si>
  <si>
    <t>biozin</t>
  </si>
  <si>
    <t>so fresh café</t>
  </si>
  <si>
    <t>multitool</t>
  </si>
  <si>
    <t>stradivarius</t>
  </si>
  <si>
    <t>ufo burgers</t>
  </si>
  <si>
    <t>mate brunch (DON’T GO)</t>
  </si>
  <si>
    <t>lily</t>
  </si>
  <si>
    <t>micellar baby</t>
  </si>
  <si>
    <t>cinema</t>
  </si>
  <si>
    <t>chatgpt pro</t>
  </si>
  <si>
    <t>kozmetik</t>
  </si>
  <si>
    <t>copy shop</t>
  </si>
  <si>
    <t>everything but the code book</t>
  </si>
  <si>
    <t>dolce amaro</t>
  </si>
  <si>
    <t>forrest</t>
  </si>
  <si>
    <t>bebe borsa</t>
  </si>
  <si>
    <t>tough mudder</t>
  </si>
  <si>
    <t>chatGPT</t>
  </si>
  <si>
    <t>takeaway</t>
  </si>
  <si>
    <t>so fresh</t>
  </si>
  <si>
    <t>claude code</t>
  </si>
  <si>
    <t>claude code MAX</t>
  </si>
  <si>
    <t>Anthropic</t>
  </si>
  <si>
    <t>parking zlatni</t>
  </si>
  <si>
    <t>ribarski brunch</t>
  </si>
  <si>
    <t>nutrio</t>
  </si>
  <si>
    <t>claude code MAX 20x</t>
  </si>
  <si>
    <t>action run refund</t>
  </si>
  <si>
    <t>mom bday</t>
  </si>
  <si>
    <t>r.fitness</t>
  </si>
  <si>
    <t>glovo</t>
  </si>
  <si>
    <t>nomad valya</t>
  </si>
  <si>
    <t>valsheben izvor</t>
  </si>
  <si>
    <t>vili night out</t>
  </si>
  <si>
    <t>railway</t>
  </si>
  <si>
    <t>bacaro</t>
  </si>
  <si>
    <t>monkeys</t>
  </si>
  <si>
    <t xml:space="preserve">tok </t>
  </si>
  <si>
    <t>bistro boulevard</t>
  </si>
  <si>
    <t>anifest raya</t>
  </si>
  <si>
    <t>habits + chinar</t>
  </si>
  <si>
    <t>skameyka</t>
  </si>
  <si>
    <t>leshti</t>
  </si>
  <si>
    <t>lave + zakuski + hlyab</t>
  </si>
  <si>
    <t>spotify fam</t>
  </si>
  <si>
    <t xml:space="preserve">the bay </t>
  </si>
  <si>
    <t>ice cream</t>
  </si>
  <si>
    <t>dom na stroitelya</t>
  </si>
  <si>
    <t>kramer</t>
  </si>
  <si>
    <t>usbc flashka</t>
  </si>
  <si>
    <t>nordvpn</t>
  </si>
  <si>
    <t>chatgpt</t>
  </si>
  <si>
    <t>kafe + banichka</t>
  </si>
  <si>
    <t>notino</t>
  </si>
  <si>
    <t>chaushev + lekarstvo</t>
  </si>
  <si>
    <t>barlogata</t>
  </si>
  <si>
    <t>lidl</t>
  </si>
  <si>
    <t>reserved clothes</t>
  </si>
  <si>
    <t>qi yami</t>
  </si>
  <si>
    <t>frirzior</t>
  </si>
  <si>
    <t>habits kolegi</t>
  </si>
  <si>
    <t>veterinar</t>
  </si>
  <si>
    <t>mango drehi</t>
  </si>
  <si>
    <t>hrana</t>
  </si>
  <si>
    <t>plunger</t>
  </si>
  <si>
    <t>shoes</t>
  </si>
  <si>
    <t>kalina breketi</t>
  </si>
  <si>
    <t>birthday</t>
  </si>
  <si>
    <t>laminat #2</t>
  </si>
  <si>
    <t>burgeri</t>
  </si>
  <si>
    <t>café burov</t>
  </si>
  <si>
    <t>hivemind</t>
  </si>
  <si>
    <t>mama rd</t>
  </si>
  <si>
    <t>prehodna laisna</t>
  </si>
  <si>
    <t>petar hamali</t>
  </si>
  <si>
    <t>kalina mani pedi</t>
  </si>
  <si>
    <t>helium</t>
  </si>
  <si>
    <t>baklavi</t>
  </si>
  <si>
    <t>smash burgers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</si>
</sst>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_(* \(#,##0.00\);_(* &quot;-&quot;??_);_(@_)"/>
    <numFmt numFmtId="165" formatCode="mmm"/>
    <numFmt numFmtId="166" formatCode="_(* #,##0_);_(* \(#,##0\);_(* &quot;-&quot;??_);_(@_)"/>
    <numFmt numFmtId="167" formatCode="mmmm"/>
    <numFmt numFmtId="168" formatCode="0.0%"/>
    <numFmt numFmtId="169" formatCode="d\-mmm\-yy"/>
    <numFmt numFmtId="170" formatCode="#,##0.00\ [$EUR]"/>
    <numFmt numFmtId="171" formatCode="[$€-2]\ #,##0"/>
    <numFmt numFmtId="172" formatCode="[$€-1809]#,##0"/>
  </numFmts>
  <fonts count="33" x14ac:knownFonts="1">
    <font>
      <sz val="11"/>
      <color theme="1"/>
      <name val="Calibri"/>
      <family val="2"/>
      <scheme val="minor"/>
    </font>
    <font>
      <sz val="11"/>
      <color theme="0"/>
      <name val="Calibri"/>
      <family val="2"/>
      <scheme val="minor"/>
    </font>
    <font>
      <b/>
      <sz val="20"/>
      <color theme="0"/>
      <name val="Calibri"/>
      <family val="2"/>
      <scheme val="minor"/>
    </font>
    <font>
      <b/>
      <sz val="20"/>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9"/>
      <color theme="0" tint="-0.499984740745262"/>
      <name val="Calibri"/>
      <family val="2"/>
      <scheme val="minor"/>
    </font>
    <font>
      <i/>
      <sz val="9"/>
      <color theme="0" tint="-0.34998626667073579"/>
      <name val="Calibri"/>
      <family val="2"/>
      <scheme val="minor"/>
    </font>
    <font>
      <sz val="11"/>
      <color theme="1"/>
      <name val="Calibri"/>
      <family val="2"/>
      <scheme val="minor"/>
    </font>
    <font>
      <b/>
      <sz val="10"/>
      <color theme="0"/>
      <name val="Calibri"/>
      <family val="2"/>
      <scheme val="minor"/>
    </font>
    <font>
      <sz val="10"/>
      <color theme="0" tint="-0.34998626667073579"/>
      <name val="Calibri"/>
      <family val="2"/>
      <scheme val="minor"/>
    </font>
    <font>
      <sz val="9"/>
      <color theme="0" tint="-0.34998626667073579"/>
      <name val="Calibri"/>
      <family val="2"/>
      <scheme val="minor"/>
    </font>
    <font>
      <b/>
      <sz val="9"/>
      <color theme="1"/>
      <name val="Calibri"/>
      <family val="2"/>
      <scheme val="minor"/>
    </font>
    <font>
      <b/>
      <sz val="9"/>
      <color theme="0" tint="-0.34998626667073579"/>
      <name val="Calibri"/>
      <family val="2"/>
      <scheme val="minor"/>
    </font>
    <font>
      <i/>
      <sz val="10"/>
      <color theme="1"/>
      <name val="Calibri"/>
      <family val="2"/>
      <scheme val="minor"/>
    </font>
    <font>
      <sz val="9"/>
      <color theme="1"/>
      <name val="Calibri"/>
      <family val="2"/>
      <scheme val="minor"/>
    </font>
    <font>
      <b/>
      <sz val="10"/>
      <color theme="1"/>
      <name val="Calibri"/>
      <family val="2"/>
      <scheme val="minor"/>
    </font>
    <font>
      <sz val="10"/>
      <color theme="0" tint="-0.499984740745262"/>
      <name val="Calibri"/>
      <family val="2"/>
      <scheme val="minor"/>
    </font>
    <font>
      <sz val="11"/>
      <color theme="0" tint="-0.499984740745262"/>
      <name val="Calibri"/>
      <family val="2"/>
      <scheme val="minor"/>
    </font>
    <font>
      <b/>
      <sz val="12"/>
      <color theme="7"/>
      <name val="Calibri"/>
      <family val="2"/>
      <scheme val="minor"/>
    </font>
    <font>
      <sz val="10"/>
      <color theme="0" tint="-0.14999847407452621"/>
      <name val="Calibri"/>
      <family val="2"/>
      <scheme val="minor"/>
    </font>
    <font>
      <b/>
      <sz val="9"/>
      <color theme="0"/>
      <name val="Calibri"/>
      <family val="2"/>
      <scheme val="minor"/>
    </font>
    <font>
      <sz val="8"/>
      <color theme="1"/>
      <name val="Calibri"/>
      <family val="2"/>
      <scheme val="minor"/>
    </font>
    <font>
      <sz val="10.5"/>
      <color theme="1"/>
      <name val="Calibri"/>
      <family val="2"/>
      <scheme val="minor"/>
    </font>
    <font>
      <sz val="11"/>
      <color theme="8"/>
      <name val="Calibri"/>
      <family val="2"/>
      <scheme val="minor"/>
    </font>
    <font>
      <b/>
      <sz val="11"/>
      <color theme="8"/>
      <name val="Calibri"/>
      <family val="2"/>
      <scheme val="minor"/>
    </font>
    <font>
      <sz val="8"/>
      <name val="Calibri"/>
      <family val="2"/>
      <scheme val="minor"/>
    </font>
    <font>
      <u/>
      <sz val="11"/>
      <color theme="10"/>
      <name val="Calibri"/>
      <family val="2"/>
      <scheme val="minor"/>
    </font>
    <font>
      <u/>
      <sz val="9"/>
      <color theme="2" tint="-0.249977111117893"/>
      <name val="Calibri"/>
      <family val="2"/>
      <scheme val="minor"/>
    </font>
    <font>
      <b/>
      <i/>
      <sz val="9"/>
      <color theme="1"/>
      <name val="Calibri"/>
      <family val="2"/>
      <scheme val="minor"/>
    </font>
    <font>
      <sz val="8"/>
      <color rgb="FF000000"/>
      <name val="Segoe UI"/>
      <charset val="1"/>
    </font>
  </fonts>
  <fills count="1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1" tint="0.89999084444715716"/>
        <bgColor indexed="64"/>
      </patternFill>
    </fill>
    <fill>
      <patternFill patternType="solid">
        <fgColor theme="2" tint="-0.249977111117893"/>
        <bgColor indexed="64"/>
      </patternFill>
    </fill>
    <fill>
      <patternFill patternType="solid">
        <fgColor theme="5"/>
        <bgColor indexed="64"/>
      </patternFill>
    </fill>
    <fill>
      <patternFill patternType="solid">
        <fgColor theme="8"/>
        <bgColor indexed="64"/>
      </patternFill>
    </fill>
    <fill>
      <patternFill patternType="solid">
        <fgColor theme="2" tint="0.79998168889431442"/>
        <bgColor indexed="64"/>
      </patternFill>
    </fill>
    <fill>
      <patternFill patternType="solid">
        <fgColor theme="0" tint="-0.249977111117893"/>
        <bgColor indexed="64"/>
      </patternFill>
    </fill>
    <fill>
      <patternFill patternType="solid">
        <fgColor rgb="FF172144"/>
        <bgColor indexed="64"/>
      </patternFill>
    </fill>
    <fill>
      <patternFill patternType="solid">
        <fgColor rgb="FFA6A6A6"/>
        <bgColor indexed="64"/>
      </patternFill>
    </fill>
    <fill>
      <patternFill patternType="solid">
        <fgColor rgb="FF40D492"/>
        <bgColor indexed="64"/>
      </patternFill>
    </fill>
  </fills>
  <borders count="20">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right/>
      <top/>
      <bottom style="dotted">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dotted">
        <color auto="1"/>
      </top>
      <bottom style="double">
        <color auto="1"/>
      </bottom>
      <diagonal/>
    </border>
    <border>
      <left/>
      <right/>
      <top style="hair">
        <color auto="1"/>
      </top>
      <bottom/>
      <diagonal/>
    </border>
    <border>
      <left/>
      <right/>
      <top style="thin">
        <color indexed="64"/>
      </top>
      <bottom/>
      <diagonal/>
    </border>
  </borders>
  <cellStyleXfs count="4">
    <xf numFmtId="0" fontId="0" fillId="0" borderId="0"/>
    <xf numFmtId="164" fontId="10" fillId="0" borderId="0" applyFont="0" applyFill="0" applyBorder="0" applyAlignment="0" applyProtection="0"/>
    <xf numFmtId="9" fontId="10" fillId="0" borderId="0" applyFont="0" applyFill="0" applyBorder="0" applyAlignment="0" applyProtection="0"/>
    <xf numFmtId="0" fontId="29" fillId="0" borderId="0" applyNumberFormat="0" applyFill="0" applyBorder="0" applyAlignment="0" applyProtection="0"/>
  </cellStyleXfs>
  <cellXfs count="122">
    <xf numFmtId="0" fontId="0" fillId="0" borderId="0" xfId="0"/>
    <xf numFmtId="0" fontId="1" fillId="2" borderId="0" xfId="0" applyFont="1" applyFill="1"/>
    <xf numFmtId="0" fontId="2" fillId="2" borderId="0" xfId="0" applyFont="1" applyFill="1" applyAlignment="1">
      <alignment horizontal="left" indent="2"/>
    </xf>
    <xf numFmtId="0" fontId="0" fillId="3" borderId="0" xfId="0" applyFill="1"/>
    <xf numFmtId="0" fontId="3" fillId="3" borderId="0" xfId="0" applyFont="1" applyFill="1" applyAlignment="1">
      <alignment horizontal="left" indent="2"/>
    </xf>
    <xf numFmtId="0" fontId="6"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xf numFmtId="0" fontId="7" fillId="4" borderId="0" xfId="0" applyFont="1" applyFill="1" applyAlignment="1">
      <alignment horizontal="center" vertical="center"/>
    </xf>
    <xf numFmtId="0" fontId="8" fillId="0" borderId="0" xfId="0" applyFont="1"/>
    <xf numFmtId="0" fontId="9" fillId="0" borderId="0" xfId="0" applyFont="1" applyAlignment="1">
      <alignment horizontal="right" vertical="center"/>
    </xf>
    <xf numFmtId="0" fontId="5" fillId="0" borderId="0" xfId="0" applyFont="1" applyAlignment="1">
      <alignment horizontal="left" indent="1"/>
    </xf>
    <xf numFmtId="0" fontId="5" fillId="0" borderId="6" xfId="0" applyFont="1" applyBorder="1" applyAlignment="1">
      <alignment horizontal="left" indent="1"/>
    </xf>
    <xf numFmtId="0" fontId="11" fillId="5" borderId="0" xfId="0" applyFont="1" applyFill="1" applyAlignment="1">
      <alignment horizontal="center" vertical="center"/>
    </xf>
    <xf numFmtId="165" fontId="11" fillId="5" borderId="0" xfId="0" applyNumberFormat="1" applyFont="1" applyFill="1" applyAlignment="1">
      <alignment horizontal="center" vertical="center"/>
    </xf>
    <xf numFmtId="0" fontId="12" fillId="0" borderId="0" xfId="0" applyFont="1" applyAlignment="1">
      <alignment horizontal="left" indent="1"/>
    </xf>
    <xf numFmtId="166" fontId="13" fillId="0" borderId="6" xfId="1" applyNumberFormat="1" applyFont="1" applyBorder="1"/>
    <xf numFmtId="166" fontId="14" fillId="0" borderId="6" xfId="1" applyNumberFormat="1" applyFont="1" applyBorder="1"/>
    <xf numFmtId="166" fontId="15" fillId="0" borderId="6" xfId="1" applyNumberFormat="1" applyFont="1" applyBorder="1"/>
    <xf numFmtId="165" fontId="11" fillId="6" borderId="0" xfId="0" applyNumberFormat="1" applyFont="1" applyFill="1" applyAlignment="1">
      <alignment horizontal="center" vertical="center"/>
    </xf>
    <xf numFmtId="0" fontId="11" fillId="6" borderId="0" xfId="0" applyFont="1" applyFill="1" applyAlignment="1">
      <alignment horizontal="center" vertical="center"/>
    </xf>
    <xf numFmtId="165" fontId="11" fillId="7" borderId="0" xfId="0" applyNumberFormat="1" applyFont="1" applyFill="1" applyAlignment="1">
      <alignment horizontal="center" vertical="center"/>
    </xf>
    <xf numFmtId="0" fontId="11" fillId="7" borderId="0" xfId="0" applyFont="1" applyFill="1" applyAlignment="1">
      <alignment horizontal="center" vertical="center"/>
    </xf>
    <xf numFmtId="0" fontId="16" fillId="0" borderId="0" xfId="0" applyFont="1" applyAlignment="1">
      <alignment horizontal="right"/>
    </xf>
    <xf numFmtId="166" fontId="17" fillId="0" borderId="6" xfId="0" applyNumberFormat="1" applyFont="1" applyBorder="1"/>
    <xf numFmtId="166" fontId="14" fillId="0" borderId="6" xfId="0" applyNumberFormat="1" applyFont="1" applyBorder="1"/>
    <xf numFmtId="0" fontId="18" fillId="0" borderId="6" xfId="0" applyFont="1" applyBorder="1" applyAlignment="1">
      <alignment horizontal="center" vertical="center"/>
    </xf>
    <xf numFmtId="0" fontId="0" fillId="0" borderId="0" xfId="0" applyAlignment="1">
      <alignment horizontal="left" vertical="center" indent="1"/>
    </xf>
    <xf numFmtId="0" fontId="7" fillId="0" borderId="0" xfId="0" applyFont="1" applyAlignment="1">
      <alignment horizontal="left" indent="1"/>
    </xf>
    <xf numFmtId="15" fontId="7" fillId="0" borderId="0" xfId="0" applyNumberFormat="1" applyFont="1" applyAlignment="1">
      <alignment horizontal="left" indent="1"/>
    </xf>
    <xf numFmtId="166" fontId="7" fillId="0" borderId="0" xfId="1" applyNumberFormat="1" applyFont="1" applyAlignment="1">
      <alignment horizontal="left" indent="1"/>
    </xf>
    <xf numFmtId="0" fontId="19" fillId="0" borderId="0" xfId="0" applyFont="1" applyAlignment="1">
      <alignment horizontal="left" indent="1"/>
    </xf>
    <xf numFmtId="0" fontId="20" fillId="3" borderId="0" xfId="0" applyFont="1" applyFill="1" applyAlignment="1">
      <alignment horizontal="left" vertical="center" indent="1"/>
    </xf>
    <xf numFmtId="166" fontId="19" fillId="0" borderId="0" xfId="1" applyNumberFormat="1" applyFont="1" applyAlignment="1">
      <alignment horizontal="left" indent="1"/>
    </xf>
    <xf numFmtId="0" fontId="21" fillId="0" borderId="0" xfId="0" applyFont="1"/>
    <xf numFmtId="15" fontId="22" fillId="0" borderId="0" xfId="0" applyNumberFormat="1" applyFont="1" applyAlignment="1">
      <alignment horizontal="right" indent="1"/>
    </xf>
    <xf numFmtId="15" fontId="0" fillId="0" borderId="0" xfId="0" applyNumberFormat="1"/>
    <xf numFmtId="166" fontId="0" fillId="0" borderId="0" xfId="1" applyNumberFormat="1" applyFont="1"/>
    <xf numFmtId="0" fontId="0" fillId="2" borderId="0" xfId="0" applyFill="1"/>
    <xf numFmtId="0" fontId="4" fillId="2" borderId="0" xfId="0" applyFont="1" applyFill="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vertical="center"/>
    </xf>
    <xf numFmtId="167" fontId="7" fillId="0" borderId="11" xfId="0" applyNumberFormat="1" applyFont="1" applyBorder="1" applyAlignment="1">
      <alignment horizontal="center" vertical="center"/>
    </xf>
    <xf numFmtId="167" fontId="7" fillId="0" borderId="10" xfId="0" applyNumberFormat="1" applyFont="1" applyBorder="1" applyAlignment="1">
      <alignment horizontal="center" vertical="center"/>
    </xf>
    <xf numFmtId="0" fontId="5" fillId="0" borderId="12" xfId="0" applyFont="1" applyBorder="1"/>
    <xf numFmtId="0" fontId="0" fillId="0" borderId="0" xfId="0" applyAlignment="1">
      <alignment horizontal="right"/>
    </xf>
    <xf numFmtId="0" fontId="24" fillId="3" borderId="1" xfId="0" applyFont="1" applyFill="1" applyBorder="1" applyAlignment="1">
      <alignment horizontal="center" vertical="center"/>
    </xf>
    <xf numFmtId="0" fontId="24" fillId="3" borderId="2" xfId="0" applyFont="1" applyFill="1" applyBorder="1" applyAlignment="1">
      <alignment horizontal="center" vertical="center"/>
    </xf>
    <xf numFmtId="0" fontId="24" fillId="3" borderId="0" xfId="0" applyFont="1" applyFill="1" applyAlignment="1">
      <alignment horizontal="center" vertical="center"/>
    </xf>
    <xf numFmtId="166" fontId="0" fillId="0" borderId="0" xfId="0" applyNumberFormat="1"/>
    <xf numFmtId="166" fontId="0" fillId="0" borderId="0" xfId="1" applyNumberFormat="1" applyFont="1" applyBorder="1"/>
    <xf numFmtId="166" fontId="0" fillId="0" borderId="2" xfId="1" applyNumberFormat="1" applyFont="1" applyBorder="1"/>
    <xf numFmtId="0" fontId="24" fillId="3" borderId="11" xfId="0" applyFont="1" applyFill="1" applyBorder="1" applyAlignment="1">
      <alignment horizontal="center" vertical="center"/>
    </xf>
    <xf numFmtId="0" fontId="0" fillId="0" borderId="11" xfId="0" applyBorder="1"/>
    <xf numFmtId="0" fontId="25" fillId="0" borderId="0" xfId="0" applyFont="1" applyAlignment="1">
      <alignment vertical="center"/>
    </xf>
    <xf numFmtId="9" fontId="25" fillId="0" borderId="0" xfId="2" applyFont="1" applyAlignment="1">
      <alignment horizontal="center" vertical="center"/>
    </xf>
    <xf numFmtId="166" fontId="25" fillId="0" borderId="0" xfId="1" applyNumberFormat="1" applyFont="1" applyAlignment="1">
      <alignment horizontal="center" vertical="center"/>
    </xf>
    <xf numFmtId="0" fontId="0" fillId="0" borderId="13" xfId="0" applyBorder="1"/>
    <xf numFmtId="0" fontId="0" fillId="0" borderId="9" xfId="0" applyBorder="1"/>
    <xf numFmtId="0" fontId="0" fillId="0" borderId="14" xfId="0" applyBorder="1"/>
    <xf numFmtId="0" fontId="0" fillId="0" borderId="15" xfId="0" applyBorder="1"/>
    <xf numFmtId="0" fontId="26" fillId="0" borderId="15" xfId="0" applyFont="1" applyBorder="1"/>
    <xf numFmtId="0" fontId="5" fillId="0" borderId="16" xfId="0" applyFont="1" applyBorder="1" applyAlignment="1">
      <alignment horizontal="center"/>
    </xf>
    <xf numFmtId="0" fontId="0" fillId="0" borderId="0" xfId="0" applyAlignment="1">
      <alignment horizontal="center"/>
    </xf>
    <xf numFmtId="0" fontId="0" fillId="0" borderId="17" xfId="0" applyBorder="1" applyAlignment="1">
      <alignment horizontal="center"/>
    </xf>
    <xf numFmtId="0" fontId="5" fillId="0" borderId="0" xfId="0" applyFont="1" applyAlignment="1">
      <alignment horizontal="center"/>
    </xf>
    <xf numFmtId="166" fontId="0" fillId="0" borderId="0" xfId="1" applyNumberFormat="1" applyFont="1" applyAlignment="1">
      <alignment horizontal="center"/>
    </xf>
    <xf numFmtId="166" fontId="0" fillId="0" borderId="17" xfId="1" applyNumberFormat="1" applyFont="1" applyBorder="1" applyAlignment="1">
      <alignment horizontal="center"/>
    </xf>
    <xf numFmtId="166" fontId="5" fillId="0" borderId="0" xfId="1" applyNumberFormat="1" applyFont="1" applyAlignment="1">
      <alignment horizontal="center"/>
    </xf>
    <xf numFmtId="0" fontId="17" fillId="0" borderId="0" xfId="0" applyFont="1" applyAlignment="1">
      <alignment horizontal="left" vertical="center" indent="1"/>
    </xf>
    <xf numFmtId="166" fontId="17" fillId="0" borderId="0" xfId="1" applyNumberFormat="1" applyFont="1" applyBorder="1" applyAlignment="1">
      <alignment vertical="center"/>
    </xf>
    <xf numFmtId="0" fontId="14" fillId="0" borderId="18" xfId="0" applyFont="1" applyBorder="1" applyAlignment="1">
      <alignment horizontal="left" vertical="center" indent="1"/>
    </xf>
    <xf numFmtId="166" fontId="14" fillId="0" borderId="18" xfId="1" applyNumberFormat="1" applyFont="1" applyBorder="1" applyAlignment="1">
      <alignment vertical="center"/>
    </xf>
    <xf numFmtId="0" fontId="0" fillId="0" borderId="19" xfId="0" applyBorder="1" applyAlignment="1">
      <alignment horizontal="center"/>
    </xf>
    <xf numFmtId="0" fontId="0" fillId="0" borderId="16" xfId="0" applyBorder="1" applyAlignment="1">
      <alignment horizontal="center"/>
    </xf>
    <xf numFmtId="166" fontId="0" fillId="0" borderId="0" xfId="1" applyNumberFormat="1" applyFont="1" applyBorder="1" applyAlignment="1">
      <alignment horizontal="center"/>
    </xf>
    <xf numFmtId="0" fontId="18" fillId="0" borderId="0" xfId="0" applyFont="1"/>
    <xf numFmtId="0" fontId="7" fillId="0" borderId="0" xfId="0" applyFont="1"/>
    <xf numFmtId="166" fontId="0" fillId="0" borderId="16" xfId="1" applyNumberFormat="1" applyFont="1" applyBorder="1" applyAlignment="1">
      <alignment horizontal="center"/>
    </xf>
    <xf numFmtId="0" fontId="0" fillId="0" borderId="12" xfId="0" applyBorder="1" applyAlignment="1">
      <alignment horizontal="right"/>
    </xf>
    <xf numFmtId="9" fontId="0" fillId="0" borderId="0" xfId="2" applyFont="1"/>
    <xf numFmtId="168" fontId="0" fillId="0" borderId="0" xfId="2" applyNumberFormat="1" applyFont="1"/>
    <xf numFmtId="0" fontId="18" fillId="0" borderId="0" xfId="0" applyFont="1" applyAlignment="1">
      <alignment horizontal="left" vertical="top"/>
    </xf>
    <xf numFmtId="0" fontId="17" fillId="0" borderId="0" xfId="0" applyFont="1"/>
    <xf numFmtId="0" fontId="17" fillId="0" borderId="0" xfId="0" applyFont="1" applyAlignment="1">
      <alignment vertical="top" wrapText="1"/>
    </xf>
    <xf numFmtId="0" fontId="18" fillId="0" borderId="0" xfId="0" applyFont="1" applyAlignment="1">
      <alignment vertical="top"/>
    </xf>
    <xf numFmtId="0" fontId="30" fillId="0" borderId="0" xfId="3" applyFont="1"/>
    <xf numFmtId="0" fontId="17" fillId="0" borderId="0" xfId="0" applyFont="1" applyAlignment="1">
      <alignment vertical="top"/>
    </xf>
    <xf numFmtId="0" fontId="5" fillId="0" borderId="0" xfId="0" applyFont="1" applyAlignment="1">
      <alignment horizontal="left" vertical="top"/>
    </xf>
    <xf numFmtId="0" fontId="5" fillId="0" borderId="0" xfId="0" applyFont="1" applyAlignment="1">
      <alignment vertical="top"/>
    </xf>
    <xf numFmtId="169" fontId="7" fillId="0" borderId="0" xfId="0" applyNumberFormat="1" applyFont="1" applyAlignment="1">
      <alignment horizontal="left" indent="1"/>
    </xf>
    <xf numFmtId="169" fontId="22" fillId="0" borderId="0" xfId="0" applyNumberFormat="1" applyFont="1" applyAlignment="1">
      <alignment horizontal="right" indent="1"/>
    </xf>
    <xf numFmtId="170" fontId="0" fillId="0" borderId="0" xfId="0" applyNumberFormat="1"/>
    <xf numFmtId="171" fontId="0" fillId="0" borderId="0" xfId="0" applyNumberFormat="1" applyAlignment="1">
      <alignment horizontal="left"/>
    </xf>
    <xf numFmtId="172" fontId="0" fillId="0" borderId="0" xfId="0" applyNumberFormat="1" applyAlignment="1">
      <alignment horizontal="left"/>
    </xf>
    <xf numFmtId="169" fontId="7" fillId="0" borderId="0" xfId="0" applyNumberFormat="1" applyFont="1" applyAlignment="1">
      <alignment horizontal="left" indent="2"/>
    </xf>
    <xf numFmtId="0" fontId="7" fillId="0" borderId="0" xfId="0" applyFont="1" applyAlignment="1">
      <alignment horizontal="left" indent="2"/>
    </xf>
    <xf numFmtId="166" fontId="7" fillId="0" borderId="0" xfId="1" applyNumberFormat="1" applyFont="1" applyAlignment="1">
      <alignment horizontal="left" indent="2"/>
    </xf>
    <xf numFmtId="0" fontId="19" fillId="0" borderId="0" xfId="0" applyFont="1" applyAlignment="1">
      <alignment horizontal="left" indent="2"/>
    </xf>
    <xf numFmtId="166" fontId="19" fillId="0" borderId="0" xfId="1" applyNumberFormat="1" applyFont="1" applyAlignment="1">
      <alignment horizontal="left" indent="2"/>
    </xf>
    <xf numFmtId="0" fontId="17" fillId="0" borderId="0" xfId="0" applyFont="1" applyAlignment="1">
      <alignment horizontal="left" vertical="top" wrapText="1"/>
    </xf>
    <xf numFmtId="0" fontId="11" fillId="10" borderId="0" xfId="0" applyFont="1" applyFill="1" applyAlignment="1">
      <alignment horizontal="center" vertical="center"/>
    </xf>
    <xf numFmtId="0" fontId="11" fillId="11" borderId="0" xfId="0" applyFont="1" applyFill="1" applyAlignment="1">
      <alignment horizontal="center" vertical="center"/>
    </xf>
    <xf numFmtId="0" fontId="11" fillId="12" borderId="0" xfId="0" applyFont="1" applyFill="1" applyAlignment="1">
      <alignment horizontal="center" vertical="center"/>
    </xf>
    <xf numFmtId="0" fontId="4" fillId="2" borderId="0" xfId="0" applyFont="1" applyFill="1" applyAlignment="1">
      <alignment horizontal="center" vertical="center"/>
    </xf>
    <xf numFmtId="0" fontId="8" fillId="0" borderId="0" xfId="0" applyFont="1" applyAlignment="1">
      <alignment horizontal="left" vertical="top" wrapText="1"/>
    </xf>
    <xf numFmtId="0" fontId="8" fillId="0" borderId="0" xfId="0" applyFont="1" applyAlignment="1">
      <alignment horizontal="left" vertical="top"/>
    </xf>
    <xf numFmtId="0" fontId="11" fillId="2" borderId="0" xfId="0" applyFont="1" applyFill="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7" fillId="8" borderId="9" xfId="0" applyFont="1" applyFill="1" applyBorder="1" applyAlignment="1">
      <alignment horizontal="center" vertical="center"/>
    </xf>
    <xf numFmtId="0" fontId="9" fillId="0" borderId="0" xfId="0" applyFont="1" applyAlignment="1">
      <alignment horizontal="right" vertical="center" indent="1"/>
    </xf>
    <xf numFmtId="167" fontId="7" fillId="8" borderId="9" xfId="0" applyNumberFormat="1" applyFont="1" applyFill="1" applyBorder="1" applyAlignment="1">
      <alignment horizontal="center" vertical="center"/>
    </xf>
    <xf numFmtId="165" fontId="0" fillId="0" borderId="19" xfId="0" applyNumberFormat="1" applyBorder="1" applyAlignment="1">
      <alignment horizontal="center" vertical="center"/>
    </xf>
    <xf numFmtId="165" fontId="0" fillId="0" borderId="0" xfId="0" applyNumberFormat="1" applyAlignment="1">
      <alignment horizontal="center" vertical="center"/>
    </xf>
    <xf numFmtId="165" fontId="0" fillId="0" borderId="16" xfId="0" applyNumberFormat="1" applyBorder="1" applyAlignment="1">
      <alignment horizontal="center" vertical="center"/>
    </xf>
    <xf numFmtId="0" fontId="23" fillId="2" borderId="0" xfId="0" applyFont="1" applyFill="1" applyAlignment="1">
      <alignment horizontal="left" vertical="center" indent="1"/>
    </xf>
    <xf numFmtId="0" fontId="18" fillId="9" borderId="0" xfId="0" applyFont="1" applyFill="1" applyAlignment="1">
      <alignment horizontal="center" vertical="center"/>
    </xf>
  </cellXfs>
  <cellStyles count="4">
    <cellStyle name="Comma" xfId="1" builtinId="3"/>
    <cellStyle name="Hyperlink" xfId="3" builtinId="8"/>
    <cellStyle name="Normal" xfId="0" builtinId="0"/>
    <cellStyle name="Per cent" xfId="2" builtinId="5"/>
  </cellStyles>
  <dxfs count="67">
    <dxf>
      <fill>
        <patternFill>
          <bgColor theme="0" tint="-4.9989318521683403E-2"/>
        </patternFill>
      </fill>
    </dxf>
    <dxf>
      <fill>
        <patternFill>
          <bgColor theme="8" tint="0.79998168889431442"/>
        </patternFill>
      </fill>
    </dxf>
    <dxf>
      <fill>
        <patternFill>
          <bgColor theme="8" tint="0.59996337778862885"/>
        </patternFill>
      </fill>
    </dxf>
    <dxf>
      <fill>
        <patternFill>
          <bgColor theme="8" tint="0.39994506668294322"/>
        </patternFill>
      </fill>
    </dxf>
    <dxf>
      <fill>
        <patternFill>
          <bgColor theme="8"/>
        </patternFill>
      </fill>
    </dxf>
    <dxf>
      <fill>
        <patternFill>
          <bgColor theme="8" tint="-0.24994659260841701"/>
        </patternFill>
      </fill>
    </dxf>
    <dxf>
      <fill>
        <patternFill>
          <bgColor theme="0" tint="-4.9989318521683403E-2"/>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patternFill>
      </fill>
    </dxf>
    <dxf>
      <fill>
        <patternFill>
          <bgColor theme="5" tint="-0.24994659260841701"/>
        </patternFill>
      </fill>
    </dxf>
    <dxf>
      <fill>
        <patternFill>
          <bgColor theme="0" tint="-4.9989318521683403E-2"/>
        </patternFill>
      </fill>
    </dxf>
    <dxf>
      <fill>
        <patternFill>
          <bgColor theme="2" tint="0.79998168889431442"/>
        </patternFill>
      </fill>
    </dxf>
    <dxf>
      <fill>
        <patternFill>
          <bgColor theme="2" tint="0.59996337778862885"/>
        </patternFill>
      </fill>
    </dxf>
    <dxf>
      <fill>
        <patternFill>
          <bgColor theme="2" tint="0.39994506668294322"/>
        </patternFill>
      </fill>
    </dxf>
    <dxf>
      <fill>
        <patternFill>
          <bgColor theme="2"/>
        </patternFill>
      </fill>
    </dxf>
    <dxf>
      <fill>
        <patternFill>
          <bgColor theme="2" tint="-0.24994659260841701"/>
        </patternFill>
      </fill>
    </dxf>
    <dxf>
      <fill>
        <patternFill>
          <bgColor theme="8" tint="0.39994506668294322"/>
        </patternFill>
      </fill>
    </dxf>
    <dxf>
      <fill>
        <patternFill>
          <bgColor theme="5" tint="0.39994506668294322"/>
        </patternFill>
      </fill>
    </dxf>
    <dxf>
      <fill>
        <patternFill>
          <bgColor theme="2" tint="0.39994506668294322"/>
        </patternFill>
      </fill>
    </dxf>
    <dxf>
      <font>
        <b/>
        <i val="0"/>
      </font>
      <border>
        <top style="thin">
          <color auto="1"/>
        </top>
        <vertical/>
        <horizontal/>
      </border>
    </dxf>
    <dxf>
      <font>
        <b/>
        <i val="0"/>
        <color theme="0"/>
      </font>
      <fill>
        <patternFill>
          <bgColor theme="8"/>
        </patternFill>
      </fill>
    </dxf>
    <dxf>
      <font>
        <b/>
        <i val="0"/>
        <color theme="0"/>
      </font>
      <fill>
        <patternFill>
          <bgColor theme="5"/>
        </patternFill>
      </fill>
    </dxf>
    <dxf>
      <font>
        <b/>
        <i val="0"/>
        <color theme="0"/>
      </font>
      <fill>
        <patternFill>
          <bgColor theme="2" tint="-0.24994659260841701"/>
        </patternFill>
      </fill>
    </dxf>
    <dxf>
      <font>
        <color theme="0" tint="-0.499984740745262"/>
      </font>
      <numFmt numFmtId="173" formatCode="\➜\ d\-mmm\-yy"/>
    </dxf>
    <dxf>
      <font>
        <b/>
        <i val="0"/>
        <color theme="2" tint="-0.24994659260841701"/>
      </font>
      <numFmt numFmtId="5" formatCode="#,##0_);\(#,##0\)"/>
    </dxf>
    <dxf>
      <font>
        <b/>
        <i val="0"/>
        <color theme="2" tint="-0.24994659260841701"/>
      </font>
      <numFmt numFmtId="5" formatCode="#,##0_);\(#,##0\)"/>
    </dxf>
    <dxf>
      <font>
        <color rgb="FFFF0000"/>
      </font>
    </dxf>
    <dxf>
      <font>
        <color rgb="FF000000"/>
      </font>
      <fill>
        <patternFill>
          <bgColor theme="2" tint="0.79998168889431442"/>
        </patternFill>
      </fill>
    </dxf>
    <dxf>
      <font>
        <color rgb="FF000000"/>
      </font>
      <fill>
        <patternFill>
          <bgColor theme="2" tint="0.79998168889431442"/>
        </patternFill>
      </fill>
    </dxf>
    <dxf>
      <font>
        <color rgb="FF000000"/>
      </font>
      <fill>
        <patternFill>
          <bgColor theme="2" tint="0.79998168889431442"/>
        </patternFill>
      </fill>
    </dxf>
    <dxf>
      <font>
        <color rgb="FFFF0000"/>
      </font>
    </dxf>
    <dxf>
      <font>
        <color theme="2" tint="-0.24994659260841701"/>
      </font>
    </dxf>
    <dxf>
      <font>
        <color theme="0" tint="-0.24994659260841701"/>
      </font>
    </dxf>
    <dxf>
      <font>
        <color rgb="FF000000"/>
      </font>
      <fill>
        <patternFill>
          <bgColor theme="8" tint="0.79998168889431442"/>
        </patternFill>
      </fill>
    </dxf>
    <dxf>
      <font>
        <color rgb="FF000000"/>
      </font>
      <fill>
        <patternFill>
          <bgColor theme="5" tint="0.79998168889431442"/>
        </patternFill>
      </fill>
    </dxf>
    <dxf>
      <font>
        <color theme="0" tint="-0.24994659260841701"/>
      </font>
      <fill>
        <patternFill>
          <bgColor theme="0" tint="-4.9989318521683403E-2"/>
        </patternFill>
      </fill>
    </dxf>
    <dxf>
      <numFmt numFmtId="170" formatCode="#,##0.00\ [$EUR]"/>
    </dxf>
    <dxf>
      <font>
        <b/>
        <i val="0"/>
        <strike val="0"/>
        <condense val="0"/>
        <extend val="0"/>
        <outline val="0"/>
        <shadow val="0"/>
        <u val="none"/>
        <vertAlign val="baseline"/>
        <sz val="11"/>
        <color theme="1"/>
        <name val="Calibri"/>
        <family val="2"/>
        <scheme val="minor"/>
      </font>
    </dxf>
    <dxf>
      <font>
        <strike val="0"/>
        <outline val="0"/>
        <shadow val="0"/>
        <u val="none"/>
        <vertAlign val="baseline"/>
        <sz val="10"/>
        <color theme="0" tint="-0.14999847407452621"/>
        <name val="Calibri"/>
        <family val="2"/>
        <scheme val="minor"/>
      </font>
      <numFmt numFmtId="169" formatCode="d\-mmm\-yy"/>
      <alignment horizontal="right" vertical="bottom" textRotation="0" wrapText="0" indent="1" justifyLastLine="0" shrinkToFit="0" readingOrder="0"/>
    </dxf>
    <dxf>
      <font>
        <strike val="0"/>
        <outline val="0"/>
        <shadow val="0"/>
        <u val="none"/>
        <vertAlign val="baseline"/>
        <sz val="10"/>
        <color theme="0" tint="-0.499984740745262"/>
        <name val="Calibri"/>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0" tint="-0.499984740745262"/>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font>
        <strike val="0"/>
        <outline val="0"/>
        <shadow val="0"/>
        <u val="none"/>
        <vertAlign val="baseline"/>
        <sz val="10"/>
        <color theme="1"/>
        <name val="Calibri"/>
        <family val="2"/>
        <scheme val="minor"/>
      </font>
      <numFmt numFmtId="169" formatCode="d\-mmm\-yy"/>
      <alignment horizontal="left" vertical="bottom" textRotation="0" wrapText="0" relativeIndent="1" justifyLastLine="0" shrinkToFit="0" readingOrder="0"/>
    </dxf>
    <dxf>
      <font>
        <strike val="0"/>
        <outline val="0"/>
        <shadow val="0"/>
        <u val="none"/>
        <vertAlign val="baseline"/>
        <sz val="10"/>
        <color theme="1"/>
        <name val="Calibri"/>
        <family val="2"/>
        <scheme val="minor"/>
      </font>
      <alignment horizontal="left" vertical="bottom" textRotation="0" wrapText="0" relativeIndent="1" justifyLastLine="0" shrinkToFit="0" readingOrder="0"/>
    </dxf>
    <dxf>
      <alignment horizontal="left" vertical="center" textRotation="0" wrapText="0" relative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ill>
        <patternFill>
          <bgColor theme="0" tint="-4.9989318521683403E-2"/>
        </patternFill>
      </fill>
    </dxf>
    <dxf>
      <font>
        <b/>
        <i val="0"/>
        <color theme="0"/>
      </font>
      <fill>
        <patternFill>
          <bgColor theme="1"/>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bgColor theme="8"/>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theme="2" tint="-0.24994659260841701"/>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theme="5"/>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pivot="0" count="2" xr9:uid="{9002A8A2-A663-4FC8-A498-439DC8E39643}">
      <tableStyleElement type="wholeTable" dxfId="66"/>
      <tableStyleElement type="headerRow" dxfId="65"/>
    </tableStyle>
    <tableStyle name="Income Table Style" pivot="0" count="2" xr9:uid="{1B3668A9-FD98-4088-BE71-37F23AEC40A6}">
      <tableStyleElement type="wholeTable" dxfId="64"/>
      <tableStyleElement type="headerRow" dxfId="63"/>
    </tableStyle>
    <tableStyle name="Savings Table Style" pivot="0" count="2" xr9:uid="{B19C97DC-EF0C-411D-BC5E-8F8E6F8FFB6D}">
      <tableStyleElement type="wholeTable" dxfId="62"/>
      <tableStyleElement type="headerRow" dxfId="61"/>
    </tableStyle>
    <tableStyle name="Tracking Table Style" pivot="0" count="3" xr9:uid="{285C8816-CF21-406C-9B70-6DD7B87B8FF9}">
      <tableStyleElement type="wholeTable" dxfId="60"/>
      <tableStyleElement type="headerRow" dxfId="59"/>
      <tableStyleElement type="firstRowStripe" dxfId="58"/>
    </tableStyle>
  </tableStyles>
  <colors>
    <mruColors>
      <color rgb="FF000000"/>
      <color rgb="FFD3D3D3"/>
      <color rgb="FFE0E0E0"/>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8C06-4B23-903B-2B1F440B052A}"/>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8C06-4B23-903B-2B1F440B052A}"/>
              </c:ext>
            </c:extLst>
          </c:dPt>
          <c:dPt>
            <c:idx val="2"/>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5-8C06-4B23-903B-2B1F440B052A}"/>
              </c:ext>
            </c:extLst>
          </c:dPt>
          <c:dPt>
            <c:idx val="3"/>
            <c:bubble3D val="0"/>
            <c:spPr>
              <a:solidFill>
                <a:schemeClr val="bg2">
                  <a:lumMod val="40000"/>
                  <a:lumOff val="60000"/>
                </a:schemeClr>
              </a:solidFill>
              <a:ln w="19050">
                <a:solidFill>
                  <a:schemeClr val="lt1"/>
                </a:solidFill>
              </a:ln>
              <a:effectLst/>
            </c:spPr>
            <c:extLst>
              <c:ext xmlns:c16="http://schemas.microsoft.com/office/drawing/2014/chart" uri="{C3380CC4-5D6E-409C-BE32-E72D297353CC}">
                <c16:uniqueId val="{00000007-8C06-4B23-903B-2B1F440B052A}"/>
              </c:ext>
            </c:extLst>
          </c:dPt>
          <c:dPt>
            <c:idx val="4"/>
            <c:bubble3D val="0"/>
            <c:spPr>
              <a:solidFill>
                <a:schemeClr val="bg2">
                  <a:lumMod val="20000"/>
                  <a:lumOff val="80000"/>
                </a:schemeClr>
              </a:solidFill>
              <a:ln w="19050">
                <a:solidFill>
                  <a:schemeClr val="lt1"/>
                </a:solidFill>
              </a:ln>
              <a:effectLst/>
            </c:spPr>
            <c:extLst>
              <c:ext xmlns:c16="http://schemas.microsoft.com/office/drawing/2014/chart" uri="{C3380CC4-5D6E-409C-BE32-E72D297353CC}">
                <c16:uniqueId val="{00000009-8C06-4B23-903B-2B1F440B052A}"/>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8C06-4B23-903B-2B1F440B052A}"/>
              </c:ext>
            </c:extLst>
          </c:dPt>
          <c:cat>
            <c:strRef>
              <c:f>Calculations!$E$35:$E$40</c:f>
              <c:strCache>
                <c:ptCount val="2"/>
                <c:pt idx="0">
                  <c:v>Salary Ivo</c:v>
                </c:pt>
                <c:pt idx="1">
                  <c:v>Rent</c:v>
                </c:pt>
              </c:strCache>
            </c:strRef>
          </c:cat>
          <c:val>
            <c:numRef>
              <c:f>Calculations!$F$35:$F$40</c:f>
              <c:numCache>
                <c:formatCode>_(* #\ ##0_);_(* \(#\ ##0\);_(* "-"??_);_(@_)</c:formatCode>
                <c:ptCount val="6"/>
                <c:pt idx="0">
                  <c:v>7700</c:v>
                </c:pt>
                <c:pt idx="1">
                  <c:v>250</c:v>
                </c:pt>
                <c:pt idx="2">
                  <c:v>0</c:v>
                </c:pt>
                <c:pt idx="3">
                  <c:v>0</c:v>
                </c:pt>
                <c:pt idx="4">
                  <c:v>0</c:v>
                </c:pt>
                <c:pt idx="5">
                  <c:v>0</c:v>
                </c:pt>
              </c:numCache>
            </c:numRef>
          </c:val>
          <c:extLst>
            <c:ext xmlns:c16="http://schemas.microsoft.com/office/drawing/2014/chart" uri="{C3380CC4-5D6E-409C-BE32-E72D297353CC}">
              <c16:uniqueId val="{0000000C-8C06-4B23-903B-2B1F440B052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215-4409-A2DF-C1949F2CD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15-4409-A2DF-C1949F2CD13B}"/>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4215-4409-A2DF-C1949F2CD13B}"/>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4215-4409-A2DF-C1949F2CD13B}"/>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4215-4409-A2DF-C1949F2CD13B}"/>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4215-4409-A2DF-C1949F2CD13B}"/>
              </c:ext>
            </c:extLst>
          </c:dPt>
          <c:val>
            <c:numRef>
              <c:f>Calculations!$J$35:$J$40</c:f>
              <c:numCache>
                <c:formatCode>_(* #\ ##0_);_(* \(#\ ##0\);_(* "-"??_);_(@_)</c:formatCode>
                <c:ptCount val="6"/>
                <c:pt idx="0">
                  <c:v>4198</c:v>
                </c:pt>
                <c:pt idx="1">
                  <c:v>3717</c:v>
                </c:pt>
                <c:pt idx="2">
                  <c:v>3215</c:v>
                </c:pt>
                <c:pt idx="3">
                  <c:v>634</c:v>
                </c:pt>
                <c:pt idx="4">
                  <c:v>614</c:v>
                </c:pt>
                <c:pt idx="5">
                  <c:v>1982</c:v>
                </c:pt>
              </c:numCache>
            </c:numRef>
          </c:val>
          <c:extLst>
            <c:ext xmlns:c15="http://schemas.microsoft.com/office/drawing/2012/chart" uri="{02D57815-91ED-43cb-92C2-25804820EDAC}">
              <c15:filteredCategoryTitle>
                <c15:cat>
                  <c:strRef>
                    <c:extLst>
                      <c:ext uri="{02D57815-91ED-43cb-92C2-25804820EDAC}">
                        <c15:formulaRef>
                          <c15:sqref>Calculations!$I$35:$I$40</c15:sqref>
                        </c15:formulaRef>
                      </c:ext>
                    </c:extLst>
                    <c:strCache>
                      <c:ptCount val="6"/>
                      <c:pt idx="0">
                        <c:v>Home improvements</c:v>
                      </c:pt>
                      <c:pt idx="1">
                        <c:v>Medical</c:v>
                      </c:pt>
                      <c:pt idx="2">
                        <c:v>Mortgage</c:v>
                      </c:pt>
                      <c:pt idx="3">
                        <c:v>Groceries</c:v>
                      </c:pt>
                      <c:pt idx="4">
                        <c:v>Baby</c:v>
                      </c:pt>
                      <c:pt idx="5">
                        <c:v>Other</c:v>
                      </c:pt>
                    </c:strCache>
                  </c:strRef>
                </c15:cat>
              </c15:filteredCategoryTitle>
            </c:ext>
            <c:ext xmlns:c16="http://schemas.microsoft.com/office/drawing/2014/chart" uri="{C3380CC4-5D6E-409C-BE32-E72D297353CC}">
              <c16:uniqueId val="{0000000C-4215-4409-A2DF-C1949F2CD1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DC2-4A44-A83C-D372922E1F3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DC2-4A44-A83C-D372922E1F38}"/>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DC2-4A44-A83C-D372922E1F38}"/>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2DC2-4A44-A83C-D372922E1F38}"/>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2DC2-4A44-A83C-D372922E1F38}"/>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2DC2-4A44-A83C-D372922E1F38}"/>
              </c:ext>
            </c:extLst>
          </c:dPt>
          <c:cat>
            <c:strRef>
              <c:f>Calculations!$M$35:$M$40</c:f>
              <c:strCache>
                <c:ptCount val="1"/>
                <c:pt idx="0">
                  <c:v>Metlife</c:v>
                </c:pt>
              </c:strCache>
            </c:strRef>
          </c:cat>
          <c:val>
            <c:numRef>
              <c:f>Calculations!$N$35:$N$40</c:f>
              <c:numCache>
                <c:formatCode>_(* #\ ##0_);_(* \(#\ ##0\);_(* "-"??_);_(@_)</c:formatCode>
                <c:ptCount val="6"/>
                <c:pt idx="0">
                  <c:v>78</c:v>
                </c:pt>
                <c:pt idx="1">
                  <c:v>0</c:v>
                </c:pt>
                <c:pt idx="2">
                  <c:v>0</c:v>
                </c:pt>
                <c:pt idx="3">
                  <c:v>0</c:v>
                </c:pt>
                <c:pt idx="4">
                  <c:v>0</c:v>
                </c:pt>
                <c:pt idx="5">
                  <c:v>0</c:v>
                </c:pt>
              </c:numCache>
            </c:numRef>
          </c:val>
          <c:extLst>
            <c:ext xmlns:c16="http://schemas.microsoft.com/office/drawing/2014/chart" uri="{C3380CC4-5D6E-409C-BE32-E72D297353CC}">
              <c16:uniqueId val="{0000000C-2DC2-4A44-A83C-D372922E1F3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bg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7156-4A8A-B4C1-0B69A3836B88}"/>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7156-4A8A-B4C1-0B69A3836B88}"/>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7156-4A8A-B4C1-0B69A3836B88}"/>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7156-4A8A-B4C1-0B69A3836B8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9-7156-4A8A-B4C1-0B69A3836B88}"/>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B-7156-4A8A-B4C1-0B69A3836B88}"/>
              </c:ext>
            </c:extLst>
          </c:dPt>
          <c:dPt>
            <c:idx val="13"/>
            <c:invertIfNegative val="0"/>
            <c:bubble3D val="0"/>
            <c:spPr>
              <a:solidFill>
                <a:schemeClr val="accent2"/>
              </a:solidFill>
              <a:ln>
                <a:noFill/>
              </a:ln>
              <a:effectLst/>
            </c:spPr>
            <c:extLst>
              <c:ext xmlns:c16="http://schemas.microsoft.com/office/drawing/2014/chart" uri="{C3380CC4-5D6E-409C-BE32-E72D297353CC}">
                <c16:uniqueId val="{0000000D-7156-4A8A-B4C1-0B69A3836B88}"/>
              </c:ext>
            </c:extLst>
          </c:dPt>
          <c:dPt>
            <c:idx val="14"/>
            <c:invertIfNegative val="0"/>
            <c:bubble3D val="0"/>
            <c:spPr>
              <a:solidFill>
                <a:schemeClr val="accent5"/>
              </a:solidFill>
              <a:ln>
                <a:noFill/>
              </a:ln>
              <a:effectLst/>
            </c:spPr>
            <c:extLst>
              <c:ext xmlns:c16="http://schemas.microsoft.com/office/drawing/2014/chart" uri="{C3380CC4-5D6E-409C-BE32-E72D297353CC}">
                <c16:uniqueId val="{0000000F-7156-4A8A-B4C1-0B69A3836B88}"/>
              </c:ext>
            </c:extLst>
          </c:dPt>
          <c:dPt>
            <c:idx val="17"/>
            <c:invertIfNegative val="0"/>
            <c:bubble3D val="0"/>
            <c:spPr>
              <a:solidFill>
                <a:schemeClr val="accent2"/>
              </a:solidFill>
              <a:ln>
                <a:noFill/>
              </a:ln>
              <a:effectLst/>
            </c:spPr>
            <c:extLst>
              <c:ext xmlns:c16="http://schemas.microsoft.com/office/drawing/2014/chart" uri="{C3380CC4-5D6E-409C-BE32-E72D297353CC}">
                <c16:uniqueId val="{00000011-7156-4A8A-B4C1-0B69A3836B88}"/>
              </c:ext>
            </c:extLst>
          </c:dPt>
          <c:dPt>
            <c:idx val="18"/>
            <c:invertIfNegative val="0"/>
            <c:bubble3D val="0"/>
            <c:spPr>
              <a:solidFill>
                <a:schemeClr val="accent5"/>
              </a:solidFill>
              <a:ln>
                <a:noFill/>
              </a:ln>
              <a:effectLst/>
            </c:spPr>
            <c:extLst>
              <c:ext xmlns:c16="http://schemas.microsoft.com/office/drawing/2014/chart" uri="{C3380CC4-5D6E-409C-BE32-E72D297353CC}">
                <c16:uniqueId val="{00000013-7156-4A8A-B4C1-0B69A3836B88}"/>
              </c:ext>
            </c:extLst>
          </c:dPt>
          <c:dPt>
            <c:idx val="21"/>
            <c:invertIfNegative val="0"/>
            <c:bubble3D val="0"/>
            <c:spPr>
              <a:solidFill>
                <a:schemeClr val="accent2"/>
              </a:solidFill>
              <a:ln>
                <a:noFill/>
              </a:ln>
              <a:effectLst/>
            </c:spPr>
            <c:extLst>
              <c:ext xmlns:c16="http://schemas.microsoft.com/office/drawing/2014/chart" uri="{C3380CC4-5D6E-409C-BE32-E72D297353CC}">
                <c16:uniqueId val="{00000015-7156-4A8A-B4C1-0B69A3836B88}"/>
              </c:ext>
            </c:extLst>
          </c:dPt>
          <c:dPt>
            <c:idx val="22"/>
            <c:invertIfNegative val="0"/>
            <c:bubble3D val="0"/>
            <c:spPr>
              <a:solidFill>
                <a:schemeClr val="accent5"/>
              </a:solidFill>
              <a:ln>
                <a:noFill/>
              </a:ln>
              <a:effectLst/>
            </c:spPr>
            <c:extLst>
              <c:ext xmlns:c16="http://schemas.microsoft.com/office/drawing/2014/chart" uri="{C3380CC4-5D6E-409C-BE32-E72D297353CC}">
                <c16:uniqueId val="{00000017-7156-4A8A-B4C1-0B69A3836B88}"/>
              </c:ext>
            </c:extLst>
          </c:dPt>
          <c:dPt>
            <c:idx val="25"/>
            <c:invertIfNegative val="0"/>
            <c:bubble3D val="0"/>
            <c:spPr>
              <a:solidFill>
                <a:schemeClr val="accent2"/>
              </a:solidFill>
              <a:ln>
                <a:noFill/>
              </a:ln>
              <a:effectLst/>
            </c:spPr>
            <c:extLst>
              <c:ext xmlns:c16="http://schemas.microsoft.com/office/drawing/2014/chart" uri="{C3380CC4-5D6E-409C-BE32-E72D297353CC}">
                <c16:uniqueId val="{00000019-7156-4A8A-B4C1-0B69A3836B88}"/>
              </c:ext>
            </c:extLst>
          </c:dPt>
          <c:dPt>
            <c:idx val="26"/>
            <c:invertIfNegative val="0"/>
            <c:bubble3D val="0"/>
            <c:spPr>
              <a:solidFill>
                <a:schemeClr val="accent5"/>
              </a:solidFill>
              <a:ln>
                <a:noFill/>
              </a:ln>
              <a:effectLst/>
            </c:spPr>
            <c:extLst>
              <c:ext xmlns:c16="http://schemas.microsoft.com/office/drawing/2014/chart" uri="{C3380CC4-5D6E-409C-BE32-E72D297353CC}">
                <c16:uniqueId val="{0000001B-7156-4A8A-B4C1-0B69A3836B88}"/>
              </c:ext>
            </c:extLst>
          </c:dPt>
          <c:dPt>
            <c:idx val="29"/>
            <c:invertIfNegative val="0"/>
            <c:bubble3D val="0"/>
            <c:spPr>
              <a:solidFill>
                <a:schemeClr val="accent2"/>
              </a:solidFill>
              <a:ln>
                <a:noFill/>
              </a:ln>
              <a:effectLst/>
            </c:spPr>
            <c:extLst>
              <c:ext xmlns:c16="http://schemas.microsoft.com/office/drawing/2014/chart" uri="{C3380CC4-5D6E-409C-BE32-E72D297353CC}">
                <c16:uniqueId val="{0000001D-7156-4A8A-B4C1-0B69A3836B88}"/>
              </c:ext>
            </c:extLst>
          </c:dPt>
          <c:dPt>
            <c:idx val="30"/>
            <c:invertIfNegative val="0"/>
            <c:bubble3D val="0"/>
            <c:spPr>
              <a:solidFill>
                <a:schemeClr val="accent5"/>
              </a:solidFill>
              <a:ln>
                <a:noFill/>
              </a:ln>
              <a:effectLst/>
            </c:spPr>
            <c:extLst>
              <c:ext xmlns:c16="http://schemas.microsoft.com/office/drawing/2014/chart" uri="{C3380CC4-5D6E-409C-BE32-E72D297353CC}">
                <c16:uniqueId val="{0000001F-7156-4A8A-B4C1-0B69A3836B88}"/>
              </c:ext>
            </c:extLst>
          </c:dPt>
          <c:dPt>
            <c:idx val="33"/>
            <c:invertIfNegative val="0"/>
            <c:bubble3D val="0"/>
            <c:spPr>
              <a:solidFill>
                <a:schemeClr val="accent2"/>
              </a:solidFill>
              <a:ln>
                <a:noFill/>
              </a:ln>
              <a:effectLst/>
            </c:spPr>
            <c:extLst>
              <c:ext xmlns:c16="http://schemas.microsoft.com/office/drawing/2014/chart" uri="{C3380CC4-5D6E-409C-BE32-E72D297353CC}">
                <c16:uniqueId val="{00000021-7156-4A8A-B4C1-0B69A3836B88}"/>
              </c:ext>
            </c:extLst>
          </c:dPt>
          <c:dPt>
            <c:idx val="34"/>
            <c:invertIfNegative val="0"/>
            <c:bubble3D val="0"/>
            <c:spPr>
              <a:solidFill>
                <a:schemeClr val="accent5"/>
              </a:solidFill>
              <a:ln>
                <a:noFill/>
              </a:ln>
              <a:effectLst/>
            </c:spPr>
            <c:extLst>
              <c:ext xmlns:c16="http://schemas.microsoft.com/office/drawing/2014/chart" uri="{C3380CC4-5D6E-409C-BE32-E72D297353CC}">
                <c16:uniqueId val="{00000023-7156-4A8A-B4C1-0B69A3836B88}"/>
              </c:ext>
            </c:extLst>
          </c:dPt>
          <c:dPt>
            <c:idx val="37"/>
            <c:invertIfNegative val="0"/>
            <c:bubble3D val="0"/>
            <c:spPr>
              <a:solidFill>
                <a:schemeClr val="accent2"/>
              </a:solidFill>
              <a:ln>
                <a:noFill/>
              </a:ln>
              <a:effectLst/>
            </c:spPr>
            <c:extLst>
              <c:ext xmlns:c16="http://schemas.microsoft.com/office/drawing/2014/chart" uri="{C3380CC4-5D6E-409C-BE32-E72D297353CC}">
                <c16:uniqueId val="{00000025-7156-4A8A-B4C1-0B69A3836B88}"/>
              </c:ext>
            </c:extLst>
          </c:dPt>
          <c:dPt>
            <c:idx val="38"/>
            <c:invertIfNegative val="0"/>
            <c:bubble3D val="0"/>
            <c:spPr>
              <a:solidFill>
                <a:schemeClr val="accent5"/>
              </a:solidFill>
              <a:ln>
                <a:noFill/>
              </a:ln>
              <a:effectLst/>
            </c:spPr>
            <c:extLst>
              <c:ext xmlns:c16="http://schemas.microsoft.com/office/drawing/2014/chart" uri="{C3380CC4-5D6E-409C-BE32-E72D297353CC}">
                <c16:uniqueId val="{00000027-7156-4A8A-B4C1-0B69A3836B88}"/>
              </c:ext>
            </c:extLst>
          </c:dPt>
          <c:dPt>
            <c:idx val="41"/>
            <c:invertIfNegative val="0"/>
            <c:bubble3D val="0"/>
            <c:spPr>
              <a:solidFill>
                <a:schemeClr val="accent2"/>
              </a:solidFill>
              <a:ln>
                <a:noFill/>
              </a:ln>
              <a:effectLst/>
            </c:spPr>
            <c:extLst>
              <c:ext xmlns:c16="http://schemas.microsoft.com/office/drawing/2014/chart" uri="{C3380CC4-5D6E-409C-BE32-E72D297353CC}">
                <c16:uniqueId val="{00000029-7156-4A8A-B4C1-0B69A3836B88}"/>
              </c:ext>
            </c:extLst>
          </c:dPt>
          <c:dPt>
            <c:idx val="42"/>
            <c:invertIfNegative val="0"/>
            <c:bubble3D val="0"/>
            <c:spPr>
              <a:solidFill>
                <a:schemeClr val="accent5"/>
              </a:solidFill>
              <a:ln>
                <a:noFill/>
              </a:ln>
              <a:effectLst/>
            </c:spPr>
            <c:extLst>
              <c:ext xmlns:c16="http://schemas.microsoft.com/office/drawing/2014/chart" uri="{C3380CC4-5D6E-409C-BE32-E72D297353CC}">
                <c16:uniqueId val="{0000002B-7156-4A8A-B4C1-0B69A3836B88}"/>
              </c:ext>
            </c:extLst>
          </c:dPt>
          <c:dPt>
            <c:idx val="45"/>
            <c:invertIfNegative val="0"/>
            <c:bubble3D val="0"/>
            <c:spPr>
              <a:solidFill>
                <a:schemeClr val="accent2"/>
              </a:solidFill>
              <a:ln>
                <a:noFill/>
              </a:ln>
              <a:effectLst/>
            </c:spPr>
            <c:extLst>
              <c:ext xmlns:c16="http://schemas.microsoft.com/office/drawing/2014/chart" uri="{C3380CC4-5D6E-409C-BE32-E72D297353CC}">
                <c16:uniqueId val="{0000002D-7156-4A8A-B4C1-0B69A3836B88}"/>
              </c:ext>
            </c:extLst>
          </c:dPt>
          <c:dPt>
            <c:idx val="46"/>
            <c:invertIfNegative val="0"/>
            <c:bubble3D val="0"/>
            <c:spPr>
              <a:solidFill>
                <a:schemeClr val="accent5"/>
              </a:solidFill>
              <a:ln>
                <a:noFill/>
              </a:ln>
              <a:effectLst/>
            </c:spPr>
            <c:extLst>
              <c:ext xmlns:c16="http://schemas.microsoft.com/office/drawing/2014/chart" uri="{C3380CC4-5D6E-409C-BE32-E72D297353CC}">
                <c16:uniqueId val="{0000002F-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Calculations!$M$55:$M$102</c:f>
              <c:numCache>
                <c:formatCode>_(* #\ ##0_);_(* \(#\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7950</c:v>
                </c:pt>
                <c:pt idx="37">
                  <c:v>6745</c:v>
                </c:pt>
                <c:pt idx="38">
                  <c:v>78</c:v>
                </c:pt>
                <c:pt idx="40">
                  <c:v>0</c:v>
                </c:pt>
                <c:pt idx="41">
                  <c:v>0</c:v>
                </c:pt>
                <c:pt idx="42">
                  <c:v>0</c:v>
                </c:pt>
                <c:pt idx="44">
                  <c:v>0</c:v>
                </c:pt>
                <c:pt idx="45">
                  <c:v>0</c:v>
                </c:pt>
                <c:pt idx="46">
                  <c:v>0</c:v>
                </c:pt>
              </c:numCache>
            </c:numRef>
          </c:val>
          <c:extLst>
            <c:ext xmlns:c16="http://schemas.microsoft.com/office/drawing/2014/chart" uri="{C3380CC4-5D6E-409C-BE32-E72D297353CC}">
              <c16:uniqueId val="{00000030-7156-4A8A-B4C1-0B69A3836B88}"/>
            </c:ext>
          </c:extLst>
        </c:ser>
        <c:ser>
          <c:idx val="1"/>
          <c:order val="1"/>
          <c:spPr>
            <a:solidFill>
              <a:schemeClr val="bg2">
                <a:lumMod val="20000"/>
                <a:lumOff val="80000"/>
              </a:schemeClr>
            </a:solidFill>
            <a:ln>
              <a:noFill/>
            </a:ln>
            <a:effectLst/>
          </c:spPr>
          <c:invertIfNegative val="0"/>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2-7156-4A8A-B4C1-0B69A3836B88}"/>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4-7156-4A8A-B4C1-0B69A3836B88}"/>
              </c:ext>
            </c:extLst>
          </c:dPt>
          <c:dPt>
            <c:idx val="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6-7156-4A8A-B4C1-0B69A3836B88}"/>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8-7156-4A8A-B4C1-0B69A3836B88}"/>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A-7156-4A8A-B4C1-0B69A3836B88}"/>
              </c:ext>
            </c:extLst>
          </c:dPt>
          <c:dPt>
            <c:idx val="1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3C-7156-4A8A-B4C1-0B69A3836B88}"/>
              </c:ext>
            </c:extLst>
          </c:dPt>
          <c:dPt>
            <c:idx val="1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3E-7156-4A8A-B4C1-0B69A3836B88}"/>
              </c:ext>
            </c:extLst>
          </c:dPt>
          <c:dPt>
            <c:idx val="1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0-7156-4A8A-B4C1-0B69A3836B88}"/>
              </c:ext>
            </c:extLst>
          </c:dPt>
          <c:dPt>
            <c:idx val="1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2-7156-4A8A-B4C1-0B69A3836B88}"/>
              </c:ext>
            </c:extLst>
          </c:dPt>
          <c:dPt>
            <c:idx val="1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4-7156-4A8A-B4C1-0B69A3836B88}"/>
              </c:ext>
            </c:extLst>
          </c:dPt>
          <c:dPt>
            <c:idx val="2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6-7156-4A8A-B4C1-0B69A3836B88}"/>
              </c:ext>
            </c:extLst>
          </c:dPt>
          <c:dPt>
            <c:idx val="2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8-7156-4A8A-B4C1-0B69A3836B88}"/>
              </c:ext>
            </c:extLst>
          </c:dPt>
          <c:dPt>
            <c:idx val="2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A-7156-4A8A-B4C1-0B69A3836B88}"/>
              </c:ext>
            </c:extLst>
          </c:dPt>
          <c:dPt>
            <c:idx val="2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4C-7156-4A8A-B4C1-0B69A3836B88}"/>
              </c:ext>
            </c:extLst>
          </c:dPt>
          <c:dPt>
            <c:idx val="2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4E-7156-4A8A-B4C1-0B69A3836B88}"/>
              </c:ext>
            </c:extLst>
          </c:dPt>
          <c:dPt>
            <c:idx val="3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0-7156-4A8A-B4C1-0B69A3836B88}"/>
              </c:ext>
            </c:extLst>
          </c:dPt>
          <c:dPt>
            <c:idx val="3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2-7156-4A8A-B4C1-0B69A3836B88}"/>
              </c:ext>
            </c:extLst>
          </c:dPt>
          <c:dPt>
            <c:idx val="3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4-7156-4A8A-B4C1-0B69A3836B88}"/>
              </c:ext>
            </c:extLst>
          </c:dPt>
          <c:dPt>
            <c:idx val="37"/>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6-7156-4A8A-B4C1-0B69A3836B88}"/>
              </c:ext>
            </c:extLst>
          </c:dPt>
          <c:dPt>
            <c:idx val="3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8-7156-4A8A-B4C1-0B69A3836B88}"/>
              </c:ext>
            </c:extLst>
          </c:dPt>
          <c:dPt>
            <c:idx val="4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A-7156-4A8A-B4C1-0B69A3836B88}"/>
              </c:ext>
            </c:extLst>
          </c:dPt>
          <c:dPt>
            <c:idx val="4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5C-7156-4A8A-B4C1-0B69A3836B88}"/>
              </c:ext>
            </c:extLst>
          </c:dPt>
          <c:dPt>
            <c:idx val="45"/>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5E-7156-4A8A-B4C1-0B69A3836B88}"/>
              </c:ext>
            </c:extLst>
          </c:dPt>
          <c:dPt>
            <c:idx val="4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60-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 ##0_);_(* \(#\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1127</c:v>
                </c:pt>
                <c:pt idx="40">
                  <c:v>0</c:v>
                </c:pt>
                <c:pt idx="41">
                  <c:v>0</c:v>
                </c:pt>
                <c:pt idx="42">
                  <c:v>0</c:v>
                </c:pt>
                <c:pt idx="44">
                  <c:v>0</c:v>
                </c:pt>
                <c:pt idx="45">
                  <c:v>0</c:v>
                </c:pt>
                <c:pt idx="46">
                  <c:v>0</c:v>
                </c:pt>
              </c:numCache>
            </c:numRef>
          </c:val>
          <c:extLst>
            <c:ext xmlns:c16="http://schemas.microsoft.com/office/drawing/2014/chart" uri="{C3380CC4-5D6E-409C-BE32-E72D297353CC}">
              <c16:uniqueId val="{00000061-7156-4A8A-B4C1-0B69A3836B88}"/>
            </c:ext>
          </c:extLst>
        </c:ser>
        <c:ser>
          <c:idx val="2"/>
          <c:order val="2"/>
          <c:spPr>
            <a:solidFill>
              <a:schemeClr val="bg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63-7156-4A8A-B4C1-0B69A3836B88}"/>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65-7156-4A8A-B4C1-0B69A3836B88}"/>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67-7156-4A8A-B4C1-0B69A3836B88}"/>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69-7156-4A8A-B4C1-0B69A3836B88}"/>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6B-7156-4A8A-B4C1-0B69A3836B88}"/>
              </c:ext>
            </c:extLst>
          </c:dPt>
          <c:dPt>
            <c:idx val="10"/>
            <c:invertIfNegative val="0"/>
            <c:bubble3D val="0"/>
            <c:spPr>
              <a:solidFill>
                <a:schemeClr val="accent5">
                  <a:lumMod val="75000"/>
                </a:schemeClr>
              </a:solidFill>
              <a:ln>
                <a:noFill/>
              </a:ln>
              <a:effectLst/>
            </c:spPr>
            <c:extLst>
              <c:ext xmlns:c16="http://schemas.microsoft.com/office/drawing/2014/chart" uri="{C3380CC4-5D6E-409C-BE32-E72D297353CC}">
                <c16:uniqueId val="{0000006D-7156-4A8A-B4C1-0B69A3836B88}"/>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6F-7156-4A8A-B4C1-0B69A3836B88}"/>
              </c:ext>
            </c:extLst>
          </c:dPt>
          <c:dPt>
            <c:idx val="14"/>
            <c:invertIfNegative val="0"/>
            <c:bubble3D val="0"/>
            <c:spPr>
              <a:solidFill>
                <a:schemeClr val="accent5">
                  <a:lumMod val="75000"/>
                </a:schemeClr>
              </a:solidFill>
              <a:ln>
                <a:noFill/>
              </a:ln>
              <a:effectLst/>
            </c:spPr>
            <c:extLst>
              <c:ext xmlns:c16="http://schemas.microsoft.com/office/drawing/2014/chart" uri="{C3380CC4-5D6E-409C-BE32-E72D297353CC}">
                <c16:uniqueId val="{00000071-7156-4A8A-B4C1-0B69A3836B88}"/>
              </c:ext>
            </c:extLst>
          </c:dPt>
          <c:dPt>
            <c:idx val="17"/>
            <c:invertIfNegative val="0"/>
            <c:bubble3D val="0"/>
            <c:spPr>
              <a:solidFill>
                <a:schemeClr val="accent2">
                  <a:lumMod val="75000"/>
                </a:schemeClr>
              </a:solidFill>
              <a:ln>
                <a:noFill/>
              </a:ln>
              <a:effectLst/>
            </c:spPr>
            <c:extLst>
              <c:ext xmlns:c16="http://schemas.microsoft.com/office/drawing/2014/chart" uri="{C3380CC4-5D6E-409C-BE32-E72D297353CC}">
                <c16:uniqueId val="{00000073-7156-4A8A-B4C1-0B69A3836B88}"/>
              </c:ext>
            </c:extLst>
          </c:dPt>
          <c:dPt>
            <c:idx val="18"/>
            <c:invertIfNegative val="0"/>
            <c:bubble3D val="0"/>
            <c:spPr>
              <a:solidFill>
                <a:schemeClr val="accent5">
                  <a:lumMod val="75000"/>
                </a:schemeClr>
              </a:solidFill>
              <a:ln>
                <a:noFill/>
              </a:ln>
              <a:effectLst/>
            </c:spPr>
            <c:extLst>
              <c:ext xmlns:c16="http://schemas.microsoft.com/office/drawing/2014/chart" uri="{C3380CC4-5D6E-409C-BE32-E72D297353CC}">
                <c16:uniqueId val="{00000075-7156-4A8A-B4C1-0B69A3836B88}"/>
              </c:ext>
            </c:extLst>
          </c:dPt>
          <c:dPt>
            <c:idx val="21"/>
            <c:invertIfNegative val="0"/>
            <c:bubble3D val="0"/>
            <c:spPr>
              <a:solidFill>
                <a:schemeClr val="accent2">
                  <a:lumMod val="75000"/>
                </a:schemeClr>
              </a:solidFill>
              <a:ln>
                <a:noFill/>
              </a:ln>
              <a:effectLst/>
            </c:spPr>
            <c:extLst>
              <c:ext xmlns:c16="http://schemas.microsoft.com/office/drawing/2014/chart" uri="{C3380CC4-5D6E-409C-BE32-E72D297353CC}">
                <c16:uniqueId val="{00000077-7156-4A8A-B4C1-0B69A3836B88}"/>
              </c:ext>
            </c:extLst>
          </c:dPt>
          <c:dPt>
            <c:idx val="22"/>
            <c:invertIfNegative val="0"/>
            <c:bubble3D val="0"/>
            <c:spPr>
              <a:solidFill>
                <a:schemeClr val="accent5">
                  <a:lumMod val="75000"/>
                </a:schemeClr>
              </a:solidFill>
              <a:ln>
                <a:noFill/>
              </a:ln>
              <a:effectLst/>
            </c:spPr>
            <c:extLst>
              <c:ext xmlns:c16="http://schemas.microsoft.com/office/drawing/2014/chart" uri="{C3380CC4-5D6E-409C-BE32-E72D297353CC}">
                <c16:uniqueId val="{00000079-7156-4A8A-B4C1-0B69A3836B88}"/>
              </c:ext>
            </c:extLst>
          </c:dPt>
          <c:dPt>
            <c:idx val="25"/>
            <c:invertIfNegative val="0"/>
            <c:bubble3D val="0"/>
            <c:spPr>
              <a:solidFill>
                <a:schemeClr val="accent2">
                  <a:lumMod val="75000"/>
                </a:schemeClr>
              </a:solidFill>
              <a:ln>
                <a:noFill/>
              </a:ln>
              <a:effectLst/>
            </c:spPr>
            <c:extLst>
              <c:ext xmlns:c16="http://schemas.microsoft.com/office/drawing/2014/chart" uri="{C3380CC4-5D6E-409C-BE32-E72D297353CC}">
                <c16:uniqueId val="{0000007B-7156-4A8A-B4C1-0B69A3836B88}"/>
              </c:ext>
            </c:extLst>
          </c:dPt>
          <c:dPt>
            <c:idx val="26"/>
            <c:invertIfNegative val="0"/>
            <c:bubble3D val="0"/>
            <c:spPr>
              <a:solidFill>
                <a:schemeClr val="accent5">
                  <a:lumMod val="75000"/>
                </a:schemeClr>
              </a:solidFill>
              <a:ln>
                <a:noFill/>
              </a:ln>
              <a:effectLst/>
            </c:spPr>
            <c:extLst>
              <c:ext xmlns:c16="http://schemas.microsoft.com/office/drawing/2014/chart" uri="{C3380CC4-5D6E-409C-BE32-E72D297353CC}">
                <c16:uniqueId val="{0000007D-7156-4A8A-B4C1-0B69A3836B88}"/>
              </c:ext>
            </c:extLst>
          </c:dPt>
          <c:dPt>
            <c:idx val="29"/>
            <c:invertIfNegative val="0"/>
            <c:bubble3D val="0"/>
            <c:spPr>
              <a:solidFill>
                <a:schemeClr val="accent2">
                  <a:lumMod val="75000"/>
                </a:schemeClr>
              </a:solidFill>
              <a:ln>
                <a:noFill/>
              </a:ln>
              <a:effectLst/>
            </c:spPr>
            <c:extLst>
              <c:ext xmlns:c16="http://schemas.microsoft.com/office/drawing/2014/chart" uri="{C3380CC4-5D6E-409C-BE32-E72D297353CC}">
                <c16:uniqueId val="{0000007F-7156-4A8A-B4C1-0B69A3836B88}"/>
              </c:ext>
            </c:extLst>
          </c:dPt>
          <c:dPt>
            <c:idx val="30"/>
            <c:invertIfNegative val="0"/>
            <c:bubble3D val="0"/>
            <c:spPr>
              <a:solidFill>
                <a:schemeClr val="accent5">
                  <a:lumMod val="75000"/>
                </a:schemeClr>
              </a:solidFill>
              <a:ln>
                <a:noFill/>
              </a:ln>
              <a:effectLst/>
            </c:spPr>
            <c:extLst>
              <c:ext xmlns:c16="http://schemas.microsoft.com/office/drawing/2014/chart" uri="{C3380CC4-5D6E-409C-BE32-E72D297353CC}">
                <c16:uniqueId val="{00000081-7156-4A8A-B4C1-0B69A3836B88}"/>
              </c:ext>
            </c:extLst>
          </c:dPt>
          <c:dPt>
            <c:idx val="33"/>
            <c:invertIfNegative val="0"/>
            <c:bubble3D val="0"/>
            <c:spPr>
              <a:solidFill>
                <a:schemeClr val="accent2">
                  <a:lumMod val="75000"/>
                </a:schemeClr>
              </a:solidFill>
              <a:ln>
                <a:noFill/>
              </a:ln>
              <a:effectLst/>
            </c:spPr>
            <c:extLst>
              <c:ext xmlns:c16="http://schemas.microsoft.com/office/drawing/2014/chart" uri="{C3380CC4-5D6E-409C-BE32-E72D297353CC}">
                <c16:uniqueId val="{00000083-7156-4A8A-B4C1-0B69A3836B88}"/>
              </c:ext>
            </c:extLst>
          </c:dPt>
          <c:dPt>
            <c:idx val="34"/>
            <c:invertIfNegative val="0"/>
            <c:bubble3D val="0"/>
            <c:spPr>
              <a:solidFill>
                <a:schemeClr val="accent5">
                  <a:lumMod val="75000"/>
                </a:schemeClr>
              </a:solidFill>
              <a:ln>
                <a:noFill/>
              </a:ln>
              <a:effectLst/>
            </c:spPr>
            <c:extLst>
              <c:ext xmlns:c16="http://schemas.microsoft.com/office/drawing/2014/chart" uri="{C3380CC4-5D6E-409C-BE32-E72D297353CC}">
                <c16:uniqueId val="{00000085-7156-4A8A-B4C1-0B69A3836B88}"/>
              </c:ext>
            </c:extLst>
          </c:dPt>
          <c:dPt>
            <c:idx val="37"/>
            <c:invertIfNegative val="0"/>
            <c:bubble3D val="0"/>
            <c:spPr>
              <a:solidFill>
                <a:schemeClr val="accent2">
                  <a:lumMod val="75000"/>
                </a:schemeClr>
              </a:solidFill>
              <a:ln>
                <a:noFill/>
              </a:ln>
              <a:effectLst/>
            </c:spPr>
            <c:extLst>
              <c:ext xmlns:c16="http://schemas.microsoft.com/office/drawing/2014/chart" uri="{C3380CC4-5D6E-409C-BE32-E72D297353CC}">
                <c16:uniqueId val="{00000087-7156-4A8A-B4C1-0B69A3836B88}"/>
              </c:ext>
            </c:extLst>
          </c:dPt>
          <c:dPt>
            <c:idx val="38"/>
            <c:invertIfNegative val="0"/>
            <c:bubble3D val="0"/>
            <c:spPr>
              <a:solidFill>
                <a:schemeClr val="accent5">
                  <a:lumMod val="75000"/>
                </a:schemeClr>
              </a:solidFill>
              <a:ln>
                <a:noFill/>
              </a:ln>
              <a:effectLst/>
            </c:spPr>
            <c:extLst>
              <c:ext xmlns:c16="http://schemas.microsoft.com/office/drawing/2014/chart" uri="{C3380CC4-5D6E-409C-BE32-E72D297353CC}">
                <c16:uniqueId val="{00000089-7156-4A8A-B4C1-0B69A3836B88}"/>
              </c:ext>
            </c:extLst>
          </c:dPt>
          <c:dPt>
            <c:idx val="41"/>
            <c:invertIfNegative val="0"/>
            <c:bubble3D val="0"/>
            <c:spPr>
              <a:solidFill>
                <a:schemeClr val="accent2">
                  <a:lumMod val="75000"/>
                </a:schemeClr>
              </a:solidFill>
              <a:ln>
                <a:noFill/>
              </a:ln>
              <a:effectLst/>
            </c:spPr>
            <c:extLst>
              <c:ext xmlns:c16="http://schemas.microsoft.com/office/drawing/2014/chart" uri="{C3380CC4-5D6E-409C-BE32-E72D297353CC}">
                <c16:uniqueId val="{0000008B-7156-4A8A-B4C1-0B69A3836B88}"/>
              </c:ext>
            </c:extLst>
          </c:dPt>
          <c:dPt>
            <c:idx val="42"/>
            <c:invertIfNegative val="0"/>
            <c:bubble3D val="0"/>
            <c:spPr>
              <a:solidFill>
                <a:schemeClr val="accent5">
                  <a:lumMod val="75000"/>
                </a:schemeClr>
              </a:solidFill>
              <a:ln>
                <a:noFill/>
              </a:ln>
              <a:effectLst/>
            </c:spPr>
            <c:extLst>
              <c:ext xmlns:c16="http://schemas.microsoft.com/office/drawing/2014/chart" uri="{C3380CC4-5D6E-409C-BE32-E72D297353CC}">
                <c16:uniqueId val="{0000008D-7156-4A8A-B4C1-0B69A3836B88}"/>
              </c:ext>
            </c:extLst>
          </c:dPt>
          <c:dPt>
            <c:idx val="45"/>
            <c:invertIfNegative val="0"/>
            <c:bubble3D val="0"/>
            <c:spPr>
              <a:solidFill>
                <a:schemeClr val="accent2">
                  <a:lumMod val="75000"/>
                </a:schemeClr>
              </a:solidFill>
              <a:ln>
                <a:noFill/>
              </a:ln>
              <a:effectLst/>
            </c:spPr>
            <c:extLst>
              <c:ext xmlns:c16="http://schemas.microsoft.com/office/drawing/2014/chart" uri="{C3380CC4-5D6E-409C-BE32-E72D297353CC}">
                <c16:uniqueId val="{0000008F-7156-4A8A-B4C1-0B69A3836B88}"/>
              </c:ext>
            </c:extLst>
          </c:dPt>
          <c:dPt>
            <c:idx val="46"/>
            <c:invertIfNegative val="0"/>
            <c:bubble3D val="0"/>
            <c:spPr>
              <a:solidFill>
                <a:schemeClr val="accent5">
                  <a:lumMod val="75000"/>
                </a:schemeClr>
              </a:solidFill>
              <a:ln>
                <a:noFill/>
              </a:ln>
              <a:effectLst/>
            </c:spPr>
            <c:extLst>
              <c:ext xmlns:c16="http://schemas.microsoft.com/office/drawing/2014/chart" uri="{C3380CC4-5D6E-409C-BE32-E72D297353CC}">
                <c16:uniqueId val="{00000091-7156-4A8A-B4C1-0B69A3836B88}"/>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 ##0_);_(* \(#\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7615</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7156-4A8A-B4C1-0B69A3836B88}"/>
            </c:ext>
          </c:extLst>
        </c:ser>
        <c:ser>
          <c:idx val="3"/>
          <c:order val="3"/>
          <c:spPr>
            <a:solidFill>
              <a:srgbClr val="E0E0E0"/>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 ##0_);_(* \(#\ ##0\);_(* "-"??_);_(@_)</c:formatCode>
                <c:ptCount val="48"/>
                <c:pt idx="0">
                  <c:v>7750</c:v>
                </c:pt>
                <c:pt idx="1">
                  <c:v>6365</c:v>
                </c:pt>
                <c:pt idx="2">
                  <c:v>986</c:v>
                </c:pt>
                <c:pt idx="4">
                  <c:v>7750</c:v>
                </c:pt>
                <c:pt idx="5">
                  <c:v>6648</c:v>
                </c:pt>
                <c:pt idx="6">
                  <c:v>405</c:v>
                </c:pt>
                <c:pt idx="8">
                  <c:v>7750</c:v>
                </c:pt>
                <c:pt idx="9">
                  <c:v>6745</c:v>
                </c:pt>
                <c:pt idx="10">
                  <c:v>1005</c:v>
                </c:pt>
                <c:pt idx="12">
                  <c:v>7750</c:v>
                </c:pt>
                <c:pt idx="13">
                  <c:v>6450</c:v>
                </c:pt>
                <c:pt idx="14">
                  <c:v>1005</c:v>
                </c:pt>
                <c:pt idx="16">
                  <c:v>7750</c:v>
                </c:pt>
                <c:pt idx="17">
                  <c:v>6745</c:v>
                </c:pt>
                <c:pt idx="18">
                  <c:v>428</c:v>
                </c:pt>
                <c:pt idx="20">
                  <c:v>7750</c:v>
                </c:pt>
                <c:pt idx="21">
                  <c:v>6745</c:v>
                </c:pt>
                <c:pt idx="22">
                  <c:v>78</c:v>
                </c:pt>
                <c:pt idx="24">
                  <c:v>7950</c:v>
                </c:pt>
                <c:pt idx="25">
                  <c:v>6745</c:v>
                </c:pt>
                <c:pt idx="26">
                  <c:v>78</c:v>
                </c:pt>
                <c:pt idx="28">
                  <c:v>7950</c:v>
                </c:pt>
                <c:pt idx="29">
                  <c:v>6436</c:v>
                </c:pt>
                <c:pt idx="30">
                  <c:v>78</c:v>
                </c:pt>
                <c:pt idx="32">
                  <c:v>7950</c:v>
                </c:pt>
                <c:pt idx="33">
                  <c:v>6745</c:v>
                </c:pt>
                <c:pt idx="34">
                  <c:v>78</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7156-4A8A-B4C1-0B69A3836B88}"/>
            </c:ext>
          </c:extLst>
        </c:ser>
        <c:ser>
          <c:idx val="4"/>
          <c:order val="4"/>
          <c:spPr>
            <a:solidFill>
              <a:srgbClr val="F3F3F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 ##0_);_(* \(#\ ##0\);_(* "-"??_);_(@_)</c:formatCode>
                <c:ptCount val="48"/>
                <c:pt idx="0">
                  <c:v>0</c:v>
                </c:pt>
                <c:pt idx="1">
                  <c:v>0</c:v>
                </c:pt>
                <c:pt idx="2">
                  <c:v>399</c:v>
                </c:pt>
                <c:pt idx="4">
                  <c:v>0</c:v>
                </c:pt>
                <c:pt idx="5">
                  <c:v>697</c:v>
                </c:pt>
                <c:pt idx="6">
                  <c:v>0</c:v>
                </c:pt>
                <c:pt idx="8">
                  <c:v>0</c:v>
                </c:pt>
                <c:pt idx="9">
                  <c:v>0</c:v>
                </c:pt>
                <c:pt idx="10">
                  <c:v>0</c:v>
                </c:pt>
                <c:pt idx="12">
                  <c:v>0</c:v>
                </c:pt>
                <c:pt idx="13">
                  <c:v>295</c:v>
                </c:pt>
                <c:pt idx="14">
                  <c:v>0</c:v>
                </c:pt>
                <c:pt idx="16">
                  <c:v>0</c:v>
                </c:pt>
                <c:pt idx="17">
                  <c:v>0</c:v>
                </c:pt>
                <c:pt idx="18">
                  <c:v>577</c:v>
                </c:pt>
                <c:pt idx="20">
                  <c:v>0</c:v>
                </c:pt>
                <c:pt idx="21">
                  <c:v>0</c:v>
                </c:pt>
                <c:pt idx="22">
                  <c:v>927</c:v>
                </c:pt>
                <c:pt idx="24">
                  <c:v>0</c:v>
                </c:pt>
                <c:pt idx="25">
                  <c:v>0</c:v>
                </c:pt>
                <c:pt idx="26">
                  <c:v>1127</c:v>
                </c:pt>
                <c:pt idx="28">
                  <c:v>0</c:v>
                </c:pt>
                <c:pt idx="29">
                  <c:v>309</c:v>
                </c:pt>
                <c:pt idx="30">
                  <c:v>1127</c:v>
                </c:pt>
                <c:pt idx="32">
                  <c:v>0</c:v>
                </c:pt>
                <c:pt idx="33">
                  <c:v>0</c:v>
                </c:pt>
                <c:pt idx="34">
                  <c:v>1127</c:v>
                </c:pt>
                <c:pt idx="36">
                  <c:v>0</c:v>
                </c:pt>
                <c:pt idx="37">
                  <c:v>0</c:v>
                </c:pt>
                <c:pt idx="38">
                  <c:v>0</c:v>
                </c:pt>
                <c:pt idx="40">
                  <c:v>7950</c:v>
                </c:pt>
                <c:pt idx="41">
                  <c:v>6745</c:v>
                </c:pt>
                <c:pt idx="42">
                  <c:v>1205</c:v>
                </c:pt>
                <c:pt idx="44">
                  <c:v>7950</c:v>
                </c:pt>
                <c:pt idx="45">
                  <c:v>6745</c:v>
                </c:pt>
                <c:pt idx="46">
                  <c:v>1205</c:v>
                </c:pt>
              </c:numCache>
            </c:numRef>
          </c:val>
          <c:extLst>
            <c:ext xmlns:c16="http://schemas.microsoft.com/office/drawing/2014/chart" uri="{C3380CC4-5D6E-409C-BE32-E72D297353CC}">
              <c16:uniqueId val="{00000094-7156-4A8A-B4C1-0B69A3836B88}"/>
            </c:ext>
          </c:extLst>
        </c:ser>
        <c:ser>
          <c:idx val="5"/>
          <c:order val="5"/>
          <c:spPr>
            <a:solidFill>
              <a:srgbClr val="D3D3D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 ##0_);_(* \(#\ ##0\);_(* "-"??_);_(@_)</c:formatCode>
                <c:ptCount val="48"/>
                <c:pt idx="0">
                  <c:v>300</c:v>
                </c:pt>
                <c:pt idx="1">
                  <c:v>948</c:v>
                </c:pt>
                <c:pt idx="2">
                  <c:v>0</c:v>
                </c:pt>
                <c:pt idx="4">
                  <c:v>140</c:v>
                </c:pt>
                <c:pt idx="5">
                  <c:v>0</c:v>
                </c:pt>
                <c:pt idx="6">
                  <c:v>893</c:v>
                </c:pt>
                <c:pt idx="8">
                  <c:v>1180</c:v>
                </c:pt>
                <c:pt idx="9">
                  <c:v>1484.5</c:v>
                </c:pt>
                <c:pt idx="10">
                  <c:v>175</c:v>
                </c:pt>
                <c:pt idx="12">
                  <c:v>0</c:v>
                </c:pt>
                <c:pt idx="13">
                  <c:v>0</c:v>
                </c:pt>
                <c:pt idx="14">
                  <c:v>56</c:v>
                </c:pt>
                <c:pt idx="16">
                  <c:v>750</c:v>
                </c:pt>
                <c:pt idx="17">
                  <c:v>1891</c:v>
                </c:pt>
                <c:pt idx="18">
                  <c:v>0</c:v>
                </c:pt>
                <c:pt idx="20">
                  <c:v>320</c:v>
                </c:pt>
                <c:pt idx="21">
                  <c:v>2237</c:v>
                </c:pt>
                <c:pt idx="22">
                  <c:v>0</c:v>
                </c:pt>
                <c:pt idx="24">
                  <c:v>0</c:v>
                </c:pt>
                <c:pt idx="25">
                  <c:v>577</c:v>
                </c:pt>
                <c:pt idx="26">
                  <c:v>0</c:v>
                </c:pt>
                <c:pt idx="28">
                  <c:v>0</c:v>
                </c:pt>
                <c:pt idx="29">
                  <c:v>0</c:v>
                </c:pt>
                <c:pt idx="30">
                  <c:v>0</c:v>
                </c:pt>
                <c:pt idx="32">
                  <c:v>0</c:v>
                </c:pt>
                <c:pt idx="33">
                  <c:v>51</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7156-4A8A-B4C1-0B69A3836B88}"/>
            </c:ext>
          </c:extLst>
        </c:ser>
        <c:dLbls>
          <c:showLegendKey val="0"/>
          <c:showVal val="0"/>
          <c:showCatName val="0"/>
          <c:showSerName val="0"/>
          <c:showPercent val="0"/>
          <c:showBubbleSize val="0"/>
        </c:dLbls>
        <c:gapWidth val="15"/>
        <c:overlap val="100"/>
        <c:axId val="1001089839"/>
        <c:axId val="1001081935"/>
      </c:barChart>
      <c:catAx>
        <c:axId val="1001089839"/>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en-DE"/>
          </a:p>
        </c:txPr>
        <c:crossAx val="1001081935"/>
        <c:crosses val="autoZero"/>
        <c:auto val="0"/>
        <c:lblAlgn val="ctr"/>
        <c:lblOffset val="100"/>
        <c:noMultiLvlLbl val="0"/>
      </c:catAx>
      <c:valAx>
        <c:axId val="1001081935"/>
        <c:scaling>
          <c:orientation val="minMax"/>
        </c:scaling>
        <c:delete val="0"/>
        <c:axPos val="l"/>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en-DE"/>
          </a:p>
        </c:txPr>
        <c:crossAx val="100108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0.93548387096774188</c:v>
                </c:pt>
              </c:numCache>
            </c:numRef>
          </c:val>
          <c:extLst>
            <c:ext xmlns:c16="http://schemas.microsoft.com/office/drawing/2014/chart" uri="{C3380CC4-5D6E-409C-BE32-E72D297353CC}">
              <c16:uniqueId val="{00000000-4BBF-4472-BCB3-CD8647FFF720}"/>
            </c:ext>
          </c:extLst>
        </c:ser>
        <c:dLbls>
          <c:showLegendKey val="0"/>
          <c:showVal val="0"/>
          <c:showCatName val="0"/>
          <c:showSerName val="0"/>
          <c:showPercent val="0"/>
          <c:showBubbleSize val="0"/>
        </c:dLbls>
        <c:gapWidth val="0"/>
        <c:axId val="279354288"/>
        <c:axId val="279356784"/>
      </c:barChart>
      <c:catAx>
        <c:axId val="279354288"/>
        <c:scaling>
          <c:orientation val="minMax"/>
        </c:scaling>
        <c:delete val="1"/>
        <c:axPos val="l"/>
        <c:majorTickMark val="none"/>
        <c:minorTickMark val="none"/>
        <c:tickLblPos val="nextTo"/>
        <c:crossAx val="279356784"/>
        <c:crosses val="autoZero"/>
        <c:auto val="1"/>
        <c:lblAlgn val="ctr"/>
        <c:lblOffset val="100"/>
        <c:noMultiLvlLbl val="0"/>
      </c:catAx>
      <c:valAx>
        <c:axId val="279356784"/>
        <c:scaling>
          <c:orientation val="minMax"/>
          <c:max val="1"/>
        </c:scaling>
        <c:delete val="1"/>
        <c:axPos val="b"/>
        <c:numFmt formatCode="0%" sourceLinked="1"/>
        <c:majorTickMark val="none"/>
        <c:minorTickMark val="none"/>
        <c:tickLblPos val="nextTo"/>
        <c:crossAx val="2793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igistore24.com/redir/367086" TargetMode="Externa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42334</xdr:colOff>
      <xdr:row>20</xdr:row>
      <xdr:rowOff>59000</xdr:rowOff>
    </xdr:from>
    <xdr:to>
      <xdr:col>3</xdr:col>
      <xdr:colOff>1244601</xdr:colOff>
      <xdr:row>26</xdr:row>
      <xdr:rowOff>161130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842434" y="4369063"/>
          <a:ext cx="1202267" cy="1202267"/>
        </a:xfrm>
        <a:prstGeom prst="roundRect">
          <a:avLst>
            <a:gd name="adj" fmla="val 5014"/>
          </a:avLst>
        </a:prstGeom>
        <a:effectLst/>
      </xdr:spPr>
    </xdr:pic>
    <xdr:clientData/>
  </xdr:twoCellAnchor>
  <xdr:twoCellAnchor>
    <xdr:from>
      <xdr:col>4</xdr:col>
      <xdr:colOff>16935</xdr:colOff>
      <xdr:row>25</xdr:row>
      <xdr:rowOff>110067</xdr:rowOff>
    </xdr:from>
    <xdr:to>
      <xdr:col>4</xdr:col>
      <xdr:colOff>1913467</xdr:colOff>
      <xdr:row>27</xdr:row>
      <xdr:rowOff>16933</xdr:rowOff>
    </xdr:to>
    <xdr:sp macro="" textlink="">
      <xdr:nvSpPr>
        <xdr:cNvPr id="3" name="Rounded Rectangle 10">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1979085" y="5744105"/>
          <a:ext cx="1896532" cy="268816"/>
        </a:xfrm>
        <a:prstGeom prst="roundRect">
          <a:avLst/>
        </a:prstGeom>
        <a:solidFill>
          <a:srgbClr val="3285F3"/>
        </a:solidFill>
        <a:ln>
          <a:noFill/>
        </a:ln>
        <a:effectLst>
          <a:outerShdw blurRad="190500" sx="102000" sy="102000" algn="ctr" rotWithShape="0">
            <a:prstClr val="black">
              <a:alpha val="1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900" b="1" i="0">
              <a:latin typeface="Calibri" panose="020F0502020204030204" pitchFamily="34" charset="0"/>
              <a:cs typeface="Calibri" panose="020F0502020204030204" pitchFamily="34" charset="0"/>
            </a:rPr>
            <a:t>Open Template Page</a:t>
          </a:r>
          <a:r>
            <a:rPr lang="en-GB" sz="900" b="1" i="0" baseline="0">
              <a:latin typeface="Calibri" panose="020F0502020204030204" pitchFamily="34" charset="0"/>
              <a:cs typeface="Calibri" panose="020F0502020204030204" pitchFamily="34" charset="0"/>
            </a:rPr>
            <a:t> </a:t>
          </a:r>
          <a:endParaRPr lang="en-GB" sz="900" b="1" i="0">
            <a:latin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8466</xdr:colOff>
      <xdr:row>4</xdr:row>
      <xdr:rowOff>67732</xdr:rowOff>
    </xdr:from>
    <xdr:to>
      <xdr:col>3</xdr:col>
      <xdr:colOff>480906</xdr:colOff>
      <xdr:row>8</xdr:row>
      <xdr:rowOff>145626</xdr:rowOff>
    </xdr:to>
    <xdr:grpSp>
      <xdr:nvGrpSpPr>
        <xdr:cNvPr id="17" name="Group 16">
          <a:extLst>
            <a:ext uri="{FF2B5EF4-FFF2-40B4-BE49-F238E27FC236}">
              <a16:creationId xmlns:a16="http://schemas.microsoft.com/office/drawing/2014/main" id="{00000000-0008-0000-0300-000011000000}"/>
            </a:ext>
          </a:extLst>
        </xdr:cNvPr>
        <xdr:cNvGrpSpPr/>
      </xdr:nvGrpSpPr>
      <xdr:grpSpPr>
        <a:xfrm>
          <a:off x="643466" y="780886"/>
          <a:ext cx="1576363" cy="859432"/>
          <a:chOff x="584199" y="778931"/>
          <a:chExt cx="1463040" cy="822960"/>
        </a:xfrm>
      </xdr:grpSpPr>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584199" y="778931"/>
            <a:ext cx="146304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626534" y="889000"/>
            <a:ext cx="1117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 Today</a:t>
            </a:r>
            <a:endParaRPr lang="en-DE" sz="1100" b="1"/>
          </a:p>
        </xdr:txBody>
      </xdr:sp>
      <xdr:sp macro="" textlink="Calculations!E8">
        <xdr:nvSpPr>
          <xdr:cNvPr id="4" name="TextBox 3">
            <a:extLst>
              <a:ext uri="{FF2B5EF4-FFF2-40B4-BE49-F238E27FC236}">
                <a16:creationId xmlns:a16="http://schemas.microsoft.com/office/drawing/2014/main" id="{00000000-0008-0000-0300-000004000000}"/>
              </a:ext>
            </a:extLst>
          </xdr:cNvPr>
          <xdr:cNvSpPr txBox="1"/>
        </xdr:nvSpPr>
        <xdr:spPr>
          <a:xfrm>
            <a:off x="626534" y="1168400"/>
            <a:ext cx="1117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B7D255-257E-4084-A624-99158E2C48DC}" type="TxLink">
              <a:rPr lang="en-US" sz="1200" b="1" i="0" u="none" strike="noStrike">
                <a:solidFill>
                  <a:srgbClr val="172144"/>
                </a:solidFill>
                <a:latin typeface="Calibri"/>
                <a:cs typeface="Calibri"/>
              </a:rPr>
              <a:pPr/>
              <a:t>29.Oct.25</a:t>
            </a:fld>
            <a:endParaRPr lang="en-DE" sz="1200" b="1"/>
          </a:p>
        </xdr:txBody>
      </xdr:sp>
    </xdr:grpSp>
    <xdr:clientData/>
  </xdr:twoCellAnchor>
  <xdr:twoCellAnchor editAs="absolute">
    <xdr:from>
      <xdr:col>3</xdr:col>
      <xdr:colOff>787401</xdr:colOff>
      <xdr:row>4</xdr:row>
      <xdr:rowOff>67732</xdr:rowOff>
    </xdr:from>
    <xdr:to>
      <xdr:col>4</xdr:col>
      <xdr:colOff>1693335</xdr:colOff>
      <xdr:row>8</xdr:row>
      <xdr:rowOff>145626</xdr:rowOff>
    </xdr:to>
    <xdr:grpSp>
      <xdr:nvGrpSpPr>
        <xdr:cNvPr id="18" name="Group 17">
          <a:extLst>
            <a:ext uri="{FF2B5EF4-FFF2-40B4-BE49-F238E27FC236}">
              <a16:creationId xmlns:a16="http://schemas.microsoft.com/office/drawing/2014/main" id="{00000000-0008-0000-0300-000012000000}"/>
            </a:ext>
          </a:extLst>
        </xdr:cNvPr>
        <xdr:cNvGrpSpPr/>
      </xdr:nvGrpSpPr>
      <xdr:grpSpPr>
        <a:xfrm>
          <a:off x="2526324" y="780886"/>
          <a:ext cx="2009857" cy="859432"/>
          <a:chOff x="2336800" y="787400"/>
          <a:chExt cx="1896534" cy="822960"/>
        </a:xfrm>
      </xdr:grpSpPr>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2336800" y="787400"/>
            <a:ext cx="1896534"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2379134" y="897469"/>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Date of Last Record</a:t>
            </a:r>
            <a:endParaRPr lang="en-DE" sz="1100" b="1"/>
          </a:p>
        </xdr:txBody>
      </xdr:sp>
      <xdr:sp macro="" textlink="Calculations!E9">
        <xdr:nvSpPr>
          <xdr:cNvPr id="7" name="TextBox 6">
            <a:extLst>
              <a:ext uri="{FF2B5EF4-FFF2-40B4-BE49-F238E27FC236}">
                <a16:creationId xmlns:a16="http://schemas.microsoft.com/office/drawing/2014/main" id="{00000000-0008-0000-0300-000007000000}"/>
              </a:ext>
            </a:extLst>
          </xdr:cNvPr>
          <xdr:cNvSpPr txBox="1"/>
        </xdr:nvSpPr>
        <xdr:spPr>
          <a:xfrm>
            <a:off x="2379135" y="1176869"/>
            <a:ext cx="9482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566441-8124-4684-A9BD-8F1087D24CAC}" type="TxLink">
              <a:rPr lang="en-US" sz="1200" b="1" i="0" u="none" strike="noStrike">
                <a:solidFill>
                  <a:srgbClr val="172144"/>
                </a:solidFill>
                <a:latin typeface="Calibri"/>
                <a:cs typeface="Calibri"/>
              </a:rPr>
              <a:pPr/>
              <a:t>29.Oct.25</a:t>
            </a:fld>
            <a:endParaRPr lang="en-DE" sz="1400" b="1"/>
          </a:p>
        </xdr:txBody>
      </xdr:sp>
      <xdr:sp macro="" textlink="Calculations!E10">
        <xdr:nvSpPr>
          <xdr:cNvPr id="8" name="TextBox 7">
            <a:extLst>
              <a:ext uri="{FF2B5EF4-FFF2-40B4-BE49-F238E27FC236}">
                <a16:creationId xmlns:a16="http://schemas.microsoft.com/office/drawing/2014/main" id="{00000000-0008-0000-0300-000008000000}"/>
              </a:ext>
            </a:extLst>
          </xdr:cNvPr>
          <xdr:cNvSpPr txBox="1"/>
        </xdr:nvSpPr>
        <xdr:spPr>
          <a:xfrm>
            <a:off x="3124199" y="1193803"/>
            <a:ext cx="10075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E3345B-63E1-46EF-A010-CECD180798E3}" type="TxLink">
              <a:rPr lang="en-US" sz="1050" b="0" i="0" u="none" strike="noStrike">
                <a:solidFill>
                  <a:srgbClr val="172144"/>
                </a:solidFill>
                <a:latin typeface="Calibri"/>
                <a:cs typeface="Calibri"/>
              </a:rPr>
              <a:pPr/>
              <a:t>(0 days ago)</a:t>
            </a:fld>
            <a:endParaRPr lang="en-DE" sz="1200" b="1"/>
          </a:p>
        </xdr:txBody>
      </xdr:sp>
    </xdr:grpSp>
    <xdr:clientData/>
  </xdr:twoCellAnchor>
  <xdr:twoCellAnchor editAs="absolute">
    <xdr:from>
      <xdr:col>5</xdr:col>
      <xdr:colOff>118534</xdr:colOff>
      <xdr:row>4</xdr:row>
      <xdr:rowOff>67732</xdr:rowOff>
    </xdr:from>
    <xdr:to>
      <xdr:col>6</xdr:col>
      <xdr:colOff>601134</xdr:colOff>
      <xdr:row>8</xdr:row>
      <xdr:rowOff>145626</xdr:rowOff>
    </xdr:to>
    <xdr:grpSp>
      <xdr:nvGrpSpPr>
        <xdr:cNvPr id="19" name="Group 18">
          <a:extLst>
            <a:ext uri="{FF2B5EF4-FFF2-40B4-BE49-F238E27FC236}">
              <a16:creationId xmlns:a16="http://schemas.microsoft.com/office/drawing/2014/main" id="{00000000-0008-0000-0300-000013000000}"/>
            </a:ext>
            <a:ext uri="{147F2762-F138-4A5C-976F-8EAC2B608ADB}">
              <a16:predDERef xmlns:a16="http://schemas.microsoft.com/office/drawing/2014/main" pred="{00000000-0008-0000-0300-000012000000}"/>
            </a:ext>
          </a:extLst>
        </xdr:cNvPr>
        <xdr:cNvGrpSpPr/>
      </xdr:nvGrpSpPr>
      <xdr:grpSpPr>
        <a:xfrm>
          <a:off x="5081303" y="780886"/>
          <a:ext cx="1752600" cy="859432"/>
          <a:chOff x="4580467" y="787400"/>
          <a:chExt cx="1625600" cy="822960"/>
        </a:xfrm>
      </xdr:grpSpPr>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4580467" y="787400"/>
            <a:ext cx="162560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4622801" y="897469"/>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 of Tracked Records</a:t>
            </a:r>
            <a:endParaRPr lang="en-DE" sz="1100" b="1"/>
          </a:p>
        </xdr:txBody>
      </xdr:sp>
      <xdr:sp macro="" textlink="Calculations!E11">
        <xdr:nvSpPr>
          <xdr:cNvPr id="11" name="TextBox 10">
            <a:extLst>
              <a:ext uri="{FF2B5EF4-FFF2-40B4-BE49-F238E27FC236}">
                <a16:creationId xmlns:a16="http://schemas.microsoft.com/office/drawing/2014/main" id="{00000000-0008-0000-0300-00000B000000}"/>
              </a:ext>
            </a:extLst>
          </xdr:cNvPr>
          <xdr:cNvSpPr txBox="1"/>
        </xdr:nvSpPr>
        <xdr:spPr>
          <a:xfrm>
            <a:off x="4622803" y="1176869"/>
            <a:ext cx="60959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DA8FD6-8E89-4668-94C6-6A47A7E3876B}" type="TxLink">
              <a:rPr lang="en-US" sz="1200" b="1" i="0" u="none" strike="noStrike">
                <a:solidFill>
                  <a:srgbClr val="172144"/>
                </a:solidFill>
                <a:latin typeface="Calibri"/>
                <a:cs typeface="Calibri"/>
              </a:rPr>
              <a:pPr/>
              <a:t>947</a:t>
            </a:fld>
            <a:endParaRPr lang="en-DE" sz="1600" b="1"/>
          </a:p>
        </xdr:txBody>
      </xdr:sp>
      <xdr:sp macro="" textlink="Calculations!E12">
        <xdr:nvSpPr>
          <xdr:cNvPr id="12" name="TextBox 11">
            <a:extLst>
              <a:ext uri="{FF2B5EF4-FFF2-40B4-BE49-F238E27FC236}">
                <a16:creationId xmlns:a16="http://schemas.microsoft.com/office/drawing/2014/main" id="{00000000-0008-0000-0300-00000C000000}"/>
              </a:ext>
            </a:extLst>
          </xdr:cNvPr>
          <xdr:cNvSpPr txBox="1"/>
        </xdr:nvSpPr>
        <xdr:spPr>
          <a:xfrm>
            <a:off x="5012263" y="1193803"/>
            <a:ext cx="10752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41952-1EEF-42FB-8971-3A7FB9ABF1E4}" type="TxLink">
              <a:rPr lang="en-US" sz="1050" b="0" i="0" u="none" strike="noStrike">
                <a:solidFill>
                  <a:srgbClr val="172144"/>
                </a:solidFill>
                <a:latin typeface="Calibri"/>
                <a:cs typeface="Calibri"/>
              </a:rPr>
              <a:pPr/>
              <a:t>(853 this year)</a:t>
            </a:fld>
            <a:endParaRPr lang="en-DE" sz="1100" b="1"/>
          </a:p>
        </xdr:txBody>
      </xdr:sp>
    </xdr:grpSp>
    <xdr:clientData/>
  </xdr:twoCellAnchor>
  <xdr:twoCellAnchor editAs="absolute">
    <xdr:from>
      <xdr:col>6</xdr:col>
      <xdr:colOff>931334</xdr:colOff>
      <xdr:row>4</xdr:row>
      <xdr:rowOff>67732</xdr:rowOff>
    </xdr:from>
    <xdr:to>
      <xdr:col>9</xdr:col>
      <xdr:colOff>2118</xdr:colOff>
      <xdr:row>8</xdr:row>
      <xdr:rowOff>145626</xdr:rowOff>
    </xdr:to>
    <xdr:grpSp>
      <xdr:nvGrpSpPr>
        <xdr:cNvPr id="20" name="Group 19">
          <a:extLst>
            <a:ext uri="{FF2B5EF4-FFF2-40B4-BE49-F238E27FC236}">
              <a16:creationId xmlns:a16="http://schemas.microsoft.com/office/drawing/2014/main" id="{00000000-0008-0000-0300-000014000000}"/>
            </a:ext>
            <a:ext uri="{147F2762-F138-4A5C-976F-8EAC2B608ADB}">
              <a16:predDERef xmlns:a16="http://schemas.microsoft.com/office/drawing/2014/main" pred="{00000000-0008-0000-0300-000013000000}"/>
            </a:ext>
          </a:extLst>
        </xdr:cNvPr>
        <xdr:cNvGrpSpPr/>
      </xdr:nvGrpSpPr>
      <xdr:grpSpPr>
        <a:xfrm>
          <a:off x="7164103" y="780886"/>
          <a:ext cx="3847938" cy="859432"/>
          <a:chOff x="6510866" y="795867"/>
          <a:chExt cx="3352801" cy="822960"/>
        </a:xfrm>
      </xdr:grpSpPr>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6510866" y="795867"/>
            <a:ext cx="3352801"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6553201" y="905936"/>
            <a:ext cx="15070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Tracking Balance</a:t>
            </a:r>
            <a:endParaRPr lang="en-DE" sz="1100" b="1"/>
          </a:p>
        </xdr:txBody>
      </xdr:sp>
      <xdr:sp macro="" textlink="Calculations!E13">
        <xdr:nvSpPr>
          <xdr:cNvPr id="15" name="TextBox 14">
            <a:extLst>
              <a:ext uri="{FF2B5EF4-FFF2-40B4-BE49-F238E27FC236}">
                <a16:creationId xmlns:a16="http://schemas.microsoft.com/office/drawing/2014/main" id="{00000000-0008-0000-0300-00000F000000}"/>
              </a:ext>
            </a:extLst>
          </xdr:cNvPr>
          <xdr:cNvSpPr txBox="1"/>
        </xdr:nvSpPr>
        <xdr:spPr>
          <a:xfrm>
            <a:off x="6553203" y="1185336"/>
            <a:ext cx="70273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FDBDF5-0DF8-4DF3-8267-1442496A93AF}" type="TxLink">
              <a:rPr lang="en-US" sz="1200" b="1" i="0" u="none" strike="noStrike">
                <a:solidFill>
                  <a:srgbClr val="172144"/>
                </a:solidFill>
                <a:latin typeface="Calibri"/>
                <a:cs typeface="Calibri"/>
              </a:rPr>
              <a:pPr/>
              <a:t> (3 718)</a:t>
            </a:fld>
            <a:endParaRPr lang="en-DE" sz="1800" b="1"/>
          </a:p>
        </xdr:txBody>
      </xdr:sp>
      <xdr:sp macro="" textlink="Calculations!E14">
        <xdr:nvSpPr>
          <xdr:cNvPr id="16" name="TextBox 15">
            <a:extLst>
              <a:ext uri="{FF2B5EF4-FFF2-40B4-BE49-F238E27FC236}">
                <a16:creationId xmlns:a16="http://schemas.microsoft.com/office/drawing/2014/main" id="{00000000-0008-0000-0300-000010000000}"/>
              </a:ext>
            </a:extLst>
          </xdr:cNvPr>
          <xdr:cNvSpPr txBox="1"/>
        </xdr:nvSpPr>
        <xdr:spPr>
          <a:xfrm>
            <a:off x="7095065" y="1202270"/>
            <a:ext cx="26331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B6B632-4DFB-4644-BF18-AA1EC7F138C0}" type="TxLink">
              <a:rPr lang="en-US" sz="1050" b="0" i="0" u="none" strike="noStrike">
                <a:solidFill>
                  <a:srgbClr val="172144"/>
                </a:solidFill>
                <a:latin typeface="Calibri"/>
                <a:cs typeface="Calibri"/>
              </a:rPr>
              <a:pPr/>
              <a:t>allocated not covered by income</a:t>
            </a:fld>
            <a:endParaRPr lang="en-DE" sz="1050" b="1"/>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160867</xdr:colOff>
      <xdr:row>12</xdr:row>
      <xdr:rowOff>127000</xdr:rowOff>
    </xdr:from>
    <xdr:to>
      <xdr:col>34</xdr:col>
      <xdr:colOff>270934</xdr:colOff>
      <xdr:row>14</xdr:row>
      <xdr:rowOff>50800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307667"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lumMod val="75000"/>
                </a:schemeClr>
              </a:solidFill>
            </a:rPr>
            <a:t>Income</a:t>
          </a:r>
          <a:r>
            <a:rPr lang="en-US" sz="1100" b="1"/>
            <a:t> Categories (Tracked)</a:t>
          </a:r>
          <a:endParaRPr lang="en-DE" sz="1100" b="1"/>
        </a:p>
      </xdr:txBody>
    </xdr:sp>
    <xdr:clientData/>
  </xdr:twoCellAnchor>
  <xdr:twoCellAnchor editAs="oneCell">
    <xdr:from>
      <xdr:col>31</xdr:col>
      <xdr:colOff>177790</xdr:colOff>
      <xdr:row>14</xdr:row>
      <xdr:rowOff>50800</xdr:rowOff>
    </xdr:from>
    <xdr:to>
      <xdr:col>32</xdr:col>
      <xdr:colOff>745057</xdr:colOff>
      <xdr:row>22</xdr:row>
      <xdr:rowOff>160866</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160867</xdr:colOff>
      <xdr:row>25</xdr:row>
      <xdr:rowOff>127000</xdr:rowOff>
    </xdr:from>
    <xdr:ext cx="2302934" cy="296333"/>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6307667"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Expenses</a:t>
          </a:r>
          <a:r>
            <a:rPr lang="en-US" sz="1100" b="1"/>
            <a:t> Categories (Tracked)</a:t>
          </a:r>
          <a:endParaRPr lang="en-DE" sz="1100" b="1"/>
        </a:p>
      </xdr:txBody>
    </xdr:sp>
    <xdr:clientData/>
  </xdr:oneCellAnchor>
  <xdr:oneCellAnchor>
    <xdr:from>
      <xdr:col>31</xdr:col>
      <xdr:colOff>177790</xdr:colOff>
      <xdr:row>27</xdr:row>
      <xdr:rowOff>50800</xdr:rowOff>
    </xdr:from>
    <xdr:ext cx="1600200" cy="1600200"/>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160867</xdr:colOff>
      <xdr:row>25</xdr:row>
      <xdr:rowOff>127000</xdr:rowOff>
    </xdr:from>
    <xdr:ext cx="2302934" cy="296333"/>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0845800" y="4758267"/>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5"/>
              </a:solidFill>
            </a:rPr>
            <a:t>Savings</a:t>
          </a:r>
          <a:r>
            <a:rPr lang="en-US" sz="1100" b="1"/>
            <a:t> Categories (Tracked)</a:t>
          </a:r>
          <a:endParaRPr lang="en-DE" sz="1100" b="1"/>
        </a:p>
      </xdr:txBody>
    </xdr:sp>
    <xdr:clientData/>
  </xdr:oneCellAnchor>
  <xdr:oneCellAnchor>
    <xdr:from>
      <xdr:col>38</xdr:col>
      <xdr:colOff>177790</xdr:colOff>
      <xdr:row>27</xdr:row>
      <xdr:rowOff>50800</xdr:rowOff>
    </xdr:from>
    <xdr:ext cx="1600200" cy="1600200"/>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160867</xdr:colOff>
      <xdr:row>12</xdr:row>
      <xdr:rowOff>127000</xdr:rowOff>
    </xdr:from>
    <xdr:to>
      <xdr:col>41</xdr:col>
      <xdr:colOff>270934</xdr:colOff>
      <xdr:row>14</xdr:row>
      <xdr:rowOff>50800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0845800" y="2336800"/>
          <a:ext cx="230293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Tracked</a:t>
          </a:r>
          <a:r>
            <a:rPr lang="en-US" sz="1100" b="1" baseline="0"/>
            <a:t> (vs. Budget)</a:t>
          </a:r>
          <a:endParaRPr lang="en-DE" sz="1100" b="1"/>
        </a:p>
      </xdr:txBody>
    </xdr:sp>
    <xdr:clientData/>
  </xdr:twoCellAnchor>
  <xdr:twoCellAnchor>
    <xdr:from>
      <xdr:col>38</xdr:col>
      <xdr:colOff>169332</xdr:colOff>
      <xdr:row>15</xdr:row>
      <xdr:rowOff>8466</xdr:rowOff>
    </xdr:from>
    <xdr:to>
      <xdr:col>43</xdr:col>
      <xdr:colOff>340358</xdr:colOff>
      <xdr:row>23</xdr:row>
      <xdr:rowOff>164253</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42</xdr:col>
          <xdr:colOff>88900</xdr:colOff>
          <xdr:row>12</xdr:row>
          <xdr:rowOff>101600</xdr:rowOff>
        </xdr:from>
        <xdr:to>
          <xdr:col>43</xdr:col>
          <xdr:colOff>228600</xdr:colOff>
          <xdr:row>13</xdr:row>
          <xdr:rowOff>101600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4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88900</xdr:colOff>
          <xdr:row>13</xdr:row>
          <xdr:rowOff>63500</xdr:rowOff>
        </xdr:from>
        <xdr:to>
          <xdr:col>43</xdr:col>
          <xdr:colOff>228600</xdr:colOff>
          <xdr:row>14</xdr:row>
          <xdr:rowOff>63500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4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88900</xdr:colOff>
          <xdr:row>14</xdr:row>
          <xdr:rowOff>25400</xdr:rowOff>
        </xdr:from>
        <xdr:to>
          <xdr:col>43</xdr:col>
          <xdr:colOff>228600</xdr:colOff>
          <xdr:row>15</xdr:row>
          <xdr:rowOff>25400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4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482600</xdr:colOff>
          <xdr:row>12</xdr:row>
          <xdr:rowOff>101600</xdr:rowOff>
        </xdr:from>
        <xdr:to>
          <xdr:col>42</xdr:col>
          <xdr:colOff>139700</xdr:colOff>
          <xdr:row>13</xdr:row>
          <xdr:rowOff>101600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4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Segoe UI"/>
                  <a:cs typeface="Segoe UI"/>
                </a:rPr>
                <a:t>Budget</a:t>
              </a:r>
            </a:p>
          </xdr:txBody>
        </xdr:sp>
        <xdr:clientData/>
      </xdr:twoCellAnchor>
    </mc:Choice>
    <mc:Fallback/>
  </mc:AlternateContent>
  <xdr:twoCellAnchor>
    <xdr:from>
      <xdr:col>41</xdr:col>
      <xdr:colOff>414867</xdr:colOff>
      <xdr:row>12</xdr:row>
      <xdr:rowOff>93132</xdr:rowOff>
    </xdr:from>
    <xdr:to>
      <xdr:col>43</xdr:col>
      <xdr:colOff>218440</xdr:colOff>
      <xdr:row>15</xdr:row>
      <xdr:rowOff>37252</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13292667" y="2302932"/>
          <a:ext cx="1463040" cy="502920"/>
        </a:xfrm>
        <a:prstGeom prst="rect">
          <a:avLst/>
        </a:prstGeom>
        <a:no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editAs="oneCell">
    <xdr:from>
      <xdr:col>24</xdr:col>
      <xdr:colOff>15240</xdr:colOff>
      <xdr:row>4</xdr:row>
      <xdr:rowOff>67734</xdr:rowOff>
    </xdr:from>
    <xdr:to>
      <xdr:col>26</xdr:col>
      <xdr:colOff>120565</xdr:colOff>
      <xdr:row>8</xdr:row>
      <xdr:rowOff>145628</xdr:rowOff>
    </xdr:to>
    <xdr:grpSp>
      <xdr:nvGrpSpPr>
        <xdr:cNvPr id="12" name="Group 11">
          <a:extLst>
            <a:ext uri="{FF2B5EF4-FFF2-40B4-BE49-F238E27FC236}">
              <a16:creationId xmlns:a16="http://schemas.microsoft.com/office/drawing/2014/main" id="{00000000-0008-0000-0400-00000C000000}"/>
            </a:ext>
          </a:extLst>
        </xdr:cNvPr>
        <xdr:cNvGrpSpPr/>
      </xdr:nvGrpSpPr>
      <xdr:grpSpPr>
        <a:xfrm>
          <a:off x="650240" y="780888"/>
          <a:ext cx="2957940" cy="859432"/>
          <a:chOff x="575733" y="787401"/>
          <a:chExt cx="2679192" cy="822960"/>
        </a:xfrm>
      </xdr:grpSpPr>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575733" y="787401"/>
            <a:ext cx="2679192"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626535" y="897470"/>
            <a:ext cx="16594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Selected Year &amp; Period</a:t>
            </a:r>
            <a:endParaRPr lang="en-DE" sz="1100" b="1"/>
          </a:p>
        </xdr:txBody>
      </xdr:sp>
      <xdr:sp macro="" textlink="selected_year">
        <xdr:nvSpPr>
          <xdr:cNvPr id="11" name="Rectangle: Rounded Corners 10">
            <a:extLst>
              <a:ext uri="{FF2B5EF4-FFF2-40B4-BE49-F238E27FC236}">
                <a16:creationId xmlns:a16="http://schemas.microsoft.com/office/drawing/2014/main" id="{00000000-0008-0000-0400-00000B000000}"/>
              </a:ext>
            </a:extLst>
          </xdr:cNvPr>
          <xdr:cNvSpPr/>
        </xdr:nvSpPr>
        <xdr:spPr>
          <a:xfrm>
            <a:off x="728135" y="1244601"/>
            <a:ext cx="640080" cy="228600"/>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5EB22F-0768-4D57-BAE0-E64FF905D08B}" type="TxLink">
              <a:rPr lang="en-US" sz="1000" b="1" i="0" u="none" strike="noStrike">
                <a:solidFill>
                  <a:srgbClr val="172144"/>
                </a:solidFill>
                <a:latin typeface="Calibri"/>
                <a:cs typeface="Calibri"/>
              </a:rPr>
              <a:pPr algn="ctr"/>
              <a:t>2025</a:t>
            </a:fld>
            <a:endParaRPr lang="en-DE" sz="1000" b="1"/>
          </a:p>
        </xdr:txBody>
      </xdr:sp>
      <xdr:sp macro="" textlink="selected_period_display">
        <xdr:nvSpPr>
          <xdr:cNvPr id="20" name="Rectangle: Rounded Corners 19">
            <a:extLst>
              <a:ext uri="{FF2B5EF4-FFF2-40B4-BE49-F238E27FC236}">
                <a16:creationId xmlns:a16="http://schemas.microsoft.com/office/drawing/2014/main" id="{00000000-0008-0000-0400-000014000000}"/>
              </a:ext>
            </a:extLst>
          </xdr:cNvPr>
          <xdr:cNvSpPr/>
        </xdr:nvSpPr>
        <xdr:spPr>
          <a:xfrm>
            <a:off x="1498602" y="1244601"/>
            <a:ext cx="914400" cy="228600"/>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D416C79-6C27-494F-8BB5-B5EBEF3B3970}" type="TxLink">
              <a:rPr lang="en-US" sz="1000" b="1" i="0" u="none" strike="noStrike">
                <a:solidFill>
                  <a:srgbClr val="172144"/>
                </a:solidFill>
                <a:latin typeface="Calibri"/>
                <a:cs typeface="Calibri"/>
              </a:rPr>
              <a:pPr algn="ctr"/>
              <a:t>October</a:t>
            </a:fld>
            <a:endParaRPr lang="en-DE" sz="800" b="1"/>
          </a:p>
        </xdr:txBody>
      </xdr:sp>
    </xdr:grpSp>
    <xdr:clientData/>
  </xdr:twoCellAnchor>
  <xdr:twoCellAnchor editAs="oneCell">
    <xdr:from>
      <xdr:col>26</xdr:col>
      <xdr:colOff>423336</xdr:colOff>
      <xdr:row>4</xdr:row>
      <xdr:rowOff>67734</xdr:rowOff>
    </xdr:from>
    <xdr:to>
      <xdr:col>28</xdr:col>
      <xdr:colOff>325123</xdr:colOff>
      <xdr:row>8</xdr:row>
      <xdr:rowOff>145628</xdr:rowOff>
    </xdr:to>
    <xdr:grpSp>
      <xdr:nvGrpSpPr>
        <xdr:cNvPr id="13" name="Group 12">
          <a:extLst>
            <a:ext uri="{FF2B5EF4-FFF2-40B4-BE49-F238E27FC236}">
              <a16:creationId xmlns:a16="http://schemas.microsoft.com/office/drawing/2014/main" id="{00000000-0008-0000-0400-00000D000000}"/>
            </a:ext>
          </a:extLst>
        </xdr:cNvPr>
        <xdr:cNvGrpSpPr/>
      </xdr:nvGrpSpPr>
      <xdr:grpSpPr>
        <a:xfrm>
          <a:off x="3910951" y="780888"/>
          <a:ext cx="1318326" cy="859432"/>
          <a:chOff x="3513667" y="787401"/>
          <a:chExt cx="1188720" cy="822960"/>
        </a:xfrm>
      </xdr:grpSpPr>
      <xdr:sp macro="" textlink="">
        <xdr:nvSpPr>
          <xdr:cNvPr id="22" name="Rectangle: Rounded Corners 21">
            <a:extLst>
              <a:ext uri="{FF2B5EF4-FFF2-40B4-BE49-F238E27FC236}">
                <a16:creationId xmlns:a16="http://schemas.microsoft.com/office/drawing/2014/main" id="{00000000-0008-0000-0400-000016000000}"/>
              </a:ext>
            </a:extLst>
          </xdr:cNvPr>
          <xdr:cNvSpPr/>
        </xdr:nvSpPr>
        <xdr:spPr>
          <a:xfrm>
            <a:off x="3513667" y="787401"/>
            <a:ext cx="1188720"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3556002" y="897470"/>
            <a:ext cx="10752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a:t>
            </a:r>
            <a:r>
              <a:rPr lang="en-US" sz="1100" b="1" baseline="0"/>
              <a:t> Compl.</a:t>
            </a:r>
            <a:endParaRPr lang="en-DE" sz="1100" b="1"/>
          </a:p>
        </xdr:txBody>
      </xdr:sp>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3627967" y="1083731"/>
          <a:ext cx="960120" cy="475488"/>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24" name="TextBox 23">
            <a:extLst>
              <a:ext uri="{FF2B5EF4-FFF2-40B4-BE49-F238E27FC236}">
                <a16:creationId xmlns:a16="http://schemas.microsoft.com/office/drawing/2014/main" id="{00000000-0008-0000-0400-000018000000}"/>
              </a:ext>
            </a:extLst>
          </xdr:cNvPr>
          <xdr:cNvSpPr txBox="1"/>
        </xdr:nvSpPr>
        <xdr:spPr>
          <a:xfrm>
            <a:off x="3794762" y="1176870"/>
            <a:ext cx="62653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650AA3-E49A-4C7A-BBA7-3F3E523F56F2}" type="TxLink">
              <a:rPr lang="en-US" sz="1200" b="1" i="0" u="none" strike="noStrike">
                <a:solidFill>
                  <a:srgbClr val="172144"/>
                </a:solidFill>
                <a:latin typeface="Calibri"/>
                <a:cs typeface="Calibri"/>
              </a:rPr>
              <a:pPr algn="ctr"/>
              <a:t>94%</a:t>
            </a:fld>
            <a:endParaRPr lang="en-DE" sz="1400" b="1"/>
          </a:p>
        </xdr:txBody>
      </xdr:sp>
    </xdr:grpSp>
    <xdr:clientData/>
  </xdr:twoCellAnchor>
  <xdr:twoCellAnchor editAs="oneCell">
    <xdr:from>
      <xdr:col>28</xdr:col>
      <xdr:colOff>634999</xdr:colOff>
      <xdr:row>4</xdr:row>
      <xdr:rowOff>67734</xdr:rowOff>
    </xdr:from>
    <xdr:to>
      <xdr:col>32</xdr:col>
      <xdr:colOff>982132</xdr:colOff>
      <xdr:row>8</xdr:row>
      <xdr:rowOff>145628</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5539153" y="780888"/>
          <a:ext cx="3375594" cy="859432"/>
          <a:chOff x="6510866" y="795867"/>
          <a:chExt cx="3090333" cy="822960"/>
        </a:xfrm>
      </xdr:grpSpPr>
      <xdr:sp macro="" textlink="">
        <xdr:nvSpPr>
          <xdr:cNvPr id="27" name="Rectangle: Rounded Corners 26">
            <a:extLst>
              <a:ext uri="{FF2B5EF4-FFF2-40B4-BE49-F238E27FC236}">
                <a16:creationId xmlns:a16="http://schemas.microsoft.com/office/drawing/2014/main" id="{00000000-0008-0000-0400-00001B000000}"/>
              </a:ext>
            </a:extLst>
          </xdr:cNvPr>
          <xdr:cNvSpPr/>
        </xdr:nvSpPr>
        <xdr:spPr>
          <a:xfrm>
            <a:off x="6510866" y="795867"/>
            <a:ext cx="3090333"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6553201" y="905936"/>
            <a:ext cx="1862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 Tracking Balance</a:t>
            </a:r>
            <a:endParaRPr lang="en-DE" sz="1100" b="1"/>
          </a:p>
        </xdr:txBody>
      </xdr:sp>
      <xdr:sp macro="" textlink="Calculations!E25">
        <xdr:nvSpPr>
          <xdr:cNvPr id="29" name="TextBox 28">
            <a:extLst>
              <a:ext uri="{FF2B5EF4-FFF2-40B4-BE49-F238E27FC236}">
                <a16:creationId xmlns:a16="http://schemas.microsoft.com/office/drawing/2014/main" id="{00000000-0008-0000-0400-00001D000000}"/>
              </a:ext>
            </a:extLst>
          </xdr:cNvPr>
          <xdr:cNvSpPr txBox="1"/>
        </xdr:nvSpPr>
        <xdr:spPr>
          <a:xfrm>
            <a:off x="6553203" y="1185336"/>
            <a:ext cx="70273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8C479A-FC16-4959-98AA-46629DC41EDC}" type="TxLink">
              <a:rPr lang="en-US" sz="1200" b="1" i="0" u="none" strike="noStrike">
                <a:solidFill>
                  <a:srgbClr val="172144"/>
                </a:solidFill>
                <a:latin typeface="Calibri"/>
                <a:cs typeface="Calibri"/>
              </a:rPr>
              <a:pPr/>
              <a:t> (6 488)</a:t>
            </a:fld>
            <a:endParaRPr lang="en-DE" sz="2000" b="1"/>
          </a:p>
        </xdr:txBody>
      </xdr:sp>
      <xdr:sp macro="" textlink="Calculations!E26">
        <xdr:nvSpPr>
          <xdr:cNvPr id="30" name="TextBox 29">
            <a:extLst>
              <a:ext uri="{FF2B5EF4-FFF2-40B4-BE49-F238E27FC236}">
                <a16:creationId xmlns:a16="http://schemas.microsoft.com/office/drawing/2014/main" id="{00000000-0008-0000-0400-00001E000000}"/>
              </a:ext>
            </a:extLst>
          </xdr:cNvPr>
          <xdr:cNvSpPr txBox="1"/>
        </xdr:nvSpPr>
        <xdr:spPr>
          <a:xfrm>
            <a:off x="7095065" y="1202270"/>
            <a:ext cx="239606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1D5AC7-1C18-45C0-90F7-347F43CF8238}" type="TxLink">
              <a:rPr lang="en-US" sz="1050" b="0" i="0" u="none" strike="noStrike">
                <a:solidFill>
                  <a:srgbClr val="172144"/>
                </a:solidFill>
                <a:latin typeface="Calibri"/>
                <a:cs typeface="Calibri"/>
              </a:rPr>
              <a:pPr/>
              <a:t>allocated not covered by income</a:t>
            </a:fld>
            <a:endParaRPr lang="en-DE" sz="1000" b="1"/>
          </a:p>
        </xdr:txBody>
      </xdr:sp>
    </xdr:grpSp>
    <xdr:clientData/>
  </xdr:twoCellAnchor>
  <xdr:twoCellAnchor editAs="oneCell">
    <xdr:from>
      <xdr:col>34</xdr:col>
      <xdr:colOff>143933</xdr:colOff>
      <xdr:row>4</xdr:row>
      <xdr:rowOff>67734</xdr:rowOff>
    </xdr:from>
    <xdr:to>
      <xdr:col>38</xdr:col>
      <xdr:colOff>558801</xdr:colOff>
      <xdr:row>8</xdr:row>
      <xdr:rowOff>145628</xdr:rowOff>
    </xdr:to>
    <xdr:grpSp>
      <xdr:nvGrpSpPr>
        <xdr:cNvPr id="14" name="Group 13">
          <a:extLst>
            <a:ext uri="{FF2B5EF4-FFF2-40B4-BE49-F238E27FC236}">
              <a16:creationId xmlns:a16="http://schemas.microsoft.com/office/drawing/2014/main" id="{00000000-0008-0000-0400-00000E000000}"/>
            </a:ext>
          </a:extLst>
        </xdr:cNvPr>
        <xdr:cNvGrpSpPr/>
      </xdr:nvGrpSpPr>
      <xdr:grpSpPr>
        <a:xfrm>
          <a:off x="9366087" y="780888"/>
          <a:ext cx="3013483" cy="859432"/>
          <a:chOff x="8483600" y="787401"/>
          <a:chExt cx="2760134" cy="822960"/>
        </a:xfrm>
      </xdr:grpSpPr>
      <xdr:sp macro="" textlink="">
        <xdr:nvSpPr>
          <xdr:cNvPr id="32" name="Rectangle: Rounded Corners 31">
            <a:extLst>
              <a:ext uri="{FF2B5EF4-FFF2-40B4-BE49-F238E27FC236}">
                <a16:creationId xmlns:a16="http://schemas.microsoft.com/office/drawing/2014/main" id="{00000000-0008-0000-0400-000020000000}"/>
              </a:ext>
            </a:extLst>
          </xdr:cNvPr>
          <xdr:cNvSpPr/>
        </xdr:nvSpPr>
        <xdr:spPr>
          <a:xfrm>
            <a:off x="8483600" y="787401"/>
            <a:ext cx="2760134" cy="822960"/>
          </a:xfrm>
          <a:prstGeom prst="roundRect">
            <a:avLst>
              <a:gd name="adj" fmla="val 6379"/>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8525934" y="897470"/>
            <a:ext cx="1862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Period Savings Rate</a:t>
            </a:r>
            <a:endParaRPr lang="en-DE" sz="1100" b="1"/>
          </a:p>
        </xdr:txBody>
      </xdr:sp>
      <xdr:sp macro="" textlink="Calculations!E27">
        <xdr:nvSpPr>
          <xdr:cNvPr id="34" name="TextBox 33">
            <a:extLst>
              <a:ext uri="{FF2B5EF4-FFF2-40B4-BE49-F238E27FC236}">
                <a16:creationId xmlns:a16="http://schemas.microsoft.com/office/drawing/2014/main" id="{00000000-0008-0000-0400-000022000000}"/>
              </a:ext>
            </a:extLst>
          </xdr:cNvPr>
          <xdr:cNvSpPr txBox="1"/>
        </xdr:nvSpPr>
        <xdr:spPr>
          <a:xfrm>
            <a:off x="9389534" y="1176870"/>
            <a:ext cx="64346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365556-4D66-47FB-8119-3C262E040B9A}" type="TxLink">
              <a:rPr lang="en-US" sz="1200" b="1" i="0" u="none" strike="noStrike">
                <a:solidFill>
                  <a:schemeClr val="accent5"/>
                </a:solidFill>
                <a:latin typeface="Calibri"/>
                <a:cs typeface="Calibri"/>
              </a:rPr>
              <a:pPr algn="ctr"/>
              <a:t>1,0%</a:t>
            </a:fld>
            <a:endParaRPr lang="en-DE" sz="2400" b="1">
              <a:solidFill>
                <a:schemeClr val="accent5"/>
              </a:solidFill>
            </a:endParaRPr>
          </a:p>
        </xdr:txBody>
      </xdr:sp>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8525932" y="1193804"/>
            <a:ext cx="99060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You are saving</a:t>
            </a:r>
          </a:p>
        </xdr:txBody>
      </xdr:sp>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9931396" y="1193804"/>
            <a:ext cx="11599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of your income</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FBF21-F8EC-496E-A11E-62A1ADB0374A}" name="Income" displayName="Income" ref="C9:C13" totalsRowShown="0" headerRowDxfId="57" dataDxfId="56">
  <autoFilter ref="C9:C13" xr:uid="{CE2FBF21-F8EC-496E-A11E-62A1ADB0374A}">
    <filterColumn colId="0" hiddenButton="1"/>
  </autoFilter>
  <tableColumns count="1">
    <tableColumn id="1" xr3:uid="{52CC3A55-522E-4312-82C8-AC12CDF5AA16}" name="Income" dataDxfId="55"/>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DB77A-3FAE-4367-925D-0BBC552B6563}" name="Expenses" displayName="Expenses" ref="C22:C38" totalsRowShown="0" headerRowDxfId="54" dataDxfId="53">
  <autoFilter ref="C22:C38" xr:uid="{BC1DB77A-3FAE-4367-925D-0BBC552B6563}">
    <filterColumn colId="0" hiddenButton="1"/>
  </autoFilter>
  <tableColumns count="1">
    <tableColumn id="1" xr3:uid="{FAEA0E6E-2266-4619-ABF7-26F8940A6379}" name="Expenses" dataDxfId="52"/>
  </tableColumns>
  <tableStyleInfo name="Expenses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5C6114-F69A-43ED-AA64-A5604E059468}" name="Savings" displayName="Savings" ref="C104:C108" totalsRowShown="0" headerRowDxfId="51" dataDxfId="50">
  <autoFilter ref="C104:C108" xr:uid="{5B5C6114-F69A-43ED-AA64-A5604E059468}">
    <filterColumn colId="0" hiddenButton="1"/>
  </autoFilter>
  <tableColumns count="1">
    <tableColumn id="1" xr3:uid="{A0995732-B4F3-4E81-88CA-663C1A1BAA0A}" name="Savings" dataDxfId="49"/>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1F74EA-BD04-44EF-9859-B2A0CE3176CF}" name="Tracking" displayName="Tracking" ref="C11:I1334" totalsRowShown="0" headerRowDxfId="48" dataDxfId="47">
  <autoFilter ref="C11:I1334" xr:uid="{8A1F74EA-BD04-44EF-9859-B2A0CE3176CF}"/>
  <sortState xmlns:xlrd2="http://schemas.microsoft.com/office/spreadsheetml/2017/richdata2" ref="C12:I1334">
    <sortCondition ref="C11:C1334"/>
  </sortState>
  <tableColumns count="7">
    <tableColumn id="1" xr3:uid="{FC7E4689-B277-425A-B411-578B55917B07}" name="Date" dataDxfId="46"/>
    <tableColumn id="2" xr3:uid="{818881F5-979B-487A-9EFC-39D612A07CA4}" name="Type" dataDxfId="45"/>
    <tableColumn id="3" xr3:uid="{EF8B57E5-D65B-44C3-A9A8-D6F47A3030AA}" name="Category" dataDxfId="44"/>
    <tableColumn id="4" xr3:uid="{4E8B306B-6887-4D58-9DD4-A24546742E4A}" name="Amount" dataDxfId="43" dataCellStyle="Comma"/>
    <tableColumn id="5" xr3:uid="{FF4E4157-298A-4B25-92F1-30181F853D12}" name="Details" dataDxfId="42"/>
    <tableColumn id="6" xr3:uid="{0092602C-796C-43F6-BB31-2674DEF2A273}" name="Balance" dataDxfId="41" dataCellStyle="Comma">
      <calculatedColumnFormula array="1">IFERROR(SUMPRODUCT(Tracking[Amount], --(Tracking[Date]&lt;=Tracking[[#This Row],[Date]]), (Tracking[Type]&lt;&gt;"Income") * (-1) + (Tracking[Type]="Income")), "-")</calculatedColumnFormula>
    </tableColumn>
    <tableColumn id="7" xr3:uid="{35E51804-74F7-43B7-8DA1-0F299FFADCBF}" name="Effective Date" dataDxfId="40">
      <calculatedColumnFormula>IF(AND(Tracking[[#This Row],[Type]]="Income", shift_late_income_status="Active", DAY(Tracking[[#This Row],[Date]])&gt;=shift_late_income_starting_day),
      DATE(YEAR(Tracking[[#This Row],[Date]]), MONTH(Tracking[[#This Row],[Date]])+1, 1),
      Tracking[[#This Row],[Date]])</calculatedColumnFormula>
    </tableColumn>
  </tableColumns>
  <tableStyleInfo name="Tracking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4CBF6D-EF89-FF42-B7EB-0024F79F4649}" name="Table6" displayName="Table6" ref="A1:D5" totalsRowShown="0">
  <autoFilter ref="A1:D5" xr:uid="{4F4CBF6D-EF89-FF42-B7EB-0024F79F4649}"/>
  <tableColumns count="4">
    <tableColumn id="1" xr3:uid="{DB12EF85-D132-844C-BDBD-EFC37A3232C8}" name="Type" dataDxfId="39"/>
    <tableColumn id="2" xr3:uid="{3D9F3D54-CAD4-2045-8459-C213EB0864F5}" name="Amount" dataDxfId="38"/>
    <tableColumn id="3" xr3:uid="{E60AE980-2CE0-4641-A6F6-D6A7A7D67EF4}" name="Location"/>
    <tableColumn id="4" xr3:uid="{347092F5-570B-E946-9E2C-C6474403AD2B}" name="Note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Nova">
      <a:dk1>
        <a:srgbClr val="172144"/>
      </a:dk1>
      <a:lt1>
        <a:srgbClr val="FFFFFF"/>
      </a:lt1>
      <a:dk2>
        <a:srgbClr val="F0E936"/>
      </a:dk2>
      <a:lt2>
        <a:srgbClr val="40D492"/>
      </a:lt2>
      <a:accent1>
        <a:srgbClr val="F9B710"/>
      </a:accent1>
      <a:accent2>
        <a:srgbClr val="FE1684"/>
      </a:accent2>
      <a:accent3>
        <a:srgbClr val="9237BC"/>
      </a:accent3>
      <a:accent4>
        <a:srgbClr val="4633F2"/>
      </a:accent4>
      <a:accent5>
        <a:srgbClr val="3285F3"/>
      </a:accent5>
      <a:accent6>
        <a:srgbClr val="1DD7F3"/>
      </a:accent6>
      <a:hlink>
        <a:srgbClr val="2F8299"/>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xcelfind.com/documentation/ultimate-excel-personal-budget"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318E-DE87-41A1-8F32-FF769582A958}">
  <sheetPr>
    <tabColor rgb="FF000000"/>
  </sheetPr>
  <dimension ref="B1:K28"/>
  <sheetViews>
    <sheetView showGridLines="0" zoomScale="160" zoomScaleNormal="160" workbookViewId="0">
      <selection activeCell="I16" sqref="I16"/>
    </sheetView>
  </sheetViews>
  <sheetFormatPr baseColWidth="10" defaultColWidth="8.83203125" defaultRowHeight="15" x14ac:dyDescent="0.2"/>
  <cols>
    <col min="1" max="1" width="5.5" customWidth="1"/>
    <col min="2" max="3" width="2.83203125" customWidth="1"/>
    <col min="4" max="4" width="21.33203125" customWidth="1"/>
    <col min="5" max="5" width="51.6640625" customWidth="1"/>
    <col min="6" max="6" width="2.83203125" customWidth="1"/>
    <col min="7" max="7" width="7" customWidth="1"/>
    <col min="8" max="8" width="2.83203125" customWidth="1"/>
    <col min="9" max="9" width="22.6640625" customWidth="1"/>
    <col min="10" max="10" width="104.33203125" customWidth="1"/>
    <col min="11" max="11" width="2.83203125" customWidth="1"/>
  </cols>
  <sheetData>
    <row r="1" spans="2:11" s="1" customFormat="1" ht="7.25" customHeight="1" x14ac:dyDescent="0.2"/>
    <row r="2" spans="2:11" s="1" customFormat="1" ht="27.5" customHeight="1" x14ac:dyDescent="0.3">
      <c r="B2" s="2" t="s">
        <v>0</v>
      </c>
    </row>
    <row r="3" spans="2:11" s="1" customFormat="1" ht="7.25" customHeight="1" x14ac:dyDescent="0.2"/>
    <row r="6" spans="2:11" x14ac:dyDescent="0.2">
      <c r="C6" s="105" t="s">
        <v>1</v>
      </c>
      <c r="D6" s="105"/>
      <c r="E6" s="105"/>
      <c r="F6" s="105"/>
      <c r="H6" s="106" t="s">
        <v>2</v>
      </c>
      <c r="I6" s="106"/>
      <c r="J6" s="106"/>
      <c r="K6" s="106"/>
    </row>
    <row r="7" spans="2:11" x14ac:dyDescent="0.2">
      <c r="C7" s="6"/>
      <c r="F7" s="7"/>
      <c r="H7" s="6"/>
      <c r="K7" s="7"/>
    </row>
    <row r="8" spans="2:11" ht="14.25" customHeight="1" x14ac:dyDescent="0.2">
      <c r="C8" s="6"/>
      <c r="D8" s="86" t="s">
        <v>3</v>
      </c>
      <c r="E8" s="87" t="s">
        <v>4</v>
      </c>
      <c r="F8" s="7"/>
      <c r="H8" s="6"/>
      <c r="I8" s="92" t="s">
        <v>5</v>
      </c>
      <c r="J8" s="104" t="s">
        <v>6</v>
      </c>
      <c r="K8" s="7"/>
    </row>
    <row r="9" spans="2:11" x14ac:dyDescent="0.2">
      <c r="C9" s="6"/>
      <c r="D9" s="86"/>
      <c r="E9" s="87"/>
      <c r="F9" s="7"/>
      <c r="H9" s="6"/>
      <c r="J9" s="104"/>
      <c r="K9" s="7"/>
    </row>
    <row r="10" spans="2:11" x14ac:dyDescent="0.2">
      <c r="C10" s="6"/>
      <c r="D10" s="86" t="s">
        <v>7</v>
      </c>
      <c r="E10" s="87" t="s">
        <v>8</v>
      </c>
      <c r="F10" s="7"/>
      <c r="H10" s="6"/>
      <c r="J10" s="104"/>
      <c r="K10" s="7"/>
    </row>
    <row r="11" spans="2:11" x14ac:dyDescent="0.2">
      <c r="C11" s="6"/>
      <c r="D11" s="86"/>
      <c r="E11" s="87"/>
      <c r="F11" s="7"/>
      <c r="H11" s="6"/>
      <c r="J11" s="104"/>
      <c r="K11" s="7"/>
    </row>
    <row r="12" spans="2:11" ht="58.25" customHeight="1" x14ac:dyDescent="0.2">
      <c r="C12" s="6"/>
      <c r="D12" s="86" t="s">
        <v>9</v>
      </c>
      <c r="E12" s="88" t="s">
        <v>10</v>
      </c>
      <c r="F12" s="7"/>
      <c r="H12" s="6"/>
      <c r="J12" s="104"/>
      <c r="K12" s="7"/>
    </row>
    <row r="13" spans="2:11" ht="17" customHeight="1" x14ac:dyDescent="0.2">
      <c r="C13" s="6"/>
      <c r="D13" s="86"/>
      <c r="E13" s="88"/>
      <c r="F13" s="7"/>
      <c r="H13" s="6"/>
      <c r="I13" s="93" t="s">
        <v>11</v>
      </c>
      <c r="J13" s="104" t="s">
        <v>12</v>
      </c>
      <c r="K13" s="7"/>
    </row>
    <row r="14" spans="2:11" ht="14.25" customHeight="1" x14ac:dyDescent="0.2">
      <c r="C14" s="6"/>
      <c r="D14" s="86" t="s">
        <v>13</v>
      </c>
      <c r="E14" s="90" t="s">
        <v>14</v>
      </c>
      <c r="F14" s="7"/>
      <c r="H14" s="6"/>
      <c r="J14" s="104"/>
      <c r="K14" s="7"/>
    </row>
    <row r="15" spans="2:11" x14ac:dyDescent="0.2">
      <c r="C15" s="6"/>
      <c r="D15" s="86"/>
      <c r="E15" s="88"/>
      <c r="F15" s="7"/>
      <c r="H15" s="6"/>
      <c r="I15" s="89"/>
      <c r="J15" s="104"/>
      <c r="K15" s="7"/>
    </row>
    <row r="16" spans="2:11" ht="26" x14ac:dyDescent="0.2">
      <c r="C16" s="6"/>
      <c r="D16" s="86" t="s">
        <v>15</v>
      </c>
      <c r="E16" s="88" t="s">
        <v>16</v>
      </c>
      <c r="F16" s="7"/>
      <c r="H16" s="6"/>
      <c r="I16" s="89"/>
      <c r="J16" s="104"/>
      <c r="K16" s="7"/>
    </row>
    <row r="17" spans="3:11" x14ac:dyDescent="0.2">
      <c r="C17" s="8"/>
      <c r="D17" s="9"/>
      <c r="E17" s="9"/>
      <c r="F17" s="10"/>
      <c r="H17" s="6"/>
      <c r="J17" s="104"/>
      <c r="K17" s="7"/>
    </row>
    <row r="18" spans="3:11" x14ac:dyDescent="0.2">
      <c r="H18" s="6"/>
      <c r="J18" s="104"/>
      <c r="K18" s="7"/>
    </row>
    <row r="19" spans="3:11" ht="14.25" customHeight="1" x14ac:dyDescent="0.2">
      <c r="C19" s="107" t="s">
        <v>17</v>
      </c>
      <c r="D19" s="107"/>
      <c r="E19" s="107"/>
      <c r="F19" s="107"/>
      <c r="H19" s="6"/>
      <c r="J19" s="104"/>
      <c r="K19" s="7"/>
    </row>
    <row r="20" spans="3:11" x14ac:dyDescent="0.2">
      <c r="C20" s="6"/>
      <c r="F20" s="7"/>
      <c r="H20" s="6"/>
      <c r="J20" s="104"/>
      <c r="K20" s="7"/>
    </row>
    <row r="21" spans="3:11" ht="15.5" customHeight="1" x14ac:dyDescent="0.2">
      <c r="C21" s="6"/>
      <c r="D21" s="86"/>
      <c r="E21" s="104" t="s">
        <v>18</v>
      </c>
      <c r="F21" s="7"/>
      <c r="H21" s="6"/>
      <c r="I21" s="93" t="s">
        <v>19</v>
      </c>
      <c r="J21" s="104" t="s">
        <v>20</v>
      </c>
      <c r="K21" s="7"/>
    </row>
    <row r="22" spans="3:11" x14ac:dyDescent="0.2">
      <c r="C22" s="6"/>
      <c r="E22" s="104"/>
      <c r="F22" s="7"/>
      <c r="H22" s="6"/>
      <c r="J22" s="104"/>
      <c r="K22" s="7"/>
    </row>
    <row r="23" spans="3:11" x14ac:dyDescent="0.2">
      <c r="C23" s="6"/>
      <c r="E23" s="104"/>
      <c r="F23" s="7"/>
      <c r="H23" s="6"/>
      <c r="I23" s="93"/>
      <c r="J23" s="104"/>
      <c r="K23" s="7"/>
    </row>
    <row r="24" spans="3:11" x14ac:dyDescent="0.2">
      <c r="C24" s="6"/>
      <c r="E24" s="104"/>
      <c r="F24" s="7"/>
      <c r="H24" s="6"/>
      <c r="J24" s="104"/>
      <c r="K24" s="7"/>
    </row>
    <row r="25" spans="3:11" x14ac:dyDescent="0.2">
      <c r="C25" s="6"/>
      <c r="E25" s="104"/>
      <c r="F25" s="7"/>
      <c r="H25" s="6"/>
      <c r="J25" s="104"/>
      <c r="K25" s="7"/>
    </row>
    <row r="26" spans="3:11" x14ac:dyDescent="0.2">
      <c r="C26" s="6"/>
      <c r="E26" s="88"/>
      <c r="F26" s="7"/>
      <c r="H26" s="6"/>
      <c r="K26" s="7"/>
    </row>
    <row r="27" spans="3:11" x14ac:dyDescent="0.2">
      <c r="C27" s="6"/>
      <c r="E27" s="88"/>
      <c r="F27" s="7"/>
      <c r="H27" s="6"/>
      <c r="I27" s="93" t="s">
        <v>21</v>
      </c>
      <c r="J27" s="91" t="s">
        <v>22</v>
      </c>
      <c r="K27" s="7"/>
    </row>
    <row r="28" spans="3:11" x14ac:dyDescent="0.2">
      <c r="C28" s="8"/>
      <c r="D28" s="9"/>
      <c r="E28" s="9"/>
      <c r="F28" s="10"/>
      <c r="H28" s="8"/>
      <c r="I28" s="9"/>
      <c r="J28" s="9"/>
      <c r="K28" s="10"/>
    </row>
  </sheetData>
  <mergeCells count="7">
    <mergeCell ref="J13:J20"/>
    <mergeCell ref="J21:J25"/>
    <mergeCell ref="C6:F6"/>
    <mergeCell ref="H6:K6"/>
    <mergeCell ref="C19:F19"/>
    <mergeCell ref="E21:E25"/>
    <mergeCell ref="J8:J12"/>
  </mergeCells>
  <hyperlinks>
    <hyperlink ref="E14" r:id="rId1" xr:uid="{CED66076-D1E5-4DDC-BB2E-677052B4E0F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9215-7AC0-4352-9B28-4B04D862AB8E}">
  <dimension ref="B1:H25"/>
  <sheetViews>
    <sheetView showGridLines="0" zoomScale="150" zoomScaleNormal="150" workbookViewId="0">
      <selection activeCell="E9" sqref="E9"/>
    </sheetView>
  </sheetViews>
  <sheetFormatPr baseColWidth="10" defaultColWidth="8.83203125" defaultRowHeight="15" x14ac:dyDescent="0.2"/>
  <cols>
    <col min="1" max="1" width="5.5" customWidth="1"/>
    <col min="2" max="2" width="2.83203125" customWidth="1"/>
    <col min="3" max="3" width="2.1640625" customWidth="1"/>
    <col min="4" max="4" width="30.1640625" customWidth="1"/>
    <col min="5" max="5" width="24.83203125" customWidth="1"/>
    <col min="6" max="6" width="1.83203125" customWidth="1"/>
    <col min="7" max="7" width="81.83203125" customWidth="1"/>
    <col min="8" max="8" width="2.1640625" customWidth="1"/>
  </cols>
  <sheetData>
    <row r="1" spans="2:8" s="1" customFormat="1" ht="7.25" customHeight="1" x14ac:dyDescent="0.2"/>
    <row r="2" spans="2:8" s="1" customFormat="1" ht="27.5" customHeight="1" x14ac:dyDescent="0.3">
      <c r="B2" s="2" t="s">
        <v>23</v>
      </c>
    </row>
    <row r="3" spans="2:8" s="1" customFormat="1" ht="7.25" customHeight="1" x14ac:dyDescent="0.2"/>
    <row r="6" spans="2:8" x14ac:dyDescent="0.2">
      <c r="C6" s="108" t="s">
        <v>24</v>
      </c>
      <c r="D6" s="108"/>
      <c r="E6" s="108"/>
      <c r="F6" s="108"/>
      <c r="G6" s="108"/>
      <c r="H6" s="108"/>
    </row>
    <row r="7" spans="2:8" x14ac:dyDescent="0.2">
      <c r="C7" s="6"/>
      <c r="H7" s="7"/>
    </row>
    <row r="8" spans="2:8" x14ac:dyDescent="0.2">
      <c r="C8" s="6"/>
      <c r="D8" s="11" t="s">
        <v>25</v>
      </c>
      <c r="E8" s="12">
        <v>2024</v>
      </c>
      <c r="G8" s="13" t="s">
        <v>26</v>
      </c>
      <c r="H8" s="7"/>
    </row>
    <row r="9" spans="2:8" x14ac:dyDescent="0.2">
      <c r="C9" s="8"/>
      <c r="D9" s="9"/>
      <c r="E9" s="9"/>
      <c r="F9" s="9"/>
      <c r="G9" s="9"/>
      <c r="H9" s="10"/>
    </row>
    <row r="12" spans="2:8" x14ac:dyDescent="0.2">
      <c r="C12" s="108" t="s">
        <v>27</v>
      </c>
      <c r="D12" s="108"/>
      <c r="E12" s="108"/>
      <c r="F12" s="108"/>
      <c r="G12" s="108"/>
      <c r="H12" s="108"/>
    </row>
    <row r="13" spans="2:8" x14ac:dyDescent="0.2">
      <c r="C13" s="6"/>
      <c r="H13" s="7"/>
    </row>
    <row r="14" spans="2:8" ht="16" x14ac:dyDescent="0.2">
      <c r="C14" s="6"/>
      <c r="D14" s="38" t="s">
        <v>28</v>
      </c>
      <c r="H14" s="7"/>
    </row>
    <row r="15" spans="2:8" x14ac:dyDescent="0.2">
      <c r="C15" s="6"/>
      <c r="H15" s="7"/>
    </row>
    <row r="16" spans="2:8" x14ac:dyDescent="0.2">
      <c r="C16" s="6"/>
      <c r="D16" s="15" t="s">
        <v>29</v>
      </c>
      <c r="E16" s="12" t="s">
        <v>30</v>
      </c>
      <c r="G16" s="109" t="s">
        <v>31</v>
      </c>
      <c r="H16" s="7"/>
    </row>
    <row r="17" spans="3:8" ht="6.5" customHeight="1" x14ac:dyDescent="0.2">
      <c r="C17" s="6"/>
      <c r="G17" s="109"/>
      <c r="H17" s="7"/>
    </row>
    <row r="18" spans="3:8" x14ac:dyDescent="0.2">
      <c r="C18" s="6"/>
      <c r="D18" s="15" t="s">
        <v>32</v>
      </c>
      <c r="E18" s="12">
        <v>20</v>
      </c>
      <c r="G18" s="109"/>
      <c r="H18" s="7"/>
    </row>
    <row r="19" spans="3:8" x14ac:dyDescent="0.2">
      <c r="C19" s="6"/>
      <c r="H19" s="7"/>
    </row>
    <row r="20" spans="3:8" ht="16" x14ac:dyDescent="0.2">
      <c r="C20" s="6"/>
      <c r="D20" s="38" t="s">
        <v>33</v>
      </c>
      <c r="H20" s="7"/>
    </row>
    <row r="21" spans="3:8" x14ac:dyDescent="0.2">
      <c r="C21" s="6"/>
      <c r="H21" s="7"/>
    </row>
    <row r="22" spans="3:8" x14ac:dyDescent="0.2">
      <c r="C22" s="6"/>
      <c r="D22" s="15" t="s">
        <v>34</v>
      </c>
      <c r="E22" s="12" t="s">
        <v>35</v>
      </c>
      <c r="G22" s="109" t="s">
        <v>36</v>
      </c>
      <c r="H22" s="7"/>
    </row>
    <row r="23" spans="3:8" x14ac:dyDescent="0.2">
      <c r="C23" s="6"/>
      <c r="G23" s="110"/>
      <c r="H23" s="7"/>
    </row>
    <row r="24" spans="3:8" x14ac:dyDescent="0.2">
      <c r="C24" s="6"/>
      <c r="G24" s="110"/>
      <c r="H24" s="7"/>
    </row>
    <row r="25" spans="3:8" x14ac:dyDescent="0.2">
      <c r="C25" s="8"/>
      <c r="D25" s="9"/>
      <c r="E25" s="9"/>
      <c r="F25" s="9"/>
      <c r="G25" s="9"/>
      <c r="H25" s="10"/>
    </row>
  </sheetData>
  <mergeCells count="4">
    <mergeCell ref="C6:H6"/>
    <mergeCell ref="C12:H12"/>
    <mergeCell ref="G16:G18"/>
    <mergeCell ref="G22:G24"/>
  </mergeCells>
  <conditionalFormatting sqref="E18">
    <cfRule type="expression" dxfId="37" priority="1">
      <formula>shift_late_income_status="Inactive"</formula>
    </cfRule>
  </conditionalFormatting>
  <dataValidations count="2">
    <dataValidation type="list" allowBlank="1" showInputMessage="1" showErrorMessage="1" sqref="E16" xr:uid="{0E18D4F0-9A20-469B-B5BC-1709B6E5F8E5}">
      <formula1>"Active, Inactive"</formula1>
    </dataValidation>
    <dataValidation type="list" allowBlank="1" showInputMessage="1" showErrorMessage="1" sqref="E22" xr:uid="{74C79C35-FF00-4E8F-9E4F-FCD239BA8886}">
      <formula1>"% allocated to Savings, % not allocated to Expenses"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6AA5-4567-45D9-A283-40E06CB50EA2}">
  <sheetPr>
    <tabColor theme="0"/>
  </sheetPr>
  <dimension ref="A1:EM115"/>
  <sheetViews>
    <sheetView showGridLines="0" zoomScale="130" zoomScaleNormal="130" workbookViewId="0">
      <pane xSplit="4" topLeftCell="Q1" activePane="topRight" state="frozen"/>
      <selection activeCell="A2" sqref="A2"/>
      <selection pane="topRight" activeCell="AG25" sqref="AG25"/>
    </sheetView>
  </sheetViews>
  <sheetFormatPr baseColWidth="10" defaultColWidth="8.83203125" defaultRowHeight="15" outlineLevelCol="1" x14ac:dyDescent="0.2"/>
  <cols>
    <col min="1" max="1" width="5.5" customWidth="1"/>
    <col min="2" max="2" width="2.83203125" customWidth="1"/>
    <col min="3" max="3" width="27.83203125" customWidth="1"/>
    <col min="4" max="4" width="1.33203125" customWidth="1"/>
    <col min="5" max="13" width="8.83203125" hidden="1" customWidth="1" outlineLevel="1"/>
    <col min="14" max="16" width="9.5" hidden="1" customWidth="1" outlineLevel="1"/>
    <col min="17" max="17" width="8.83203125" collapsed="1"/>
    <col min="18" max="18" width="1.33203125" customWidth="1"/>
    <col min="19" max="27" width="8.83203125" customWidth="1" outlineLevel="1"/>
    <col min="28" max="30" width="9.5" customWidth="1" outlineLevel="1"/>
    <col min="32" max="32" width="1.33203125" customWidth="1"/>
    <col min="33" max="41" width="8.83203125" customWidth="1" outlineLevel="1"/>
    <col min="42" max="43" width="9.5" customWidth="1" outlineLevel="1"/>
    <col min="44" max="44" width="10" customWidth="1" outlineLevel="1"/>
    <col min="46" max="46" width="1.33203125" customWidth="1"/>
    <col min="47" max="55" width="8.83203125" customWidth="1" outlineLevel="1"/>
    <col min="56" max="58" width="9.5" customWidth="1" outlineLevel="1"/>
    <col min="60" max="60" width="1.33203125" customWidth="1"/>
    <col min="61" max="69" width="0" hidden="1" customWidth="1" outlineLevel="1"/>
    <col min="70" max="72" width="9.5" hidden="1" customWidth="1" outlineLevel="1"/>
    <col min="73" max="73" width="8.83203125" collapsed="1"/>
    <col min="74" max="74" width="1.33203125" customWidth="1"/>
    <col min="75" max="83" width="0" hidden="1" customWidth="1" outlineLevel="1"/>
    <col min="84" max="86" width="9.5" hidden="1" customWidth="1" outlineLevel="1"/>
    <col min="87" max="87" width="8.83203125" collapsed="1"/>
    <col min="88" max="88" width="1.33203125" customWidth="1"/>
    <col min="89" max="97" width="0" hidden="1" customWidth="1" outlineLevel="1"/>
    <col min="98" max="100" width="9.5" hidden="1" customWidth="1" outlineLevel="1"/>
    <col min="101" max="101" width="8.83203125" collapsed="1"/>
    <col min="102" max="102" width="1.33203125" customWidth="1"/>
    <col min="103" max="111" width="0" hidden="1" customWidth="1" outlineLevel="1"/>
    <col min="112" max="114" width="9.5" hidden="1" customWidth="1" outlineLevel="1"/>
    <col min="115" max="115" width="8.83203125" collapsed="1"/>
    <col min="116" max="116" width="1.33203125" customWidth="1"/>
    <col min="117" max="125" width="0" hidden="1" customWidth="1" outlineLevel="1"/>
    <col min="126" max="128" width="9.5" hidden="1" customWidth="1" outlineLevel="1"/>
    <col min="129" max="129" width="8.83203125" collapsed="1"/>
    <col min="130" max="130" width="1.33203125" customWidth="1"/>
    <col min="131" max="139" width="0" hidden="1" customWidth="1" outlineLevel="1"/>
    <col min="140" max="142" width="9.5" hidden="1" customWidth="1" outlineLevel="1"/>
    <col min="143" max="143" width="8.83203125" collapsed="1"/>
    <col min="144" max="144" width="1.33203125" customWidth="1"/>
  </cols>
  <sheetData>
    <row r="1" spans="1:143" s="1" customFormat="1" ht="7.25" customHeight="1" x14ac:dyDescent="0.2"/>
    <row r="2" spans="1:143" s="1" customFormat="1" ht="27.5" customHeight="1" x14ac:dyDescent="0.3">
      <c r="B2" s="2" t="s">
        <v>37</v>
      </c>
    </row>
    <row r="3" spans="1:143" s="1" customFormat="1" ht="7.25" customHeight="1" x14ac:dyDescent="0.2"/>
    <row r="4" spans="1:143" x14ac:dyDescent="0.2">
      <c r="A4" s="5"/>
    </row>
    <row r="5" spans="1:143" ht="18" customHeight="1" x14ac:dyDescent="0.2">
      <c r="C5" s="14" t="s">
        <v>38</v>
      </c>
      <c r="E5" s="108">
        <f>starting_year</f>
        <v>2024</v>
      </c>
      <c r="F5" s="108"/>
      <c r="G5" s="108"/>
      <c r="H5" s="108"/>
      <c r="I5" s="108"/>
      <c r="J5" s="108"/>
      <c r="K5" s="108"/>
      <c r="L5" s="108"/>
      <c r="M5" s="108"/>
      <c r="N5" s="108"/>
      <c r="O5" s="108"/>
      <c r="P5" s="108"/>
      <c r="Q5" s="108"/>
      <c r="S5" s="108">
        <f>E5+1</f>
        <v>2025</v>
      </c>
      <c r="T5" s="108"/>
      <c r="U5" s="108"/>
      <c r="V5" s="108"/>
      <c r="W5" s="108"/>
      <c r="X5" s="108"/>
      <c r="Y5" s="108"/>
      <c r="Z5" s="108"/>
      <c r="AA5" s="108"/>
      <c r="AB5" s="108"/>
      <c r="AC5" s="108"/>
      <c r="AD5" s="108"/>
      <c r="AE5" s="108"/>
      <c r="AG5" s="108">
        <f t="shared" ref="AG5" si="0">S5+1</f>
        <v>2026</v>
      </c>
      <c r="AH5" s="108"/>
      <c r="AI5" s="108"/>
      <c r="AJ5" s="108"/>
      <c r="AK5" s="108"/>
      <c r="AL5" s="108"/>
      <c r="AM5" s="108"/>
      <c r="AN5" s="108"/>
      <c r="AO5" s="108"/>
      <c r="AP5" s="108"/>
      <c r="AQ5" s="108"/>
      <c r="AR5" s="108"/>
      <c r="AS5" s="108"/>
      <c r="AU5" s="108">
        <f t="shared" ref="AU5" si="1">AG5+1</f>
        <v>2027</v>
      </c>
      <c r="AV5" s="108"/>
      <c r="AW5" s="108"/>
      <c r="AX5" s="108"/>
      <c r="AY5" s="108"/>
      <c r="AZ5" s="108"/>
      <c r="BA5" s="108"/>
      <c r="BB5" s="108"/>
      <c r="BC5" s="108"/>
      <c r="BD5" s="108"/>
      <c r="BE5" s="108"/>
      <c r="BF5" s="108"/>
      <c r="BG5" s="108"/>
      <c r="BI5" s="108">
        <f t="shared" ref="BI5" si="2">AU5+1</f>
        <v>2028</v>
      </c>
      <c r="BJ5" s="108"/>
      <c r="BK5" s="108"/>
      <c r="BL5" s="108"/>
      <c r="BM5" s="108"/>
      <c r="BN5" s="108"/>
      <c r="BO5" s="108"/>
      <c r="BP5" s="108"/>
      <c r="BQ5" s="108"/>
      <c r="BR5" s="108"/>
      <c r="BS5" s="108"/>
      <c r="BT5" s="108"/>
      <c r="BU5" s="108"/>
      <c r="BW5" s="108">
        <f t="shared" ref="BW5" si="3">BI5+1</f>
        <v>2029</v>
      </c>
      <c r="BX5" s="108"/>
      <c r="BY5" s="108"/>
      <c r="BZ5" s="108"/>
      <c r="CA5" s="108"/>
      <c r="CB5" s="108"/>
      <c r="CC5" s="108"/>
      <c r="CD5" s="108"/>
      <c r="CE5" s="108"/>
      <c r="CF5" s="108"/>
      <c r="CG5" s="108"/>
      <c r="CH5" s="108"/>
      <c r="CI5" s="108"/>
      <c r="CK5" s="108">
        <f t="shared" ref="CK5" si="4">BW5+1</f>
        <v>2030</v>
      </c>
      <c r="CL5" s="108"/>
      <c r="CM5" s="108"/>
      <c r="CN5" s="108"/>
      <c r="CO5" s="108"/>
      <c r="CP5" s="108"/>
      <c r="CQ5" s="108"/>
      <c r="CR5" s="108"/>
      <c r="CS5" s="108"/>
      <c r="CT5" s="108"/>
      <c r="CU5" s="108"/>
      <c r="CV5" s="108"/>
      <c r="CW5" s="108"/>
      <c r="CY5" s="108">
        <f t="shared" ref="CY5" si="5">CK5+1</f>
        <v>2031</v>
      </c>
      <c r="CZ5" s="108"/>
      <c r="DA5" s="108"/>
      <c r="DB5" s="108"/>
      <c r="DC5" s="108"/>
      <c r="DD5" s="108"/>
      <c r="DE5" s="108"/>
      <c r="DF5" s="108"/>
      <c r="DG5" s="108"/>
      <c r="DH5" s="108"/>
      <c r="DI5" s="108"/>
      <c r="DJ5" s="108"/>
      <c r="DK5" s="108"/>
      <c r="DM5" s="108">
        <f t="shared" ref="DM5" si="6">CY5+1</f>
        <v>2032</v>
      </c>
      <c r="DN5" s="108"/>
      <c r="DO5" s="108"/>
      <c r="DP5" s="108"/>
      <c r="DQ5" s="108"/>
      <c r="DR5" s="108"/>
      <c r="DS5" s="108"/>
      <c r="DT5" s="108"/>
      <c r="DU5" s="108"/>
      <c r="DV5" s="108"/>
      <c r="DW5" s="108"/>
      <c r="DX5" s="108"/>
      <c r="DY5" s="108"/>
      <c r="EA5" s="108">
        <f t="shared" ref="EA5" si="7">DM5+1</f>
        <v>2033</v>
      </c>
      <c r="EB5" s="108"/>
      <c r="EC5" s="108"/>
      <c r="ED5" s="108"/>
      <c r="EE5" s="108"/>
      <c r="EF5" s="108"/>
      <c r="EG5" s="108"/>
      <c r="EH5" s="108"/>
      <c r="EI5" s="108"/>
      <c r="EJ5" s="108"/>
      <c r="EK5" s="108"/>
      <c r="EL5" s="108"/>
      <c r="EM5" s="108"/>
    </row>
    <row r="6" spans="1:143" x14ac:dyDescent="0.2">
      <c r="E6" s="30" t="str">
        <f ca="1">IF(E7=0, "Jan ✓", "Jan")</f>
        <v>Jan ✓</v>
      </c>
      <c r="F6" s="30" t="str">
        <f ca="1">IF(F7=0, "Feb ✓", "Feb")</f>
        <v>Feb ✓</v>
      </c>
      <c r="G6" s="30" t="str">
        <f ca="1">IF(G7=0, "Mar ✓", "Mar")</f>
        <v>Mar ✓</v>
      </c>
      <c r="H6" s="30" t="str">
        <f ca="1">IF(H7=0, "Apr ✓", "Apr")</f>
        <v>Apr ✓</v>
      </c>
      <c r="I6" s="30" t="str">
        <f ca="1">IF(I7=0, "May ✓", "May")</f>
        <v>May ✓</v>
      </c>
      <c r="J6" s="30" t="str">
        <f ca="1">IF(J7=0, "Jun ✓", "Jun")</f>
        <v>Jun</v>
      </c>
      <c r="K6" s="30" t="str">
        <f ca="1">IF(K7=0, "Jul ✓", "Jul")</f>
        <v>Jul</v>
      </c>
      <c r="L6" s="30" t="str">
        <f ca="1">IF(L7=0, "Aug ✓", "Aug")</f>
        <v>Aug</v>
      </c>
      <c r="M6" s="30" t="str">
        <f ca="1">IF(M7=0, "Sep ✓", "Sep")</f>
        <v>Sep</v>
      </c>
      <c r="N6" s="30" t="str">
        <f ca="1">IF(N7=0, "Oct ✓", "Oct")</f>
        <v>Oct</v>
      </c>
      <c r="O6" s="30" t="str">
        <f ca="1">IF(O7=0, "Nov ✓", "Nov")</f>
        <v>Nov</v>
      </c>
      <c r="P6" s="30" t="str">
        <f ca="1">IF(P7=0, "Dec ✓", "Dec")</f>
        <v>Dec</v>
      </c>
      <c r="Q6" s="30" t="str">
        <f ca="1">IF(Q7=0, "Total ✓", "Total")</f>
        <v>Total</v>
      </c>
      <c r="S6" s="30" t="str">
        <f ca="1">IF(S7=0, "Jan ✓", "Jan")</f>
        <v>Jan ✓</v>
      </c>
      <c r="T6" s="30" t="str">
        <f ca="1">IF(T7=0, "Feb ✓", "Feb")</f>
        <v>Feb ✓</v>
      </c>
      <c r="U6" s="30" t="str">
        <f ca="1">IF(U7=0, "Mar ✓", "Mar")</f>
        <v>Mar ✓</v>
      </c>
      <c r="V6" s="30" t="str">
        <f ca="1">IF(V7=0, "Apr ✓", "Apr")</f>
        <v>Apr ✓</v>
      </c>
      <c r="W6" s="30" t="str">
        <f ca="1">IF(W7=0, "May ✓", "May")</f>
        <v>May ✓</v>
      </c>
      <c r="X6" s="30" t="str">
        <f ca="1">IF(X7=0, "Jun ✓", "Jun")</f>
        <v>Jun ✓</v>
      </c>
      <c r="Y6" s="30" t="str">
        <f ca="1">IF(Y7=0, "Jul ✓", "Jul")</f>
        <v>Jul ✓</v>
      </c>
      <c r="Z6" s="30" t="str">
        <f ca="1">IF(Z7=0, "Aug ✓", "Aug")</f>
        <v>Aug ✓</v>
      </c>
      <c r="AA6" s="30" t="str">
        <f ca="1">IF(AA7=0, "Sep ✓", "Sep")</f>
        <v>Sep ✓</v>
      </c>
      <c r="AB6" s="30" t="str">
        <f ca="1">IF(AB7=0, "Oct ✓", "Oct")</f>
        <v>Oct ✓</v>
      </c>
      <c r="AC6" s="30" t="str">
        <f ca="1">IF(AC7=0, "Nov ✓", "Nov")</f>
        <v>Nov ✓</v>
      </c>
      <c r="AD6" s="30" t="str">
        <f ca="1">IF(AD7=0, "Dec ✓", "Dec")</f>
        <v>Dec ✓</v>
      </c>
      <c r="AE6" s="30" t="str">
        <f ca="1">IF(AE7=0, "Total ✓", "Total")</f>
        <v>Total ✓</v>
      </c>
      <c r="AG6" s="30" t="str">
        <f t="shared" ref="AG6" ca="1" si="8">IF(AG7=0, "Jan ✓", "Jan")</f>
        <v>Jan ✓</v>
      </c>
      <c r="AH6" s="30" t="str">
        <f t="shared" ref="AH6" ca="1" si="9">IF(AH7=0, "Feb ✓", "Feb")</f>
        <v>Feb</v>
      </c>
      <c r="AI6" s="30" t="str">
        <f t="shared" ref="AI6" ca="1" si="10">IF(AI7=0, "Mar ✓", "Mar")</f>
        <v>Mar</v>
      </c>
      <c r="AJ6" s="30" t="str">
        <f t="shared" ref="AJ6" ca="1" si="11">IF(AJ7=0, "Apr ✓", "Apr")</f>
        <v>Apr</v>
      </c>
      <c r="AK6" s="30" t="str">
        <f t="shared" ref="AK6" ca="1" si="12">IF(AK7=0, "May ✓", "May")</f>
        <v>May</v>
      </c>
      <c r="AL6" s="30" t="str">
        <f t="shared" ref="AL6" ca="1" si="13">IF(AL7=0, "Jun ✓", "Jun")</f>
        <v>Jun</v>
      </c>
      <c r="AM6" s="30" t="str">
        <f t="shared" ref="AM6" ca="1" si="14">IF(AM7=0, "Jul ✓", "Jul")</f>
        <v>Jul</v>
      </c>
      <c r="AN6" s="30" t="str">
        <f t="shared" ref="AN6" ca="1" si="15">IF(AN7=0, "Aug ✓", "Aug")</f>
        <v>Aug</v>
      </c>
      <c r="AO6" s="30" t="str">
        <f t="shared" ref="AO6" ca="1" si="16">IF(AO7=0, "Sep ✓", "Sep")</f>
        <v>Sep</v>
      </c>
      <c r="AP6" s="30" t="str">
        <f t="shared" ref="AP6" ca="1" si="17">IF(AP7=0, "Oct ✓", "Oct")</f>
        <v>Oct</v>
      </c>
      <c r="AQ6" s="30" t="str">
        <f t="shared" ref="AQ6" ca="1" si="18">IF(AQ7=0, "Nov ✓", "Nov")</f>
        <v>Nov</v>
      </c>
      <c r="AR6" s="30" t="str">
        <f t="shared" ref="AR6" ca="1" si="19">IF(AR7=0, "Dec ✓", "Dec")</f>
        <v>Dec</v>
      </c>
      <c r="AS6" s="30" t="str">
        <f t="shared" ref="AS6" ca="1" si="20">IF(AS7=0, "Total ✓", "Total")</f>
        <v>Total</v>
      </c>
      <c r="AU6" s="30" t="str">
        <f t="shared" ref="AU6" ca="1" si="21">IF(AU7=0, "Jan ✓", "Jan")</f>
        <v>Jan ✓</v>
      </c>
      <c r="AV6" s="30" t="str">
        <f t="shared" ref="AV6" ca="1" si="22">IF(AV7=0, "Feb ✓", "Feb")</f>
        <v>Feb ✓</v>
      </c>
      <c r="AW6" s="30" t="str">
        <f t="shared" ref="AW6" ca="1" si="23">IF(AW7=0, "Mar ✓", "Mar")</f>
        <v>Mar ✓</v>
      </c>
      <c r="AX6" s="30" t="str">
        <f t="shared" ref="AX6" ca="1" si="24">IF(AX7=0, "Apr ✓", "Apr")</f>
        <v>Apr ✓</v>
      </c>
      <c r="AY6" s="30" t="str">
        <f t="shared" ref="AY6" ca="1" si="25">IF(AY7=0, "May ✓", "May")</f>
        <v>May ✓</v>
      </c>
      <c r="AZ6" s="30" t="str">
        <f t="shared" ref="AZ6" ca="1" si="26">IF(AZ7=0, "Jun ✓", "Jun")</f>
        <v>Jun ✓</v>
      </c>
      <c r="BA6" s="30" t="str">
        <f t="shared" ref="BA6" ca="1" si="27">IF(BA7=0, "Jul ✓", "Jul")</f>
        <v>Jul ✓</v>
      </c>
      <c r="BB6" s="30" t="str">
        <f t="shared" ref="BB6" ca="1" si="28">IF(BB7=0, "Aug ✓", "Aug")</f>
        <v>Aug ✓</v>
      </c>
      <c r="BC6" s="30" t="str">
        <f t="shared" ref="BC6" ca="1" si="29">IF(BC7=0, "Sep ✓", "Sep")</f>
        <v>Sep ✓</v>
      </c>
      <c r="BD6" s="30" t="str">
        <f t="shared" ref="BD6" ca="1" si="30">IF(BD7=0, "Oct ✓", "Oct")</f>
        <v>Oct ✓</v>
      </c>
      <c r="BE6" s="30" t="str">
        <f t="shared" ref="BE6" ca="1" si="31">IF(BE7=0, "Nov ✓", "Nov")</f>
        <v>Nov ✓</v>
      </c>
      <c r="BF6" s="30" t="str">
        <f t="shared" ref="BF6" ca="1" si="32">IF(BF7=0, "Dec ✓", "Dec")</f>
        <v>Dec ✓</v>
      </c>
      <c r="BG6" s="30" t="str">
        <f t="shared" ref="BG6" ca="1" si="33">IF(BG7=0, "Total ✓", "Total")</f>
        <v>Total ✓</v>
      </c>
      <c r="BI6" s="30" t="str">
        <f t="shared" ref="BI6" ca="1" si="34">IF(BI7=0, "Jan ✓", "Jan")</f>
        <v>Jan ✓</v>
      </c>
      <c r="BJ6" s="30" t="str">
        <f t="shared" ref="BJ6" ca="1" si="35">IF(BJ7=0, "Feb ✓", "Feb")</f>
        <v>Feb ✓</v>
      </c>
      <c r="BK6" s="30" t="str">
        <f t="shared" ref="BK6" ca="1" si="36">IF(BK7=0, "Mar ✓", "Mar")</f>
        <v>Mar ✓</v>
      </c>
      <c r="BL6" s="30" t="str">
        <f t="shared" ref="BL6" ca="1" si="37">IF(BL7=0, "Apr ✓", "Apr")</f>
        <v>Apr ✓</v>
      </c>
      <c r="BM6" s="30" t="str">
        <f t="shared" ref="BM6" ca="1" si="38">IF(BM7=0, "May ✓", "May")</f>
        <v>May ✓</v>
      </c>
      <c r="BN6" s="30" t="str">
        <f t="shared" ref="BN6" ca="1" si="39">IF(BN7=0, "Jun ✓", "Jun")</f>
        <v>Jun ✓</v>
      </c>
      <c r="BO6" s="30" t="str">
        <f t="shared" ref="BO6" ca="1" si="40">IF(BO7=0, "Jul ✓", "Jul")</f>
        <v>Jul ✓</v>
      </c>
      <c r="BP6" s="30" t="str">
        <f t="shared" ref="BP6" ca="1" si="41">IF(BP7=0, "Aug ✓", "Aug")</f>
        <v>Aug ✓</v>
      </c>
      <c r="BQ6" s="30" t="str">
        <f t="shared" ref="BQ6" ca="1" si="42">IF(BQ7=0, "Sep ✓", "Sep")</f>
        <v>Sep ✓</v>
      </c>
      <c r="BR6" s="30" t="str">
        <f t="shared" ref="BR6" ca="1" si="43">IF(BR7=0, "Oct ✓", "Oct")</f>
        <v>Oct ✓</v>
      </c>
      <c r="BS6" s="30" t="str">
        <f t="shared" ref="BS6" ca="1" si="44">IF(BS7=0, "Nov ✓", "Nov")</f>
        <v>Nov ✓</v>
      </c>
      <c r="BT6" s="30" t="str">
        <f t="shared" ref="BT6" ca="1" si="45">IF(BT7=0, "Dec ✓", "Dec")</f>
        <v>Dec ✓</v>
      </c>
      <c r="BU6" s="30" t="str">
        <f t="shared" ref="BU6" ca="1" si="46">IF(BU7=0, "Total ✓", "Total")</f>
        <v>Total ✓</v>
      </c>
      <c r="BW6" s="30" t="str">
        <f t="shared" ref="BW6" ca="1" si="47">IF(BW7=0, "Jan ✓", "Jan")</f>
        <v>Jan ✓</v>
      </c>
      <c r="BX6" s="30" t="str">
        <f t="shared" ref="BX6" ca="1" si="48">IF(BX7=0, "Feb ✓", "Feb")</f>
        <v>Feb ✓</v>
      </c>
      <c r="BY6" s="30" t="str">
        <f t="shared" ref="BY6" ca="1" si="49">IF(BY7=0, "Mar ✓", "Mar")</f>
        <v>Mar ✓</v>
      </c>
      <c r="BZ6" s="30" t="str">
        <f t="shared" ref="BZ6" ca="1" si="50">IF(BZ7=0, "Apr ✓", "Apr")</f>
        <v>Apr ✓</v>
      </c>
      <c r="CA6" s="30" t="str">
        <f t="shared" ref="CA6" ca="1" si="51">IF(CA7=0, "May ✓", "May")</f>
        <v>May ✓</v>
      </c>
      <c r="CB6" s="30" t="str">
        <f t="shared" ref="CB6" ca="1" si="52">IF(CB7=0, "Jun ✓", "Jun")</f>
        <v>Jun ✓</v>
      </c>
      <c r="CC6" s="30" t="str">
        <f t="shared" ref="CC6" ca="1" si="53">IF(CC7=0, "Jul ✓", "Jul")</f>
        <v>Jul ✓</v>
      </c>
      <c r="CD6" s="30" t="str">
        <f t="shared" ref="CD6" ca="1" si="54">IF(CD7=0, "Aug ✓", "Aug")</f>
        <v>Aug ✓</v>
      </c>
      <c r="CE6" s="30" t="str">
        <f t="shared" ref="CE6" ca="1" si="55">IF(CE7=0, "Sep ✓", "Sep")</f>
        <v>Sep ✓</v>
      </c>
      <c r="CF6" s="30" t="str">
        <f t="shared" ref="CF6" ca="1" si="56">IF(CF7=0, "Oct ✓", "Oct")</f>
        <v>Oct ✓</v>
      </c>
      <c r="CG6" s="30" t="str">
        <f t="shared" ref="CG6" ca="1" si="57">IF(CG7=0, "Nov ✓", "Nov")</f>
        <v>Nov ✓</v>
      </c>
      <c r="CH6" s="30" t="str">
        <f t="shared" ref="CH6" ca="1" si="58">IF(CH7=0, "Dec ✓", "Dec")</f>
        <v>Dec ✓</v>
      </c>
      <c r="CI6" s="30" t="str">
        <f t="shared" ref="CI6" ca="1" si="59">IF(CI7=0, "Total ✓", "Total")</f>
        <v>Total ✓</v>
      </c>
      <c r="CK6" s="30" t="str">
        <f t="shared" ref="CK6" ca="1" si="60">IF(CK7=0, "Jan ✓", "Jan")</f>
        <v>Jan ✓</v>
      </c>
      <c r="CL6" s="30" t="str">
        <f t="shared" ref="CL6" ca="1" si="61">IF(CL7=0, "Feb ✓", "Feb")</f>
        <v>Feb ✓</v>
      </c>
      <c r="CM6" s="30" t="str">
        <f t="shared" ref="CM6" ca="1" si="62">IF(CM7=0, "Mar ✓", "Mar")</f>
        <v>Mar ✓</v>
      </c>
      <c r="CN6" s="30" t="str">
        <f t="shared" ref="CN6" ca="1" si="63">IF(CN7=0, "Apr ✓", "Apr")</f>
        <v>Apr ✓</v>
      </c>
      <c r="CO6" s="30" t="str">
        <f t="shared" ref="CO6" ca="1" si="64">IF(CO7=0, "May ✓", "May")</f>
        <v>May ✓</v>
      </c>
      <c r="CP6" s="30" t="str">
        <f t="shared" ref="CP6" ca="1" si="65">IF(CP7=0, "Jun ✓", "Jun")</f>
        <v>Jun ✓</v>
      </c>
      <c r="CQ6" s="30" t="str">
        <f t="shared" ref="CQ6" ca="1" si="66">IF(CQ7=0, "Jul ✓", "Jul")</f>
        <v>Jul ✓</v>
      </c>
      <c r="CR6" s="30" t="str">
        <f t="shared" ref="CR6" ca="1" si="67">IF(CR7=0, "Aug ✓", "Aug")</f>
        <v>Aug ✓</v>
      </c>
      <c r="CS6" s="30" t="str">
        <f t="shared" ref="CS6" ca="1" si="68">IF(CS7=0, "Sep ✓", "Sep")</f>
        <v>Sep ✓</v>
      </c>
      <c r="CT6" s="30" t="str">
        <f t="shared" ref="CT6" ca="1" si="69">IF(CT7=0, "Oct ✓", "Oct")</f>
        <v>Oct ✓</v>
      </c>
      <c r="CU6" s="30" t="str">
        <f t="shared" ref="CU6" ca="1" si="70">IF(CU7=0, "Nov ✓", "Nov")</f>
        <v>Nov ✓</v>
      </c>
      <c r="CV6" s="30" t="str">
        <f t="shared" ref="CV6" ca="1" si="71">IF(CV7=0, "Dec ✓", "Dec")</f>
        <v>Dec ✓</v>
      </c>
      <c r="CW6" s="30" t="str">
        <f t="shared" ref="CW6" ca="1" si="72">IF(CW7=0, "Total ✓", "Total")</f>
        <v>Total ✓</v>
      </c>
      <c r="CY6" s="30" t="str">
        <f t="shared" ref="CY6" ca="1" si="73">IF(CY7=0, "Jan ✓", "Jan")</f>
        <v>Jan ✓</v>
      </c>
      <c r="CZ6" s="30" t="str">
        <f t="shared" ref="CZ6" ca="1" si="74">IF(CZ7=0, "Feb ✓", "Feb")</f>
        <v>Feb ✓</v>
      </c>
      <c r="DA6" s="30" t="str">
        <f t="shared" ref="DA6" ca="1" si="75">IF(DA7=0, "Mar ✓", "Mar")</f>
        <v>Mar ✓</v>
      </c>
      <c r="DB6" s="30" t="str">
        <f t="shared" ref="DB6" ca="1" si="76">IF(DB7=0, "Apr ✓", "Apr")</f>
        <v>Apr ✓</v>
      </c>
      <c r="DC6" s="30" t="str">
        <f t="shared" ref="DC6" ca="1" si="77">IF(DC7=0, "May ✓", "May")</f>
        <v>May ✓</v>
      </c>
      <c r="DD6" s="30" t="str">
        <f t="shared" ref="DD6" ca="1" si="78">IF(DD7=0, "Jun ✓", "Jun")</f>
        <v>Jun ✓</v>
      </c>
      <c r="DE6" s="30" t="str">
        <f t="shared" ref="DE6" ca="1" si="79">IF(DE7=0, "Jul ✓", "Jul")</f>
        <v>Jul ✓</v>
      </c>
      <c r="DF6" s="30" t="str">
        <f t="shared" ref="DF6" ca="1" si="80">IF(DF7=0, "Aug ✓", "Aug")</f>
        <v>Aug ✓</v>
      </c>
      <c r="DG6" s="30" t="str">
        <f t="shared" ref="DG6" ca="1" si="81">IF(DG7=0, "Sep ✓", "Sep")</f>
        <v>Sep ✓</v>
      </c>
      <c r="DH6" s="30" t="str">
        <f t="shared" ref="DH6" ca="1" si="82">IF(DH7=0, "Oct ✓", "Oct")</f>
        <v>Oct ✓</v>
      </c>
      <c r="DI6" s="30" t="str">
        <f t="shared" ref="DI6" ca="1" si="83">IF(DI7=0, "Nov ✓", "Nov")</f>
        <v>Nov ✓</v>
      </c>
      <c r="DJ6" s="30" t="str">
        <f t="shared" ref="DJ6" ca="1" si="84">IF(DJ7=0, "Dec ✓", "Dec")</f>
        <v>Dec ✓</v>
      </c>
      <c r="DK6" s="30" t="str">
        <f t="shared" ref="DK6" ca="1" si="85">IF(DK7=0, "Total ✓", "Total")</f>
        <v>Total ✓</v>
      </c>
      <c r="DM6" s="30" t="str">
        <f t="shared" ref="DM6" ca="1" si="86">IF(DM7=0, "Jan ✓", "Jan")</f>
        <v>Jan ✓</v>
      </c>
      <c r="DN6" s="30" t="str">
        <f t="shared" ref="DN6" ca="1" si="87">IF(DN7=0, "Feb ✓", "Feb")</f>
        <v>Feb ✓</v>
      </c>
      <c r="DO6" s="30" t="str">
        <f t="shared" ref="DO6" ca="1" si="88">IF(DO7=0, "Mar ✓", "Mar")</f>
        <v>Mar ✓</v>
      </c>
      <c r="DP6" s="30" t="str">
        <f t="shared" ref="DP6" ca="1" si="89">IF(DP7=0, "Apr ✓", "Apr")</f>
        <v>Apr ✓</v>
      </c>
      <c r="DQ6" s="30" t="str">
        <f t="shared" ref="DQ6" ca="1" si="90">IF(DQ7=0, "May ✓", "May")</f>
        <v>May ✓</v>
      </c>
      <c r="DR6" s="30" t="str">
        <f t="shared" ref="DR6" ca="1" si="91">IF(DR7=0, "Jun ✓", "Jun")</f>
        <v>Jun ✓</v>
      </c>
      <c r="DS6" s="30" t="str">
        <f t="shared" ref="DS6" ca="1" si="92">IF(DS7=0, "Jul ✓", "Jul")</f>
        <v>Jul ✓</v>
      </c>
      <c r="DT6" s="30" t="str">
        <f t="shared" ref="DT6" ca="1" si="93">IF(DT7=0, "Aug ✓", "Aug")</f>
        <v>Aug ✓</v>
      </c>
      <c r="DU6" s="30" t="str">
        <f t="shared" ref="DU6" ca="1" si="94">IF(DU7=0, "Sep ✓", "Sep")</f>
        <v>Sep ✓</v>
      </c>
      <c r="DV6" s="30" t="str">
        <f t="shared" ref="DV6" ca="1" si="95">IF(DV7=0, "Oct ✓", "Oct")</f>
        <v>Oct ✓</v>
      </c>
      <c r="DW6" s="30" t="str">
        <f t="shared" ref="DW6" ca="1" si="96">IF(DW7=0, "Nov ✓", "Nov")</f>
        <v>Nov ✓</v>
      </c>
      <c r="DX6" s="30" t="str">
        <f t="shared" ref="DX6" ca="1" si="97">IF(DX7=0, "Dec ✓", "Dec")</f>
        <v>Dec ✓</v>
      </c>
      <c r="DY6" s="30" t="str">
        <f t="shared" ref="DY6" ca="1" si="98">IF(DY7=0, "Total ✓", "Total")</f>
        <v>Total ✓</v>
      </c>
      <c r="EA6" s="30" t="str">
        <f t="shared" ref="EA6" ca="1" si="99">IF(EA7=0, "Jan ✓", "Jan")</f>
        <v>Jan ✓</v>
      </c>
      <c r="EB6" s="30" t="str">
        <f t="shared" ref="EB6" ca="1" si="100">IF(EB7=0, "Feb ✓", "Feb")</f>
        <v>Feb ✓</v>
      </c>
      <c r="EC6" s="30" t="str">
        <f t="shared" ref="EC6" ca="1" si="101">IF(EC7=0, "Mar ✓", "Mar")</f>
        <v>Mar ✓</v>
      </c>
      <c r="ED6" s="30" t="str">
        <f t="shared" ref="ED6" ca="1" si="102">IF(ED7=0, "Apr ✓", "Apr")</f>
        <v>Apr ✓</v>
      </c>
      <c r="EE6" s="30" t="str">
        <f t="shared" ref="EE6" ca="1" si="103">IF(EE7=0, "May ✓", "May")</f>
        <v>May ✓</v>
      </c>
      <c r="EF6" s="30" t="str">
        <f t="shared" ref="EF6" ca="1" si="104">IF(EF7=0, "Jun ✓", "Jun")</f>
        <v>Jun ✓</v>
      </c>
      <c r="EG6" s="30" t="str">
        <f t="shared" ref="EG6" ca="1" si="105">IF(EG7=0, "Jul ✓", "Jul")</f>
        <v>Jul ✓</v>
      </c>
      <c r="EH6" s="30" t="str">
        <f t="shared" ref="EH6" ca="1" si="106">IF(EH7=0, "Aug ✓", "Aug")</f>
        <v>Aug ✓</v>
      </c>
      <c r="EI6" s="30" t="str">
        <f t="shared" ref="EI6" ca="1" si="107">IF(EI7=0, "Sep ✓", "Sep")</f>
        <v>Sep ✓</v>
      </c>
      <c r="EJ6" s="30" t="str">
        <f t="shared" ref="EJ6" ca="1" si="108">IF(EJ7=0, "Oct ✓", "Oct")</f>
        <v>Oct ✓</v>
      </c>
      <c r="EK6" s="30" t="str">
        <f t="shared" ref="EK6" ca="1" si="109">IF(EK7=0, "Nov ✓", "Nov")</f>
        <v>Nov ✓</v>
      </c>
      <c r="EL6" s="30" t="str">
        <f t="shared" ref="EL6" ca="1" si="110">IF(EL7=0, "Dec ✓", "Dec")</f>
        <v>Dec ✓</v>
      </c>
      <c r="EM6" s="30" t="str">
        <f t="shared" ref="EM6" ca="1" si="111">IF(EM7=0, "Total ✓", "Total")</f>
        <v>Total ✓</v>
      </c>
    </row>
    <row r="7" spans="1:143" x14ac:dyDescent="0.2">
      <c r="C7" s="27" t="s">
        <v>39</v>
      </c>
      <c r="E7" s="28">
        <f t="shared" ref="E7:Q7" ca="1" si="112">E20-(E102+E115)</f>
        <v>0</v>
      </c>
      <c r="F7" s="28">
        <f t="shared" ca="1" si="112"/>
        <v>0</v>
      </c>
      <c r="G7" s="28">
        <f t="shared" ca="1" si="112"/>
        <v>0</v>
      </c>
      <c r="H7" s="28">
        <f t="shared" ca="1" si="112"/>
        <v>0</v>
      </c>
      <c r="I7" s="28">
        <f t="shared" ca="1" si="112"/>
        <v>0</v>
      </c>
      <c r="J7" s="28">
        <f t="shared" ca="1" si="112"/>
        <v>-26</v>
      </c>
      <c r="K7" s="28">
        <f t="shared" ca="1" si="112"/>
        <v>-26</v>
      </c>
      <c r="L7" s="28">
        <f t="shared" ca="1" si="112"/>
        <v>-26</v>
      </c>
      <c r="M7" s="28">
        <f t="shared" ca="1" si="112"/>
        <v>-26</v>
      </c>
      <c r="N7" s="28">
        <f t="shared" ca="1" si="112"/>
        <v>-26</v>
      </c>
      <c r="O7" s="28">
        <f t="shared" ca="1" si="112"/>
        <v>1224</v>
      </c>
      <c r="P7" s="28">
        <f t="shared" ca="1" si="112"/>
        <v>1224</v>
      </c>
      <c r="Q7" s="29">
        <f t="shared" ca="1" si="112"/>
        <v>2318</v>
      </c>
      <c r="S7" s="28">
        <f t="shared" ref="S7:AE7" ca="1" si="113">S20-(S102+S115)</f>
        <v>0</v>
      </c>
      <c r="T7" s="28">
        <f t="shared" ca="1" si="113"/>
        <v>0</v>
      </c>
      <c r="U7" s="28">
        <f t="shared" ca="1" si="113"/>
        <v>0</v>
      </c>
      <c r="V7" s="28">
        <f t="shared" ca="1" si="113"/>
        <v>0</v>
      </c>
      <c r="W7" s="28">
        <f t="shared" ca="1" si="113"/>
        <v>0</v>
      </c>
      <c r="X7" s="28">
        <f t="shared" ca="1" si="113"/>
        <v>0</v>
      </c>
      <c r="Y7" s="28">
        <f t="shared" ca="1" si="113"/>
        <v>0</v>
      </c>
      <c r="Z7" s="28">
        <f t="shared" ca="1" si="113"/>
        <v>0</v>
      </c>
      <c r="AA7" s="28">
        <f t="shared" ca="1" si="113"/>
        <v>0</v>
      </c>
      <c r="AB7" s="28">
        <f t="shared" ca="1" si="113"/>
        <v>0</v>
      </c>
      <c r="AC7" s="28">
        <f t="shared" ca="1" si="113"/>
        <v>0</v>
      </c>
      <c r="AD7" s="28">
        <f t="shared" ca="1" si="113"/>
        <v>0</v>
      </c>
      <c r="AE7" s="29">
        <f t="shared" ca="1" si="113"/>
        <v>0</v>
      </c>
      <c r="AG7" s="28">
        <f t="shared" ref="AG7:AS7" ca="1" si="114">AG20-(AG102+AG115)</f>
        <v>0</v>
      </c>
      <c r="AH7" s="28">
        <f t="shared" ca="1" si="114"/>
        <v>7950</v>
      </c>
      <c r="AI7" s="28">
        <f t="shared" ca="1" si="114"/>
        <v>7950</v>
      </c>
      <c r="AJ7" s="28">
        <f t="shared" ca="1" si="114"/>
        <v>7950</v>
      </c>
      <c r="AK7" s="28">
        <f t="shared" ca="1" si="114"/>
        <v>7950</v>
      </c>
      <c r="AL7" s="28">
        <f t="shared" ca="1" si="114"/>
        <v>7950</v>
      </c>
      <c r="AM7" s="28">
        <f t="shared" ca="1" si="114"/>
        <v>7950</v>
      </c>
      <c r="AN7" s="28">
        <f t="shared" ca="1" si="114"/>
        <v>7950</v>
      </c>
      <c r="AO7" s="28">
        <f t="shared" ca="1" si="114"/>
        <v>7950</v>
      </c>
      <c r="AP7" s="28">
        <f t="shared" ca="1" si="114"/>
        <v>7950</v>
      </c>
      <c r="AQ7" s="28">
        <f t="shared" ca="1" si="114"/>
        <v>7950</v>
      </c>
      <c r="AR7" s="28">
        <f t="shared" ca="1" si="114"/>
        <v>7950</v>
      </c>
      <c r="AS7" s="29">
        <f t="shared" ca="1" si="114"/>
        <v>7780</v>
      </c>
      <c r="AU7" s="28">
        <f t="shared" ref="AU7:BG7" ca="1" si="115">AU20-(AU102+AU115)</f>
        <v>0</v>
      </c>
      <c r="AV7" s="28">
        <f t="shared" ca="1" si="115"/>
        <v>0</v>
      </c>
      <c r="AW7" s="28">
        <f t="shared" ca="1" si="115"/>
        <v>0</v>
      </c>
      <c r="AX7" s="28">
        <f t="shared" ca="1" si="115"/>
        <v>0</v>
      </c>
      <c r="AY7" s="28">
        <f t="shared" ca="1" si="115"/>
        <v>0</v>
      </c>
      <c r="AZ7" s="28">
        <f t="shared" ca="1" si="115"/>
        <v>0</v>
      </c>
      <c r="BA7" s="28">
        <f t="shared" ca="1" si="115"/>
        <v>0</v>
      </c>
      <c r="BB7" s="28">
        <f t="shared" ca="1" si="115"/>
        <v>0</v>
      </c>
      <c r="BC7" s="28">
        <f t="shared" ca="1" si="115"/>
        <v>0</v>
      </c>
      <c r="BD7" s="28">
        <f t="shared" ca="1" si="115"/>
        <v>0</v>
      </c>
      <c r="BE7" s="28">
        <f t="shared" ca="1" si="115"/>
        <v>0</v>
      </c>
      <c r="BF7" s="28">
        <f t="shared" ca="1" si="115"/>
        <v>0</v>
      </c>
      <c r="BG7" s="29">
        <f t="shared" ca="1" si="115"/>
        <v>0</v>
      </c>
      <c r="BI7" s="28">
        <f t="shared" ref="BI7:BU7" ca="1" si="116">BI20-(BI102+BI115)</f>
        <v>0</v>
      </c>
      <c r="BJ7" s="28">
        <f t="shared" ca="1" si="116"/>
        <v>0</v>
      </c>
      <c r="BK7" s="28">
        <f t="shared" ca="1" si="116"/>
        <v>0</v>
      </c>
      <c r="BL7" s="28">
        <f t="shared" ca="1" si="116"/>
        <v>0</v>
      </c>
      <c r="BM7" s="28">
        <f t="shared" ca="1" si="116"/>
        <v>0</v>
      </c>
      <c r="BN7" s="28">
        <f t="shared" ca="1" si="116"/>
        <v>0</v>
      </c>
      <c r="BO7" s="28">
        <f t="shared" ca="1" si="116"/>
        <v>0</v>
      </c>
      <c r="BP7" s="28">
        <f t="shared" ca="1" si="116"/>
        <v>0</v>
      </c>
      <c r="BQ7" s="28">
        <f t="shared" ca="1" si="116"/>
        <v>0</v>
      </c>
      <c r="BR7" s="28">
        <f t="shared" ca="1" si="116"/>
        <v>0</v>
      </c>
      <c r="BS7" s="28">
        <f t="shared" ca="1" si="116"/>
        <v>0</v>
      </c>
      <c r="BT7" s="28">
        <f t="shared" ca="1" si="116"/>
        <v>0</v>
      </c>
      <c r="BU7" s="29">
        <f t="shared" ca="1" si="116"/>
        <v>0</v>
      </c>
      <c r="BW7" s="28">
        <f t="shared" ref="BW7:CI7" ca="1" si="117">BW20-(BW102+BW115)</f>
        <v>0</v>
      </c>
      <c r="BX7" s="28">
        <f t="shared" ca="1" si="117"/>
        <v>0</v>
      </c>
      <c r="BY7" s="28">
        <f t="shared" ca="1" si="117"/>
        <v>0</v>
      </c>
      <c r="BZ7" s="28">
        <f t="shared" ca="1" si="117"/>
        <v>0</v>
      </c>
      <c r="CA7" s="28">
        <f t="shared" ca="1" si="117"/>
        <v>0</v>
      </c>
      <c r="CB7" s="28">
        <f t="shared" ca="1" si="117"/>
        <v>0</v>
      </c>
      <c r="CC7" s="28">
        <f t="shared" ca="1" si="117"/>
        <v>0</v>
      </c>
      <c r="CD7" s="28">
        <f t="shared" ca="1" si="117"/>
        <v>0</v>
      </c>
      <c r="CE7" s="28">
        <f t="shared" ca="1" si="117"/>
        <v>0</v>
      </c>
      <c r="CF7" s="28">
        <f t="shared" ca="1" si="117"/>
        <v>0</v>
      </c>
      <c r="CG7" s="28">
        <f t="shared" ca="1" si="117"/>
        <v>0</v>
      </c>
      <c r="CH7" s="28">
        <f t="shared" ca="1" si="117"/>
        <v>0</v>
      </c>
      <c r="CI7" s="29">
        <f t="shared" ca="1" si="117"/>
        <v>0</v>
      </c>
      <c r="CK7" s="28">
        <f t="shared" ref="CK7:CW7" ca="1" si="118">CK20-(CK102+CK115)</f>
        <v>0</v>
      </c>
      <c r="CL7" s="28">
        <f t="shared" ca="1" si="118"/>
        <v>0</v>
      </c>
      <c r="CM7" s="28">
        <f t="shared" ca="1" si="118"/>
        <v>0</v>
      </c>
      <c r="CN7" s="28">
        <f t="shared" ca="1" si="118"/>
        <v>0</v>
      </c>
      <c r="CO7" s="28">
        <f t="shared" ca="1" si="118"/>
        <v>0</v>
      </c>
      <c r="CP7" s="28">
        <f t="shared" ca="1" si="118"/>
        <v>0</v>
      </c>
      <c r="CQ7" s="28">
        <f t="shared" ca="1" si="118"/>
        <v>0</v>
      </c>
      <c r="CR7" s="28">
        <f t="shared" ca="1" si="118"/>
        <v>0</v>
      </c>
      <c r="CS7" s="28">
        <f t="shared" ca="1" si="118"/>
        <v>0</v>
      </c>
      <c r="CT7" s="28">
        <f t="shared" ca="1" si="118"/>
        <v>0</v>
      </c>
      <c r="CU7" s="28">
        <f t="shared" ca="1" si="118"/>
        <v>0</v>
      </c>
      <c r="CV7" s="28">
        <f t="shared" ca="1" si="118"/>
        <v>0</v>
      </c>
      <c r="CW7" s="29">
        <f t="shared" ca="1" si="118"/>
        <v>0</v>
      </c>
      <c r="CY7" s="28">
        <f t="shared" ref="CY7:DK7" ca="1" si="119">CY20-(CY102+CY115)</f>
        <v>0</v>
      </c>
      <c r="CZ7" s="28">
        <f t="shared" ca="1" si="119"/>
        <v>0</v>
      </c>
      <c r="DA7" s="28">
        <f t="shared" ca="1" si="119"/>
        <v>0</v>
      </c>
      <c r="DB7" s="28">
        <f t="shared" ca="1" si="119"/>
        <v>0</v>
      </c>
      <c r="DC7" s="28">
        <f t="shared" ca="1" si="119"/>
        <v>0</v>
      </c>
      <c r="DD7" s="28">
        <f t="shared" ca="1" si="119"/>
        <v>0</v>
      </c>
      <c r="DE7" s="28">
        <f t="shared" ca="1" si="119"/>
        <v>0</v>
      </c>
      <c r="DF7" s="28">
        <f t="shared" ca="1" si="119"/>
        <v>0</v>
      </c>
      <c r="DG7" s="28">
        <f t="shared" ca="1" si="119"/>
        <v>0</v>
      </c>
      <c r="DH7" s="28">
        <f t="shared" ca="1" si="119"/>
        <v>0</v>
      </c>
      <c r="DI7" s="28">
        <f t="shared" ca="1" si="119"/>
        <v>0</v>
      </c>
      <c r="DJ7" s="28">
        <f t="shared" ca="1" si="119"/>
        <v>0</v>
      </c>
      <c r="DK7" s="29">
        <f t="shared" ca="1" si="119"/>
        <v>0</v>
      </c>
      <c r="DM7" s="28">
        <f t="shared" ref="DM7:DY7" ca="1" si="120">DM20-(DM102+DM115)</f>
        <v>0</v>
      </c>
      <c r="DN7" s="28">
        <f t="shared" ca="1" si="120"/>
        <v>0</v>
      </c>
      <c r="DO7" s="28">
        <f t="shared" ca="1" si="120"/>
        <v>0</v>
      </c>
      <c r="DP7" s="28">
        <f t="shared" ca="1" si="120"/>
        <v>0</v>
      </c>
      <c r="DQ7" s="28">
        <f t="shared" ca="1" si="120"/>
        <v>0</v>
      </c>
      <c r="DR7" s="28">
        <f t="shared" ca="1" si="120"/>
        <v>0</v>
      </c>
      <c r="DS7" s="28">
        <f t="shared" ca="1" si="120"/>
        <v>0</v>
      </c>
      <c r="DT7" s="28">
        <f t="shared" ca="1" si="120"/>
        <v>0</v>
      </c>
      <c r="DU7" s="28">
        <f t="shared" ca="1" si="120"/>
        <v>0</v>
      </c>
      <c r="DV7" s="28">
        <f t="shared" ca="1" si="120"/>
        <v>0</v>
      </c>
      <c r="DW7" s="28">
        <f t="shared" ca="1" si="120"/>
        <v>0</v>
      </c>
      <c r="DX7" s="28">
        <f t="shared" ca="1" si="120"/>
        <v>0</v>
      </c>
      <c r="DY7" s="29">
        <f t="shared" ca="1" si="120"/>
        <v>0</v>
      </c>
      <c r="EA7" s="28">
        <f t="shared" ref="EA7:EM7" ca="1" si="121">EA20-(EA102+EA115)</f>
        <v>0</v>
      </c>
      <c r="EB7" s="28">
        <f t="shared" ca="1" si="121"/>
        <v>0</v>
      </c>
      <c r="EC7" s="28">
        <f t="shared" ca="1" si="121"/>
        <v>0</v>
      </c>
      <c r="ED7" s="28">
        <f t="shared" ca="1" si="121"/>
        <v>0</v>
      </c>
      <c r="EE7" s="28">
        <f t="shared" ca="1" si="121"/>
        <v>0</v>
      </c>
      <c r="EF7" s="28">
        <f t="shared" ca="1" si="121"/>
        <v>0</v>
      </c>
      <c r="EG7" s="28">
        <f t="shared" ca="1" si="121"/>
        <v>0</v>
      </c>
      <c r="EH7" s="28">
        <f t="shared" ca="1" si="121"/>
        <v>0</v>
      </c>
      <c r="EI7" s="28">
        <f t="shared" ca="1" si="121"/>
        <v>0</v>
      </c>
      <c r="EJ7" s="28">
        <f t="shared" ca="1" si="121"/>
        <v>0</v>
      </c>
      <c r="EK7" s="28">
        <f t="shared" ca="1" si="121"/>
        <v>0</v>
      </c>
      <c r="EL7" s="28">
        <f t="shared" ca="1" si="121"/>
        <v>0</v>
      </c>
      <c r="EM7" s="29">
        <f t="shared" ca="1" si="121"/>
        <v>0</v>
      </c>
    </row>
    <row r="9" spans="1:143" x14ac:dyDescent="0.2">
      <c r="C9" s="15" t="s">
        <v>40</v>
      </c>
      <c r="E9" s="18">
        <f>DATE(E$5,1,1)</f>
        <v>45292</v>
      </c>
      <c r="F9" s="18">
        <f>DATE(E$5,2,1)</f>
        <v>45323</v>
      </c>
      <c r="G9" s="18">
        <f>DATE(E$5,3,1)</f>
        <v>45352</v>
      </c>
      <c r="H9" s="18">
        <f>DATE(E$5,4,1)</f>
        <v>45383</v>
      </c>
      <c r="I9" s="18">
        <f>DATE(E$5,5,1)</f>
        <v>45413</v>
      </c>
      <c r="J9" s="18">
        <f>DATE(E$5,6,1)</f>
        <v>45444</v>
      </c>
      <c r="K9" s="18">
        <f>DATE(E$5,7,1)</f>
        <v>45474</v>
      </c>
      <c r="L9" s="18">
        <f>DATE(E$5,8,1)</f>
        <v>45505</v>
      </c>
      <c r="M9" s="18">
        <f>DATE(E$5,9,1)</f>
        <v>45536</v>
      </c>
      <c r="N9" s="18">
        <f>DATE(E$5,10,1)</f>
        <v>45566</v>
      </c>
      <c r="O9" s="18">
        <f>DATE(E$5,11,1)</f>
        <v>45597</v>
      </c>
      <c r="P9" s="18">
        <f>DATE(E$5,12,1)</f>
        <v>45627</v>
      </c>
      <c r="Q9" s="17">
        <f>E$5</f>
        <v>2024</v>
      </c>
      <c r="S9" s="18">
        <f>DATE(S$5,1,1)</f>
        <v>45658</v>
      </c>
      <c r="T9" s="18">
        <f>DATE(S$5,2,1)</f>
        <v>45689</v>
      </c>
      <c r="U9" s="18">
        <f>DATE(S$5,3,1)</f>
        <v>45717</v>
      </c>
      <c r="V9" s="18">
        <f>DATE(S$5,4,1)</f>
        <v>45748</v>
      </c>
      <c r="W9" s="18">
        <f>DATE(S$5,5,1)</f>
        <v>45778</v>
      </c>
      <c r="X9" s="18">
        <f>DATE(S$5,6,1)</f>
        <v>45809</v>
      </c>
      <c r="Y9" s="18">
        <f>DATE(S$5,7,1)</f>
        <v>45839</v>
      </c>
      <c r="Z9" s="18">
        <f>DATE(S$5,8,1)</f>
        <v>45870</v>
      </c>
      <c r="AA9" s="18">
        <f>DATE(S$5,9,1)</f>
        <v>45901</v>
      </c>
      <c r="AB9" s="18">
        <f>DATE(S$5,10,1)</f>
        <v>45931</v>
      </c>
      <c r="AC9" s="18">
        <f>DATE(S$5,11,1)</f>
        <v>45962</v>
      </c>
      <c r="AD9" s="18">
        <f>DATE(S$5,12,1)</f>
        <v>45992</v>
      </c>
      <c r="AE9" s="17">
        <f>S$5</f>
        <v>2025</v>
      </c>
      <c r="AG9" s="18">
        <f t="shared" ref="AG9" si="122">DATE(AG$5,1,1)</f>
        <v>46023</v>
      </c>
      <c r="AH9" s="18">
        <f t="shared" ref="AH9" si="123">DATE(AG$5,2,1)</f>
        <v>46054</v>
      </c>
      <c r="AI9" s="18">
        <f t="shared" ref="AI9" si="124">DATE(AG$5,3,1)</f>
        <v>46082</v>
      </c>
      <c r="AJ9" s="18">
        <f t="shared" ref="AJ9" si="125">DATE(AG$5,4,1)</f>
        <v>46113</v>
      </c>
      <c r="AK9" s="18">
        <f t="shared" ref="AK9" si="126">DATE(AG$5,5,1)</f>
        <v>46143</v>
      </c>
      <c r="AL9" s="18">
        <f t="shared" ref="AL9" si="127">DATE(AG$5,6,1)</f>
        <v>46174</v>
      </c>
      <c r="AM9" s="18">
        <f t="shared" ref="AM9" si="128">DATE(AG$5,7,1)</f>
        <v>46204</v>
      </c>
      <c r="AN9" s="18">
        <f t="shared" ref="AN9" si="129">DATE(AG$5,8,1)</f>
        <v>46235</v>
      </c>
      <c r="AO9" s="18">
        <f t="shared" ref="AO9" si="130">DATE(AG$5,9,1)</f>
        <v>46266</v>
      </c>
      <c r="AP9" s="18">
        <f t="shared" ref="AP9" si="131">DATE(AG$5,10,1)</f>
        <v>46296</v>
      </c>
      <c r="AQ9" s="18">
        <f t="shared" ref="AQ9" si="132">DATE(AG$5,11,1)</f>
        <v>46327</v>
      </c>
      <c r="AR9" s="18">
        <f t="shared" ref="AR9" si="133">DATE(AG$5,12,1)</f>
        <v>46357</v>
      </c>
      <c r="AS9" s="17">
        <f t="shared" ref="AS9" si="134">AG$5</f>
        <v>2026</v>
      </c>
      <c r="AU9" s="18">
        <f t="shared" ref="AU9" si="135">DATE(AU$5,1,1)</f>
        <v>46388</v>
      </c>
      <c r="AV9" s="18">
        <f t="shared" ref="AV9" si="136">DATE(AU$5,2,1)</f>
        <v>46419</v>
      </c>
      <c r="AW9" s="18">
        <f t="shared" ref="AW9" si="137">DATE(AU$5,3,1)</f>
        <v>46447</v>
      </c>
      <c r="AX9" s="18">
        <f t="shared" ref="AX9" si="138">DATE(AU$5,4,1)</f>
        <v>46478</v>
      </c>
      <c r="AY9" s="18">
        <f t="shared" ref="AY9" si="139">DATE(AU$5,5,1)</f>
        <v>46508</v>
      </c>
      <c r="AZ9" s="18">
        <f t="shared" ref="AZ9" si="140">DATE(AU$5,6,1)</f>
        <v>46539</v>
      </c>
      <c r="BA9" s="18">
        <f t="shared" ref="BA9" si="141">DATE(AU$5,7,1)</f>
        <v>46569</v>
      </c>
      <c r="BB9" s="18">
        <f t="shared" ref="BB9" si="142">DATE(AU$5,8,1)</f>
        <v>46600</v>
      </c>
      <c r="BC9" s="18">
        <f t="shared" ref="BC9" si="143">DATE(AU$5,9,1)</f>
        <v>46631</v>
      </c>
      <c r="BD9" s="18">
        <f t="shared" ref="BD9" si="144">DATE(AU$5,10,1)</f>
        <v>46661</v>
      </c>
      <c r="BE9" s="18">
        <f t="shared" ref="BE9" si="145">DATE(AU$5,11,1)</f>
        <v>46692</v>
      </c>
      <c r="BF9" s="18">
        <f t="shared" ref="BF9" si="146">DATE(AU$5,12,1)</f>
        <v>46722</v>
      </c>
      <c r="BG9" s="17">
        <f t="shared" ref="BG9" si="147">AU$5</f>
        <v>2027</v>
      </c>
      <c r="BI9" s="18">
        <f t="shared" ref="BI9" si="148">DATE(BI$5,1,1)</f>
        <v>46753</v>
      </c>
      <c r="BJ9" s="18">
        <f t="shared" ref="BJ9" si="149">DATE(BI$5,2,1)</f>
        <v>46784</v>
      </c>
      <c r="BK9" s="18">
        <f t="shared" ref="BK9" si="150">DATE(BI$5,3,1)</f>
        <v>46813</v>
      </c>
      <c r="BL9" s="18">
        <f t="shared" ref="BL9" si="151">DATE(BI$5,4,1)</f>
        <v>46844</v>
      </c>
      <c r="BM9" s="18">
        <f t="shared" ref="BM9" si="152">DATE(BI$5,5,1)</f>
        <v>46874</v>
      </c>
      <c r="BN9" s="18">
        <f t="shared" ref="BN9" si="153">DATE(BI$5,6,1)</f>
        <v>46905</v>
      </c>
      <c r="BO9" s="18">
        <f t="shared" ref="BO9" si="154">DATE(BI$5,7,1)</f>
        <v>46935</v>
      </c>
      <c r="BP9" s="18">
        <f t="shared" ref="BP9" si="155">DATE(BI$5,8,1)</f>
        <v>46966</v>
      </c>
      <c r="BQ9" s="18">
        <f t="shared" ref="BQ9" si="156">DATE(BI$5,9,1)</f>
        <v>46997</v>
      </c>
      <c r="BR9" s="18">
        <f t="shared" ref="BR9" si="157">DATE(BI$5,10,1)</f>
        <v>47027</v>
      </c>
      <c r="BS9" s="18">
        <f t="shared" ref="BS9" si="158">DATE(BI$5,11,1)</f>
        <v>47058</v>
      </c>
      <c r="BT9" s="18">
        <f t="shared" ref="BT9" si="159">DATE(BI$5,12,1)</f>
        <v>47088</v>
      </c>
      <c r="BU9" s="17">
        <f t="shared" ref="BU9" si="160">BI$5</f>
        <v>2028</v>
      </c>
      <c r="BW9" s="18">
        <f t="shared" ref="BW9" si="161">DATE(BW$5,1,1)</f>
        <v>47119</v>
      </c>
      <c r="BX9" s="18">
        <f t="shared" ref="BX9" si="162">DATE(BW$5,2,1)</f>
        <v>47150</v>
      </c>
      <c r="BY9" s="18">
        <f t="shared" ref="BY9" si="163">DATE(BW$5,3,1)</f>
        <v>47178</v>
      </c>
      <c r="BZ9" s="18">
        <f t="shared" ref="BZ9" si="164">DATE(BW$5,4,1)</f>
        <v>47209</v>
      </c>
      <c r="CA9" s="18">
        <f t="shared" ref="CA9" si="165">DATE(BW$5,5,1)</f>
        <v>47239</v>
      </c>
      <c r="CB9" s="18">
        <f t="shared" ref="CB9" si="166">DATE(BW$5,6,1)</f>
        <v>47270</v>
      </c>
      <c r="CC9" s="18">
        <f t="shared" ref="CC9" si="167">DATE(BW$5,7,1)</f>
        <v>47300</v>
      </c>
      <c r="CD9" s="18">
        <f t="shared" ref="CD9" si="168">DATE(BW$5,8,1)</f>
        <v>47331</v>
      </c>
      <c r="CE9" s="18">
        <f t="shared" ref="CE9" si="169">DATE(BW$5,9,1)</f>
        <v>47362</v>
      </c>
      <c r="CF9" s="18">
        <f t="shared" ref="CF9" si="170">DATE(BW$5,10,1)</f>
        <v>47392</v>
      </c>
      <c r="CG9" s="18">
        <f t="shared" ref="CG9" si="171">DATE(BW$5,11,1)</f>
        <v>47423</v>
      </c>
      <c r="CH9" s="18">
        <f t="shared" ref="CH9" si="172">DATE(BW$5,12,1)</f>
        <v>47453</v>
      </c>
      <c r="CI9" s="17">
        <f t="shared" ref="CI9" si="173">BW$5</f>
        <v>2029</v>
      </c>
      <c r="CK9" s="18">
        <f t="shared" ref="CK9" si="174">DATE(CK$5,1,1)</f>
        <v>47484</v>
      </c>
      <c r="CL9" s="18">
        <f t="shared" ref="CL9" si="175">DATE(CK$5,2,1)</f>
        <v>47515</v>
      </c>
      <c r="CM9" s="18">
        <f t="shared" ref="CM9" si="176">DATE(CK$5,3,1)</f>
        <v>47543</v>
      </c>
      <c r="CN9" s="18">
        <f t="shared" ref="CN9" si="177">DATE(CK$5,4,1)</f>
        <v>47574</v>
      </c>
      <c r="CO9" s="18">
        <f t="shared" ref="CO9" si="178">DATE(CK$5,5,1)</f>
        <v>47604</v>
      </c>
      <c r="CP9" s="18">
        <f t="shared" ref="CP9" si="179">DATE(CK$5,6,1)</f>
        <v>47635</v>
      </c>
      <c r="CQ9" s="18">
        <f t="shared" ref="CQ9" si="180">DATE(CK$5,7,1)</f>
        <v>47665</v>
      </c>
      <c r="CR9" s="18">
        <f t="shared" ref="CR9" si="181">DATE(CK$5,8,1)</f>
        <v>47696</v>
      </c>
      <c r="CS9" s="18">
        <f t="shared" ref="CS9" si="182">DATE(CK$5,9,1)</f>
        <v>47727</v>
      </c>
      <c r="CT9" s="18">
        <f t="shared" ref="CT9" si="183">DATE(CK$5,10,1)</f>
        <v>47757</v>
      </c>
      <c r="CU9" s="18">
        <f t="shared" ref="CU9" si="184">DATE(CK$5,11,1)</f>
        <v>47788</v>
      </c>
      <c r="CV9" s="18">
        <f t="shared" ref="CV9" si="185">DATE(CK$5,12,1)</f>
        <v>47818</v>
      </c>
      <c r="CW9" s="17">
        <f t="shared" ref="CW9" si="186">CK$5</f>
        <v>2030</v>
      </c>
      <c r="CY9" s="18">
        <f t="shared" ref="CY9" si="187">DATE(CY$5,1,1)</f>
        <v>47849</v>
      </c>
      <c r="CZ9" s="18">
        <f t="shared" ref="CZ9" si="188">DATE(CY$5,2,1)</f>
        <v>47880</v>
      </c>
      <c r="DA9" s="18">
        <f t="shared" ref="DA9" si="189">DATE(CY$5,3,1)</f>
        <v>47908</v>
      </c>
      <c r="DB9" s="18">
        <f t="shared" ref="DB9" si="190">DATE(CY$5,4,1)</f>
        <v>47939</v>
      </c>
      <c r="DC9" s="18">
        <f t="shared" ref="DC9" si="191">DATE(CY$5,5,1)</f>
        <v>47969</v>
      </c>
      <c r="DD9" s="18">
        <f t="shared" ref="DD9" si="192">DATE(CY$5,6,1)</f>
        <v>48000</v>
      </c>
      <c r="DE9" s="18">
        <f t="shared" ref="DE9" si="193">DATE(CY$5,7,1)</f>
        <v>48030</v>
      </c>
      <c r="DF9" s="18">
        <f t="shared" ref="DF9" si="194">DATE(CY$5,8,1)</f>
        <v>48061</v>
      </c>
      <c r="DG9" s="18">
        <f t="shared" ref="DG9" si="195">DATE(CY$5,9,1)</f>
        <v>48092</v>
      </c>
      <c r="DH9" s="18">
        <f t="shared" ref="DH9" si="196">DATE(CY$5,10,1)</f>
        <v>48122</v>
      </c>
      <c r="DI9" s="18">
        <f t="shared" ref="DI9" si="197">DATE(CY$5,11,1)</f>
        <v>48153</v>
      </c>
      <c r="DJ9" s="18">
        <f t="shared" ref="DJ9" si="198">DATE(CY$5,12,1)</f>
        <v>48183</v>
      </c>
      <c r="DK9" s="17">
        <f t="shared" ref="DK9" si="199">CY$5</f>
        <v>2031</v>
      </c>
      <c r="DM9" s="18">
        <f t="shared" ref="DM9" si="200">DATE(DM$5,1,1)</f>
        <v>48214</v>
      </c>
      <c r="DN9" s="18">
        <f t="shared" ref="DN9" si="201">DATE(DM$5,2,1)</f>
        <v>48245</v>
      </c>
      <c r="DO9" s="18">
        <f t="shared" ref="DO9" si="202">DATE(DM$5,3,1)</f>
        <v>48274</v>
      </c>
      <c r="DP9" s="18">
        <f t="shared" ref="DP9" si="203">DATE(DM$5,4,1)</f>
        <v>48305</v>
      </c>
      <c r="DQ9" s="18">
        <f t="shared" ref="DQ9" si="204">DATE(DM$5,5,1)</f>
        <v>48335</v>
      </c>
      <c r="DR9" s="18">
        <f t="shared" ref="DR9" si="205">DATE(DM$5,6,1)</f>
        <v>48366</v>
      </c>
      <c r="DS9" s="18">
        <f t="shared" ref="DS9" si="206">DATE(DM$5,7,1)</f>
        <v>48396</v>
      </c>
      <c r="DT9" s="18">
        <f t="shared" ref="DT9" si="207">DATE(DM$5,8,1)</f>
        <v>48427</v>
      </c>
      <c r="DU9" s="18">
        <f t="shared" ref="DU9" si="208">DATE(DM$5,9,1)</f>
        <v>48458</v>
      </c>
      <c r="DV9" s="18">
        <f t="shared" ref="DV9" si="209">DATE(DM$5,10,1)</f>
        <v>48488</v>
      </c>
      <c r="DW9" s="18">
        <f t="shared" ref="DW9" si="210">DATE(DM$5,11,1)</f>
        <v>48519</v>
      </c>
      <c r="DX9" s="18">
        <f t="shared" ref="DX9" si="211">DATE(DM$5,12,1)</f>
        <v>48549</v>
      </c>
      <c r="DY9" s="17">
        <f t="shared" ref="DY9" si="212">DM$5</f>
        <v>2032</v>
      </c>
      <c r="EA9" s="18">
        <f t="shared" ref="EA9" si="213">DATE(EA$5,1,1)</f>
        <v>48580</v>
      </c>
      <c r="EB9" s="18">
        <f t="shared" ref="EB9" si="214">DATE(EA$5,2,1)</f>
        <v>48611</v>
      </c>
      <c r="EC9" s="18">
        <f t="shared" ref="EC9" si="215">DATE(EA$5,3,1)</f>
        <v>48639</v>
      </c>
      <c r="ED9" s="18">
        <f t="shared" ref="ED9" si="216">DATE(EA$5,4,1)</f>
        <v>48670</v>
      </c>
      <c r="EE9" s="18">
        <f t="shared" ref="EE9" si="217">DATE(EA$5,5,1)</f>
        <v>48700</v>
      </c>
      <c r="EF9" s="18">
        <f t="shared" ref="EF9" si="218">DATE(EA$5,6,1)</f>
        <v>48731</v>
      </c>
      <c r="EG9" s="18">
        <f t="shared" ref="EG9" si="219">DATE(EA$5,7,1)</f>
        <v>48761</v>
      </c>
      <c r="EH9" s="18">
        <f t="shared" ref="EH9" si="220">DATE(EA$5,8,1)</f>
        <v>48792</v>
      </c>
      <c r="EI9" s="18">
        <f t="shared" ref="EI9" si="221">DATE(EA$5,9,1)</f>
        <v>48823</v>
      </c>
      <c r="EJ9" s="18">
        <f t="shared" ref="EJ9" si="222">DATE(EA$5,10,1)</f>
        <v>48853</v>
      </c>
      <c r="EK9" s="18">
        <f t="shared" ref="EK9" si="223">DATE(EA$5,11,1)</f>
        <v>48884</v>
      </c>
      <c r="EL9" s="18">
        <f t="shared" ref="EL9" si="224">DATE(EA$5,12,1)</f>
        <v>48914</v>
      </c>
      <c r="EM9" s="17">
        <f t="shared" ref="EM9" si="225">EA$5</f>
        <v>2033</v>
      </c>
    </row>
    <row r="10" spans="1:143" x14ac:dyDescent="0.2">
      <c r="C10" s="19" t="s">
        <v>41</v>
      </c>
      <c r="E10" s="20"/>
      <c r="F10" s="20"/>
      <c r="G10" s="20"/>
      <c r="H10" s="20"/>
      <c r="I10" s="20"/>
      <c r="J10" s="20">
        <v>7300</v>
      </c>
      <c r="K10" s="20">
        <v>7300</v>
      </c>
      <c r="L10" s="20">
        <v>7300</v>
      </c>
      <c r="M10" s="20">
        <v>7300</v>
      </c>
      <c r="N10" s="20">
        <v>7300</v>
      </c>
      <c r="O10" s="20">
        <v>7300</v>
      </c>
      <c r="P10" s="20">
        <v>7300</v>
      </c>
      <c r="Q10" s="22">
        <f>SUM(F10:P10)</f>
        <v>51100</v>
      </c>
      <c r="S10" s="20">
        <v>7500</v>
      </c>
      <c r="T10" s="20">
        <v>7500</v>
      </c>
      <c r="U10" s="20">
        <v>7500</v>
      </c>
      <c r="V10" s="20">
        <v>7500</v>
      </c>
      <c r="W10" s="20">
        <v>7500</v>
      </c>
      <c r="X10" s="20">
        <v>7500</v>
      </c>
      <c r="Y10" s="20">
        <v>7700</v>
      </c>
      <c r="Z10" s="20">
        <v>7700</v>
      </c>
      <c r="AA10" s="20">
        <v>7700</v>
      </c>
      <c r="AB10" s="20">
        <v>7700</v>
      </c>
      <c r="AC10" s="20">
        <v>7700</v>
      </c>
      <c r="AD10" s="20">
        <v>7700</v>
      </c>
      <c r="AE10" s="22">
        <f>SUM(S10:AD10)</f>
        <v>91200</v>
      </c>
      <c r="AG10" s="20">
        <v>7700</v>
      </c>
      <c r="AH10" s="20">
        <v>7700</v>
      </c>
      <c r="AI10" s="20">
        <v>7700</v>
      </c>
      <c r="AJ10" s="20">
        <v>7700</v>
      </c>
      <c r="AK10" s="20">
        <v>7700</v>
      </c>
      <c r="AL10" s="20">
        <v>7700</v>
      </c>
      <c r="AM10" s="20">
        <v>7700</v>
      </c>
      <c r="AN10" s="20">
        <v>7700</v>
      </c>
      <c r="AO10" s="20">
        <v>7700</v>
      </c>
      <c r="AP10" s="20">
        <v>7700</v>
      </c>
      <c r="AQ10" s="20">
        <v>7700</v>
      </c>
      <c r="AR10" s="20">
        <v>7700</v>
      </c>
      <c r="AS10" s="20">
        <v>7700</v>
      </c>
      <c r="AU10" s="20"/>
      <c r="AV10" s="20"/>
      <c r="AW10" s="20"/>
      <c r="AX10" s="20"/>
      <c r="AY10" s="20"/>
      <c r="AZ10" s="20"/>
      <c r="BA10" s="20"/>
      <c r="BB10" s="20"/>
      <c r="BC10" s="20"/>
      <c r="BD10" s="20"/>
      <c r="BE10" s="20"/>
      <c r="BF10" s="20"/>
      <c r="BG10" s="22">
        <f t="shared" ref="BG10:BG19" si="226">SUM(AU10:BF10)</f>
        <v>0</v>
      </c>
      <c r="BI10" s="20"/>
      <c r="BJ10" s="20"/>
      <c r="BK10" s="20"/>
      <c r="BL10" s="20"/>
      <c r="BM10" s="20"/>
      <c r="BN10" s="20"/>
      <c r="BO10" s="20"/>
      <c r="BP10" s="20"/>
      <c r="BQ10" s="20"/>
      <c r="BR10" s="20"/>
      <c r="BS10" s="20"/>
      <c r="BT10" s="20"/>
      <c r="BU10" s="22">
        <f t="shared" ref="BU10:BU19" si="227">SUM(BI10:BT10)</f>
        <v>0</v>
      </c>
      <c r="BW10" s="20"/>
      <c r="BX10" s="20"/>
      <c r="BY10" s="20"/>
      <c r="BZ10" s="20"/>
      <c r="CA10" s="20"/>
      <c r="CB10" s="20"/>
      <c r="CC10" s="20"/>
      <c r="CD10" s="20"/>
      <c r="CE10" s="20"/>
      <c r="CF10" s="20"/>
      <c r="CG10" s="20"/>
      <c r="CH10" s="20"/>
      <c r="CI10" s="22">
        <f t="shared" ref="CI10:CI19" si="228">SUM(BW10:CH10)</f>
        <v>0</v>
      </c>
      <c r="CK10" s="20"/>
      <c r="CL10" s="20"/>
      <c r="CM10" s="20"/>
      <c r="CN10" s="20"/>
      <c r="CO10" s="20"/>
      <c r="CP10" s="20"/>
      <c r="CQ10" s="20"/>
      <c r="CR10" s="20"/>
      <c r="CS10" s="20"/>
      <c r="CT10" s="20"/>
      <c r="CU10" s="20"/>
      <c r="CV10" s="20"/>
      <c r="CW10" s="22">
        <f t="shared" ref="CW10:CW19" si="229">SUM(CK10:CV10)</f>
        <v>0</v>
      </c>
      <c r="CY10" s="20"/>
      <c r="CZ10" s="20"/>
      <c r="DA10" s="20"/>
      <c r="DB10" s="20"/>
      <c r="DC10" s="20"/>
      <c r="DD10" s="20"/>
      <c r="DE10" s="20"/>
      <c r="DF10" s="20"/>
      <c r="DG10" s="20"/>
      <c r="DH10" s="20"/>
      <c r="DI10" s="20"/>
      <c r="DJ10" s="20"/>
      <c r="DK10" s="22">
        <f t="shared" ref="DK10:DK19" si="230">SUM(CY10:DJ10)</f>
        <v>0</v>
      </c>
      <c r="DM10" s="20"/>
      <c r="DN10" s="20"/>
      <c r="DO10" s="20"/>
      <c r="DP10" s="20"/>
      <c r="DQ10" s="20"/>
      <c r="DR10" s="20"/>
      <c r="DS10" s="20"/>
      <c r="DT10" s="20"/>
      <c r="DU10" s="20"/>
      <c r="DV10" s="20"/>
      <c r="DW10" s="20"/>
      <c r="DX10" s="20"/>
      <c r="DY10" s="22">
        <f t="shared" ref="DY10:DY19" si="231">SUM(DM10:DX10)</f>
        <v>0</v>
      </c>
      <c r="EA10" s="20"/>
      <c r="EB10" s="20"/>
      <c r="EC10" s="20"/>
      <c r="ED10" s="20"/>
      <c r="EE10" s="20"/>
      <c r="EF10" s="20"/>
      <c r="EG10" s="20"/>
      <c r="EH10" s="20"/>
      <c r="EI10" s="20"/>
      <c r="EJ10" s="20"/>
      <c r="EK10" s="20"/>
      <c r="EL10" s="20"/>
      <c r="EM10" s="22">
        <f t="shared" ref="EM10:EM19" si="232">SUM(EA10:EL10)</f>
        <v>0</v>
      </c>
    </row>
    <row r="11" spans="1:143" x14ac:dyDescent="0.2">
      <c r="C11" s="19" t="s">
        <v>42</v>
      </c>
      <c r="E11" s="20"/>
      <c r="F11" s="20"/>
      <c r="G11" s="20"/>
      <c r="H11" s="20"/>
      <c r="I11" s="20"/>
      <c r="J11" s="20"/>
      <c r="K11" s="20"/>
      <c r="L11" s="20"/>
      <c r="M11" s="20"/>
      <c r="N11" s="20"/>
      <c r="O11" s="20">
        <v>1000</v>
      </c>
      <c r="P11" s="20">
        <v>1000</v>
      </c>
      <c r="Q11" s="22">
        <f>SUM(E11:P11)</f>
        <v>2000</v>
      </c>
      <c r="S11" s="20">
        <v>0</v>
      </c>
      <c r="T11" s="20">
        <v>0</v>
      </c>
      <c r="U11" s="20">
        <v>0</v>
      </c>
      <c r="V11" s="20">
        <v>0</v>
      </c>
      <c r="W11" s="20">
        <v>0</v>
      </c>
      <c r="X11" s="20">
        <v>0</v>
      </c>
      <c r="Y11" s="20">
        <v>0</v>
      </c>
      <c r="Z11" s="20">
        <v>0</v>
      </c>
      <c r="AA11" s="20">
        <v>0</v>
      </c>
      <c r="AB11" s="20">
        <v>0</v>
      </c>
      <c r="AC11" s="20">
        <v>0</v>
      </c>
      <c r="AD11" s="20">
        <v>0</v>
      </c>
      <c r="AE11" s="22">
        <f t="shared" ref="AE11:AE19" si="233">SUM(S11:AD11)</f>
        <v>0</v>
      </c>
      <c r="AG11" s="20">
        <v>0</v>
      </c>
      <c r="AH11" s="20">
        <v>0</v>
      </c>
      <c r="AI11" s="20">
        <v>0</v>
      </c>
      <c r="AJ11" s="20">
        <v>0</v>
      </c>
      <c r="AK11" s="20">
        <v>0</v>
      </c>
      <c r="AL11" s="20">
        <v>0</v>
      </c>
      <c r="AM11" s="20">
        <v>0</v>
      </c>
      <c r="AN11" s="20">
        <v>0</v>
      </c>
      <c r="AO11" s="20">
        <v>0</v>
      </c>
      <c r="AP11" s="20">
        <v>0</v>
      </c>
      <c r="AQ11" s="20">
        <v>0</v>
      </c>
      <c r="AR11" s="20">
        <v>0</v>
      </c>
      <c r="AS11" s="20">
        <v>0</v>
      </c>
      <c r="AU11" s="20"/>
      <c r="AV11" s="20"/>
      <c r="AW11" s="20"/>
      <c r="AX11" s="20"/>
      <c r="AY11" s="20"/>
      <c r="AZ11" s="20"/>
      <c r="BA11" s="20"/>
      <c r="BB11" s="20"/>
      <c r="BC11" s="20"/>
      <c r="BD11" s="20"/>
      <c r="BE11" s="20"/>
      <c r="BF11" s="20"/>
      <c r="BG11" s="22">
        <f t="shared" si="226"/>
        <v>0</v>
      </c>
      <c r="BI11" s="20"/>
      <c r="BJ11" s="20"/>
      <c r="BK11" s="20"/>
      <c r="BL11" s="20"/>
      <c r="BM11" s="20"/>
      <c r="BN11" s="20"/>
      <c r="BO11" s="20"/>
      <c r="BP11" s="20"/>
      <c r="BQ11" s="20"/>
      <c r="BR11" s="20"/>
      <c r="BS11" s="20"/>
      <c r="BT11" s="20"/>
      <c r="BU11" s="22">
        <f t="shared" si="227"/>
        <v>0</v>
      </c>
      <c r="BW11" s="20"/>
      <c r="BX11" s="20"/>
      <c r="BY11" s="20"/>
      <c r="BZ11" s="20"/>
      <c r="CA11" s="20"/>
      <c r="CB11" s="20"/>
      <c r="CC11" s="20"/>
      <c r="CD11" s="20"/>
      <c r="CE11" s="20"/>
      <c r="CF11" s="20"/>
      <c r="CG11" s="20"/>
      <c r="CH11" s="20"/>
      <c r="CI11" s="22">
        <f t="shared" si="228"/>
        <v>0</v>
      </c>
      <c r="CK11" s="20"/>
      <c r="CL11" s="20"/>
      <c r="CM11" s="20"/>
      <c r="CN11" s="20"/>
      <c r="CO11" s="20"/>
      <c r="CP11" s="20"/>
      <c r="CQ11" s="20"/>
      <c r="CR11" s="20"/>
      <c r="CS11" s="20"/>
      <c r="CT11" s="20"/>
      <c r="CU11" s="20"/>
      <c r="CV11" s="20"/>
      <c r="CW11" s="22">
        <f t="shared" si="229"/>
        <v>0</v>
      </c>
      <c r="CY11" s="20"/>
      <c r="CZ11" s="20"/>
      <c r="DA11" s="20"/>
      <c r="DB11" s="20"/>
      <c r="DC11" s="20"/>
      <c r="DD11" s="20"/>
      <c r="DE11" s="20"/>
      <c r="DF11" s="20"/>
      <c r="DG11" s="20"/>
      <c r="DH11" s="20"/>
      <c r="DI11" s="20"/>
      <c r="DJ11" s="20"/>
      <c r="DK11" s="22">
        <f t="shared" si="230"/>
        <v>0</v>
      </c>
      <c r="DM11" s="20"/>
      <c r="DN11" s="20"/>
      <c r="DO11" s="20"/>
      <c r="DP11" s="20"/>
      <c r="DQ11" s="20"/>
      <c r="DR11" s="20"/>
      <c r="DS11" s="20"/>
      <c r="DT11" s="20"/>
      <c r="DU11" s="20"/>
      <c r="DV11" s="20"/>
      <c r="DW11" s="20"/>
      <c r="DX11" s="20"/>
      <c r="DY11" s="22">
        <f t="shared" si="231"/>
        <v>0</v>
      </c>
      <c r="EA11" s="20"/>
      <c r="EB11" s="20"/>
      <c r="EC11" s="20"/>
      <c r="ED11" s="20"/>
      <c r="EE11" s="20"/>
      <c r="EF11" s="20"/>
      <c r="EG11" s="20"/>
      <c r="EH11" s="20"/>
      <c r="EI11" s="20"/>
      <c r="EJ11" s="20"/>
      <c r="EK11" s="20"/>
      <c r="EL11" s="20"/>
      <c r="EM11" s="22">
        <f t="shared" si="232"/>
        <v>0</v>
      </c>
    </row>
    <row r="12" spans="1:143" x14ac:dyDescent="0.2">
      <c r="C12" s="19" t="s">
        <v>43</v>
      </c>
      <c r="E12" s="20"/>
      <c r="F12" s="20"/>
      <c r="G12" s="20"/>
      <c r="H12" s="20"/>
      <c r="I12" s="20"/>
      <c r="J12" s="20"/>
      <c r="K12" s="20"/>
      <c r="L12" s="20"/>
      <c r="M12" s="20"/>
      <c r="N12" s="20"/>
      <c r="O12" s="20">
        <v>250</v>
      </c>
      <c r="P12" s="20">
        <v>250</v>
      </c>
      <c r="Q12" s="22">
        <f>SUM(E12:P12)</f>
        <v>500</v>
      </c>
      <c r="S12" s="20">
        <v>250</v>
      </c>
      <c r="T12" s="20">
        <v>250</v>
      </c>
      <c r="U12" s="20">
        <v>250</v>
      </c>
      <c r="V12" s="20">
        <v>250</v>
      </c>
      <c r="W12" s="20">
        <v>250</v>
      </c>
      <c r="X12" s="20">
        <v>250</v>
      </c>
      <c r="Y12" s="20">
        <v>250</v>
      </c>
      <c r="Z12" s="20">
        <v>250</v>
      </c>
      <c r="AA12" s="20">
        <v>250</v>
      </c>
      <c r="AB12" s="20">
        <v>250</v>
      </c>
      <c r="AC12" s="20">
        <v>250</v>
      </c>
      <c r="AD12" s="20">
        <v>250</v>
      </c>
      <c r="AE12" s="22">
        <f>SUM(S12:AD12)</f>
        <v>3000</v>
      </c>
      <c r="AG12" s="20">
        <v>250</v>
      </c>
      <c r="AH12" s="20">
        <v>250</v>
      </c>
      <c r="AI12" s="20">
        <v>250</v>
      </c>
      <c r="AJ12" s="20">
        <v>250</v>
      </c>
      <c r="AK12" s="20">
        <v>250</v>
      </c>
      <c r="AL12" s="20">
        <v>250</v>
      </c>
      <c r="AM12" s="20">
        <v>250</v>
      </c>
      <c r="AN12" s="20">
        <v>250</v>
      </c>
      <c r="AO12" s="20">
        <v>250</v>
      </c>
      <c r="AP12" s="20">
        <v>250</v>
      </c>
      <c r="AQ12" s="20">
        <v>250</v>
      </c>
      <c r="AR12" s="20">
        <v>250</v>
      </c>
      <c r="AS12" s="20">
        <v>250</v>
      </c>
      <c r="AU12" s="20"/>
      <c r="AV12" s="20"/>
      <c r="AW12" s="20"/>
      <c r="AX12" s="20"/>
      <c r="AY12" s="20"/>
      <c r="AZ12" s="20"/>
      <c r="BA12" s="20"/>
      <c r="BB12" s="20"/>
      <c r="BC12" s="20"/>
      <c r="BD12" s="20"/>
      <c r="BE12" s="20"/>
      <c r="BF12" s="20"/>
      <c r="BG12" s="22">
        <f>SUM(AU12:BF12)</f>
        <v>0</v>
      </c>
      <c r="BI12" s="20"/>
      <c r="BJ12" s="20"/>
      <c r="BK12" s="20"/>
      <c r="BL12" s="20"/>
      <c r="BM12" s="20"/>
      <c r="BN12" s="20"/>
      <c r="BO12" s="20"/>
      <c r="BP12" s="20"/>
      <c r="BQ12" s="20"/>
      <c r="BR12" s="20"/>
      <c r="BS12" s="20"/>
      <c r="BT12" s="20"/>
      <c r="BU12" s="22">
        <f>SUM(BI12:BT12)</f>
        <v>0</v>
      </c>
      <c r="BW12" s="20"/>
      <c r="BX12" s="20"/>
      <c r="BY12" s="20"/>
      <c r="BZ12" s="20"/>
      <c r="CA12" s="20"/>
      <c r="CB12" s="20"/>
      <c r="CC12" s="20"/>
      <c r="CD12" s="20"/>
      <c r="CE12" s="20"/>
      <c r="CF12" s="20"/>
      <c r="CG12" s="20"/>
      <c r="CH12" s="20"/>
      <c r="CI12" s="22">
        <f>SUM(BW12:CH12)</f>
        <v>0</v>
      </c>
      <c r="CK12" s="20"/>
      <c r="CL12" s="20"/>
      <c r="CM12" s="20"/>
      <c r="CN12" s="20"/>
      <c r="CO12" s="20"/>
      <c r="CP12" s="20"/>
      <c r="CQ12" s="20"/>
      <c r="CR12" s="20"/>
      <c r="CS12" s="20"/>
      <c r="CT12" s="20"/>
      <c r="CU12" s="20"/>
      <c r="CV12" s="20"/>
      <c r="CW12" s="22">
        <f>SUM(CK12:CV12)</f>
        <v>0</v>
      </c>
      <c r="CY12" s="20"/>
      <c r="CZ12" s="20"/>
      <c r="DA12" s="20"/>
      <c r="DB12" s="20"/>
      <c r="DC12" s="20"/>
      <c r="DD12" s="20"/>
      <c r="DE12" s="20"/>
      <c r="DF12" s="20"/>
      <c r="DG12" s="20"/>
      <c r="DH12" s="20"/>
      <c r="DI12" s="20"/>
      <c r="DJ12" s="20"/>
      <c r="DK12" s="22">
        <f>SUM(CY12:DJ12)</f>
        <v>0</v>
      </c>
      <c r="DM12" s="20"/>
      <c r="DN12" s="20"/>
      <c r="DO12" s="20"/>
      <c r="DP12" s="20"/>
      <c r="DQ12" s="20"/>
      <c r="DR12" s="20"/>
      <c r="DS12" s="20"/>
      <c r="DT12" s="20"/>
      <c r="DU12" s="20"/>
      <c r="DV12" s="20"/>
      <c r="DW12" s="20"/>
      <c r="DX12" s="20"/>
      <c r="DY12" s="22">
        <f>SUM(DM12:DX12)</f>
        <v>0</v>
      </c>
      <c r="EA12" s="20"/>
      <c r="EB12" s="20"/>
      <c r="EC12" s="20"/>
      <c r="ED12" s="20"/>
      <c r="EE12" s="20"/>
      <c r="EF12" s="20"/>
      <c r="EG12" s="20"/>
      <c r="EH12" s="20"/>
      <c r="EI12" s="20"/>
      <c r="EJ12" s="20"/>
      <c r="EK12" s="20"/>
      <c r="EL12" s="20"/>
      <c r="EM12" s="22">
        <f>SUM(EA12:EL12)</f>
        <v>0</v>
      </c>
    </row>
    <row r="13" spans="1:143" x14ac:dyDescent="0.2">
      <c r="C13" s="19" t="s">
        <v>44</v>
      </c>
      <c r="E13" s="20"/>
      <c r="F13" s="20"/>
      <c r="G13" s="20"/>
      <c r="H13" s="20"/>
      <c r="I13" s="20"/>
      <c r="J13" s="20"/>
      <c r="K13" s="20"/>
      <c r="L13" s="20"/>
      <c r="M13" s="20"/>
      <c r="N13" s="20"/>
      <c r="O13" s="20"/>
      <c r="P13" s="20"/>
      <c r="Q13" s="22">
        <f>SUM(E13:P13)</f>
        <v>0</v>
      </c>
      <c r="S13" s="20">
        <v>0</v>
      </c>
      <c r="T13" s="20">
        <v>0</v>
      </c>
      <c r="U13" s="20">
        <v>0</v>
      </c>
      <c r="V13" s="20">
        <v>0</v>
      </c>
      <c r="W13" s="20">
        <v>0</v>
      </c>
      <c r="X13" s="20">
        <v>0</v>
      </c>
      <c r="Y13" s="20">
        <v>0</v>
      </c>
      <c r="Z13" s="20">
        <v>0</v>
      </c>
      <c r="AA13" s="20">
        <v>0</v>
      </c>
      <c r="AB13" s="20">
        <v>0</v>
      </c>
      <c r="AC13" s="20">
        <v>0</v>
      </c>
      <c r="AD13" s="20">
        <v>0</v>
      </c>
      <c r="AE13" s="22">
        <f t="shared" si="233"/>
        <v>0</v>
      </c>
      <c r="AG13" s="20">
        <v>0</v>
      </c>
      <c r="AH13" s="20">
        <v>0</v>
      </c>
      <c r="AI13" s="20">
        <v>0</v>
      </c>
      <c r="AJ13" s="20">
        <v>0</v>
      </c>
      <c r="AK13" s="20">
        <v>0</v>
      </c>
      <c r="AL13" s="20">
        <v>0</v>
      </c>
      <c r="AM13" s="20">
        <v>0</v>
      </c>
      <c r="AN13" s="20">
        <v>0</v>
      </c>
      <c r="AO13" s="20">
        <v>0</v>
      </c>
      <c r="AP13" s="20">
        <v>0</v>
      </c>
      <c r="AQ13" s="20">
        <v>0</v>
      </c>
      <c r="AR13" s="20">
        <v>0</v>
      </c>
      <c r="AS13" s="20">
        <v>0</v>
      </c>
      <c r="AU13" s="20"/>
      <c r="AV13" s="20"/>
      <c r="AW13" s="20"/>
      <c r="AX13" s="20"/>
      <c r="AY13" s="20"/>
      <c r="AZ13" s="20"/>
      <c r="BA13" s="20"/>
      <c r="BB13" s="20"/>
      <c r="BC13" s="20"/>
      <c r="BD13" s="20"/>
      <c r="BE13" s="20"/>
      <c r="BF13" s="20"/>
      <c r="BG13" s="22">
        <f t="shared" si="226"/>
        <v>0</v>
      </c>
      <c r="BI13" s="20"/>
      <c r="BJ13" s="20"/>
      <c r="BK13" s="20"/>
      <c r="BL13" s="20"/>
      <c r="BM13" s="20"/>
      <c r="BN13" s="20"/>
      <c r="BO13" s="20"/>
      <c r="BP13" s="20"/>
      <c r="BQ13" s="20"/>
      <c r="BR13" s="20"/>
      <c r="BS13" s="20"/>
      <c r="BT13" s="20"/>
      <c r="BU13" s="22">
        <f t="shared" si="227"/>
        <v>0</v>
      </c>
      <c r="BW13" s="20"/>
      <c r="BX13" s="20"/>
      <c r="BY13" s="20"/>
      <c r="BZ13" s="20"/>
      <c r="CA13" s="20"/>
      <c r="CB13" s="20"/>
      <c r="CC13" s="20"/>
      <c r="CD13" s="20"/>
      <c r="CE13" s="20"/>
      <c r="CF13" s="20"/>
      <c r="CG13" s="20"/>
      <c r="CH13" s="20"/>
      <c r="CI13" s="22">
        <f t="shared" si="228"/>
        <v>0</v>
      </c>
      <c r="CK13" s="20"/>
      <c r="CL13" s="20"/>
      <c r="CM13" s="20"/>
      <c r="CN13" s="20"/>
      <c r="CO13" s="20"/>
      <c r="CP13" s="20"/>
      <c r="CQ13" s="20"/>
      <c r="CR13" s="20"/>
      <c r="CS13" s="20"/>
      <c r="CT13" s="20"/>
      <c r="CU13" s="20"/>
      <c r="CV13" s="20"/>
      <c r="CW13" s="22">
        <f t="shared" si="229"/>
        <v>0</v>
      </c>
      <c r="CY13" s="20"/>
      <c r="CZ13" s="20"/>
      <c r="DA13" s="20"/>
      <c r="DB13" s="20"/>
      <c r="DC13" s="20"/>
      <c r="DD13" s="20"/>
      <c r="DE13" s="20"/>
      <c r="DF13" s="20"/>
      <c r="DG13" s="20"/>
      <c r="DH13" s="20"/>
      <c r="DI13" s="20"/>
      <c r="DJ13" s="20"/>
      <c r="DK13" s="22">
        <f t="shared" si="230"/>
        <v>0</v>
      </c>
      <c r="DM13" s="20"/>
      <c r="DN13" s="20"/>
      <c r="DO13" s="20"/>
      <c r="DP13" s="20"/>
      <c r="DQ13" s="20"/>
      <c r="DR13" s="20"/>
      <c r="DS13" s="20"/>
      <c r="DT13" s="20"/>
      <c r="DU13" s="20"/>
      <c r="DV13" s="20"/>
      <c r="DW13" s="20"/>
      <c r="DX13" s="20"/>
      <c r="DY13" s="22">
        <f t="shared" si="231"/>
        <v>0</v>
      </c>
      <c r="EA13" s="20"/>
      <c r="EB13" s="20"/>
      <c r="EC13" s="20"/>
      <c r="ED13" s="20"/>
      <c r="EE13" s="20"/>
      <c r="EF13" s="20"/>
      <c r="EG13" s="20"/>
      <c r="EH13" s="20"/>
      <c r="EI13" s="20"/>
      <c r="EJ13" s="20"/>
      <c r="EK13" s="20"/>
      <c r="EL13" s="20"/>
      <c r="EM13" s="22">
        <f t="shared" si="232"/>
        <v>0</v>
      </c>
    </row>
    <row r="14" spans="1:143" hidden="1" x14ac:dyDescent="0.2">
      <c r="C14" s="19" t="s">
        <v>45</v>
      </c>
      <c r="E14" s="20"/>
      <c r="F14" s="20"/>
      <c r="G14" s="20"/>
      <c r="H14" s="20"/>
      <c r="I14" s="20"/>
      <c r="J14" s="20"/>
      <c r="K14" s="20"/>
      <c r="L14" s="20"/>
      <c r="M14" s="20"/>
      <c r="N14" s="20"/>
      <c r="O14" s="20"/>
      <c r="P14" s="20"/>
      <c r="Q14" s="22">
        <f t="shared" ref="Q14:Q19" si="234">SUM(E14:P14)</f>
        <v>0</v>
      </c>
      <c r="S14" s="20"/>
      <c r="T14" s="20"/>
      <c r="U14" s="20"/>
      <c r="V14" s="20"/>
      <c r="W14" s="20"/>
      <c r="X14" s="20"/>
      <c r="Y14" s="20"/>
      <c r="Z14" s="20"/>
      <c r="AA14" s="20"/>
      <c r="AB14" s="20"/>
      <c r="AC14" s="20"/>
      <c r="AD14" s="20"/>
      <c r="AE14" s="22">
        <f t="shared" si="233"/>
        <v>0</v>
      </c>
      <c r="AG14" s="20"/>
      <c r="AH14" s="20"/>
      <c r="AI14" s="20"/>
      <c r="AJ14" s="20"/>
      <c r="AK14" s="20"/>
      <c r="AL14" s="20"/>
      <c r="AM14" s="20"/>
      <c r="AN14" s="20"/>
      <c r="AO14" s="20"/>
      <c r="AP14" s="20"/>
      <c r="AQ14" s="20"/>
      <c r="AR14" s="20"/>
      <c r="AS14" s="22">
        <f t="shared" ref="AS14:AS19" si="235">SUM(AG14:AR14)</f>
        <v>0</v>
      </c>
      <c r="AU14" s="20"/>
      <c r="AV14" s="20"/>
      <c r="AW14" s="20"/>
      <c r="AX14" s="20"/>
      <c r="AY14" s="20"/>
      <c r="AZ14" s="20"/>
      <c r="BA14" s="20"/>
      <c r="BB14" s="20"/>
      <c r="BC14" s="20"/>
      <c r="BD14" s="20"/>
      <c r="BE14" s="20"/>
      <c r="BF14" s="20"/>
      <c r="BG14" s="22">
        <f t="shared" si="226"/>
        <v>0</v>
      </c>
      <c r="BI14" s="20"/>
      <c r="BJ14" s="20"/>
      <c r="BK14" s="20"/>
      <c r="BL14" s="20"/>
      <c r="BM14" s="20"/>
      <c r="BN14" s="20"/>
      <c r="BO14" s="20"/>
      <c r="BP14" s="20"/>
      <c r="BQ14" s="20"/>
      <c r="BR14" s="20"/>
      <c r="BS14" s="20"/>
      <c r="BT14" s="20"/>
      <c r="BU14" s="22">
        <f t="shared" si="227"/>
        <v>0</v>
      </c>
      <c r="BW14" s="20"/>
      <c r="BX14" s="20"/>
      <c r="BY14" s="20"/>
      <c r="BZ14" s="20"/>
      <c r="CA14" s="20"/>
      <c r="CB14" s="20"/>
      <c r="CC14" s="20"/>
      <c r="CD14" s="20"/>
      <c r="CE14" s="20"/>
      <c r="CF14" s="20"/>
      <c r="CG14" s="20"/>
      <c r="CH14" s="20"/>
      <c r="CI14" s="22">
        <f t="shared" si="228"/>
        <v>0</v>
      </c>
      <c r="CK14" s="20"/>
      <c r="CL14" s="20"/>
      <c r="CM14" s="20"/>
      <c r="CN14" s="20"/>
      <c r="CO14" s="20"/>
      <c r="CP14" s="20"/>
      <c r="CQ14" s="20"/>
      <c r="CR14" s="20"/>
      <c r="CS14" s="20"/>
      <c r="CT14" s="20"/>
      <c r="CU14" s="20"/>
      <c r="CV14" s="20"/>
      <c r="CW14" s="22">
        <f t="shared" si="229"/>
        <v>0</v>
      </c>
      <c r="CY14" s="20"/>
      <c r="CZ14" s="20"/>
      <c r="DA14" s="20"/>
      <c r="DB14" s="20"/>
      <c r="DC14" s="20"/>
      <c r="DD14" s="20"/>
      <c r="DE14" s="20"/>
      <c r="DF14" s="20"/>
      <c r="DG14" s="20"/>
      <c r="DH14" s="20"/>
      <c r="DI14" s="20"/>
      <c r="DJ14" s="20"/>
      <c r="DK14" s="22">
        <f t="shared" si="230"/>
        <v>0</v>
      </c>
      <c r="DM14" s="20"/>
      <c r="DN14" s="20"/>
      <c r="DO14" s="20"/>
      <c r="DP14" s="20"/>
      <c r="DQ14" s="20"/>
      <c r="DR14" s="20"/>
      <c r="DS14" s="20"/>
      <c r="DT14" s="20"/>
      <c r="DU14" s="20"/>
      <c r="DV14" s="20"/>
      <c r="DW14" s="20"/>
      <c r="DX14" s="20"/>
      <c r="DY14" s="22">
        <f t="shared" si="231"/>
        <v>0</v>
      </c>
      <c r="EA14" s="20"/>
      <c r="EB14" s="20"/>
      <c r="EC14" s="20"/>
      <c r="ED14" s="20"/>
      <c r="EE14" s="20"/>
      <c r="EF14" s="20"/>
      <c r="EG14" s="20"/>
      <c r="EH14" s="20"/>
      <c r="EI14" s="20"/>
      <c r="EJ14" s="20"/>
      <c r="EK14" s="20"/>
      <c r="EL14" s="20"/>
      <c r="EM14" s="22">
        <f t="shared" si="232"/>
        <v>0</v>
      </c>
    </row>
    <row r="15" spans="1:143" hidden="1" x14ac:dyDescent="0.2">
      <c r="C15" s="19" t="s">
        <v>45</v>
      </c>
      <c r="E15" s="20"/>
      <c r="F15" s="20"/>
      <c r="G15" s="20"/>
      <c r="H15" s="20"/>
      <c r="I15" s="20"/>
      <c r="J15" s="20"/>
      <c r="K15" s="20"/>
      <c r="L15" s="20"/>
      <c r="M15" s="20"/>
      <c r="N15" s="20"/>
      <c r="O15" s="20"/>
      <c r="P15" s="20"/>
      <c r="Q15" s="22">
        <f t="shared" si="234"/>
        <v>0</v>
      </c>
      <c r="S15" s="20"/>
      <c r="T15" s="20"/>
      <c r="U15" s="20"/>
      <c r="V15" s="20"/>
      <c r="W15" s="20"/>
      <c r="X15" s="20"/>
      <c r="Y15" s="20"/>
      <c r="Z15" s="20"/>
      <c r="AA15" s="20"/>
      <c r="AB15" s="20"/>
      <c r="AC15" s="20"/>
      <c r="AD15" s="20"/>
      <c r="AE15" s="22">
        <f t="shared" si="233"/>
        <v>0</v>
      </c>
      <c r="AG15" s="20"/>
      <c r="AH15" s="20"/>
      <c r="AI15" s="20"/>
      <c r="AJ15" s="20"/>
      <c r="AK15" s="20"/>
      <c r="AL15" s="20"/>
      <c r="AM15" s="20"/>
      <c r="AN15" s="20"/>
      <c r="AO15" s="20"/>
      <c r="AP15" s="20"/>
      <c r="AQ15" s="20"/>
      <c r="AR15" s="20"/>
      <c r="AS15" s="22">
        <f t="shared" si="235"/>
        <v>0</v>
      </c>
      <c r="AU15" s="20"/>
      <c r="AV15" s="20"/>
      <c r="AW15" s="20"/>
      <c r="AX15" s="20"/>
      <c r="AY15" s="20"/>
      <c r="AZ15" s="20"/>
      <c r="BA15" s="20"/>
      <c r="BB15" s="20"/>
      <c r="BC15" s="20"/>
      <c r="BD15" s="20"/>
      <c r="BE15" s="20"/>
      <c r="BF15" s="20"/>
      <c r="BG15" s="22">
        <f t="shared" si="226"/>
        <v>0</v>
      </c>
      <c r="BI15" s="20"/>
      <c r="BJ15" s="20"/>
      <c r="BK15" s="20"/>
      <c r="BL15" s="20"/>
      <c r="BM15" s="20"/>
      <c r="BN15" s="20"/>
      <c r="BO15" s="20"/>
      <c r="BP15" s="20"/>
      <c r="BQ15" s="20"/>
      <c r="BR15" s="20"/>
      <c r="BS15" s="20"/>
      <c r="BT15" s="20"/>
      <c r="BU15" s="22">
        <f t="shared" si="227"/>
        <v>0</v>
      </c>
      <c r="BW15" s="20"/>
      <c r="BX15" s="20"/>
      <c r="BY15" s="20"/>
      <c r="BZ15" s="20"/>
      <c r="CA15" s="20"/>
      <c r="CB15" s="20"/>
      <c r="CC15" s="20"/>
      <c r="CD15" s="20"/>
      <c r="CE15" s="20"/>
      <c r="CF15" s="20"/>
      <c r="CG15" s="20"/>
      <c r="CH15" s="20"/>
      <c r="CI15" s="22">
        <f t="shared" si="228"/>
        <v>0</v>
      </c>
      <c r="CK15" s="20"/>
      <c r="CL15" s="20"/>
      <c r="CM15" s="20"/>
      <c r="CN15" s="20"/>
      <c r="CO15" s="20"/>
      <c r="CP15" s="20"/>
      <c r="CQ15" s="20"/>
      <c r="CR15" s="20"/>
      <c r="CS15" s="20"/>
      <c r="CT15" s="20"/>
      <c r="CU15" s="20"/>
      <c r="CV15" s="20"/>
      <c r="CW15" s="22">
        <f t="shared" si="229"/>
        <v>0</v>
      </c>
      <c r="CY15" s="20"/>
      <c r="CZ15" s="20"/>
      <c r="DA15" s="20"/>
      <c r="DB15" s="20"/>
      <c r="DC15" s="20"/>
      <c r="DD15" s="20"/>
      <c r="DE15" s="20"/>
      <c r="DF15" s="20"/>
      <c r="DG15" s="20"/>
      <c r="DH15" s="20"/>
      <c r="DI15" s="20"/>
      <c r="DJ15" s="20"/>
      <c r="DK15" s="22">
        <f t="shared" si="230"/>
        <v>0</v>
      </c>
      <c r="DM15" s="20"/>
      <c r="DN15" s="20"/>
      <c r="DO15" s="20"/>
      <c r="DP15" s="20"/>
      <c r="DQ15" s="20"/>
      <c r="DR15" s="20"/>
      <c r="DS15" s="20"/>
      <c r="DT15" s="20"/>
      <c r="DU15" s="20"/>
      <c r="DV15" s="20"/>
      <c r="DW15" s="20"/>
      <c r="DX15" s="20"/>
      <c r="DY15" s="22">
        <f t="shared" si="231"/>
        <v>0</v>
      </c>
      <c r="EA15" s="20"/>
      <c r="EB15" s="20"/>
      <c r="EC15" s="20"/>
      <c r="ED15" s="20"/>
      <c r="EE15" s="20"/>
      <c r="EF15" s="20"/>
      <c r="EG15" s="20"/>
      <c r="EH15" s="20"/>
      <c r="EI15" s="20"/>
      <c r="EJ15" s="20"/>
      <c r="EK15" s="20"/>
      <c r="EL15" s="20"/>
      <c r="EM15" s="22">
        <f t="shared" si="232"/>
        <v>0</v>
      </c>
    </row>
    <row r="16" spans="1:143" hidden="1" x14ac:dyDescent="0.2">
      <c r="C16" s="19" t="s">
        <v>45</v>
      </c>
      <c r="E16" s="20"/>
      <c r="F16" s="20"/>
      <c r="G16" s="20"/>
      <c r="H16" s="20"/>
      <c r="I16" s="20"/>
      <c r="J16" s="20"/>
      <c r="K16" s="20"/>
      <c r="L16" s="20"/>
      <c r="M16" s="20"/>
      <c r="N16" s="20"/>
      <c r="O16" s="20"/>
      <c r="P16" s="20"/>
      <c r="Q16" s="22">
        <f t="shared" si="234"/>
        <v>0</v>
      </c>
      <c r="S16" s="20"/>
      <c r="T16" s="20"/>
      <c r="U16" s="20"/>
      <c r="V16" s="20"/>
      <c r="W16" s="20"/>
      <c r="X16" s="20"/>
      <c r="Y16" s="20"/>
      <c r="Z16" s="20"/>
      <c r="AA16" s="20"/>
      <c r="AB16" s="20"/>
      <c r="AC16" s="20"/>
      <c r="AD16" s="20"/>
      <c r="AE16" s="22">
        <f t="shared" si="233"/>
        <v>0</v>
      </c>
      <c r="AG16" s="20"/>
      <c r="AH16" s="20"/>
      <c r="AI16" s="20"/>
      <c r="AJ16" s="20"/>
      <c r="AK16" s="20"/>
      <c r="AL16" s="20"/>
      <c r="AM16" s="20"/>
      <c r="AN16" s="20"/>
      <c r="AO16" s="20"/>
      <c r="AP16" s="20"/>
      <c r="AQ16" s="20"/>
      <c r="AR16" s="20"/>
      <c r="AS16" s="22">
        <f t="shared" si="235"/>
        <v>0</v>
      </c>
      <c r="AU16" s="20"/>
      <c r="AV16" s="20"/>
      <c r="AW16" s="20"/>
      <c r="AX16" s="20"/>
      <c r="AY16" s="20"/>
      <c r="AZ16" s="20"/>
      <c r="BA16" s="20"/>
      <c r="BB16" s="20"/>
      <c r="BC16" s="20"/>
      <c r="BD16" s="20"/>
      <c r="BE16" s="20"/>
      <c r="BF16" s="20"/>
      <c r="BG16" s="22">
        <f t="shared" si="226"/>
        <v>0</v>
      </c>
      <c r="BI16" s="20"/>
      <c r="BJ16" s="20"/>
      <c r="BK16" s="20"/>
      <c r="BL16" s="20"/>
      <c r="BM16" s="20"/>
      <c r="BN16" s="20"/>
      <c r="BO16" s="20"/>
      <c r="BP16" s="20"/>
      <c r="BQ16" s="20"/>
      <c r="BR16" s="20"/>
      <c r="BS16" s="20"/>
      <c r="BT16" s="20"/>
      <c r="BU16" s="22">
        <f t="shared" si="227"/>
        <v>0</v>
      </c>
      <c r="BW16" s="20"/>
      <c r="BX16" s="20"/>
      <c r="BY16" s="20"/>
      <c r="BZ16" s="20"/>
      <c r="CA16" s="20"/>
      <c r="CB16" s="20"/>
      <c r="CC16" s="20"/>
      <c r="CD16" s="20"/>
      <c r="CE16" s="20"/>
      <c r="CF16" s="20"/>
      <c r="CG16" s="20"/>
      <c r="CH16" s="20"/>
      <c r="CI16" s="22">
        <f t="shared" si="228"/>
        <v>0</v>
      </c>
      <c r="CK16" s="20"/>
      <c r="CL16" s="20"/>
      <c r="CM16" s="20"/>
      <c r="CN16" s="20"/>
      <c r="CO16" s="20"/>
      <c r="CP16" s="20"/>
      <c r="CQ16" s="20"/>
      <c r="CR16" s="20"/>
      <c r="CS16" s="20"/>
      <c r="CT16" s="20"/>
      <c r="CU16" s="20"/>
      <c r="CV16" s="20"/>
      <c r="CW16" s="22">
        <f t="shared" si="229"/>
        <v>0</v>
      </c>
      <c r="CY16" s="20"/>
      <c r="CZ16" s="20"/>
      <c r="DA16" s="20"/>
      <c r="DB16" s="20"/>
      <c r="DC16" s="20"/>
      <c r="DD16" s="20"/>
      <c r="DE16" s="20"/>
      <c r="DF16" s="20"/>
      <c r="DG16" s="20"/>
      <c r="DH16" s="20"/>
      <c r="DI16" s="20"/>
      <c r="DJ16" s="20"/>
      <c r="DK16" s="22">
        <f t="shared" si="230"/>
        <v>0</v>
      </c>
      <c r="DM16" s="20"/>
      <c r="DN16" s="20"/>
      <c r="DO16" s="20"/>
      <c r="DP16" s="20"/>
      <c r="DQ16" s="20"/>
      <c r="DR16" s="20"/>
      <c r="DS16" s="20"/>
      <c r="DT16" s="20"/>
      <c r="DU16" s="20"/>
      <c r="DV16" s="20"/>
      <c r="DW16" s="20"/>
      <c r="DX16" s="20"/>
      <c r="DY16" s="22">
        <f t="shared" si="231"/>
        <v>0</v>
      </c>
      <c r="EA16" s="20"/>
      <c r="EB16" s="20"/>
      <c r="EC16" s="20"/>
      <c r="ED16" s="20"/>
      <c r="EE16" s="20"/>
      <c r="EF16" s="20"/>
      <c r="EG16" s="20"/>
      <c r="EH16" s="20"/>
      <c r="EI16" s="20"/>
      <c r="EJ16" s="20"/>
      <c r="EK16" s="20"/>
      <c r="EL16" s="20"/>
      <c r="EM16" s="22">
        <f t="shared" si="232"/>
        <v>0</v>
      </c>
    </row>
    <row r="17" spans="3:143" hidden="1" x14ac:dyDescent="0.2">
      <c r="C17" s="19" t="s">
        <v>45</v>
      </c>
      <c r="E17" s="20"/>
      <c r="F17" s="20"/>
      <c r="G17" s="20"/>
      <c r="H17" s="20"/>
      <c r="I17" s="20"/>
      <c r="J17" s="20"/>
      <c r="K17" s="20"/>
      <c r="L17" s="20"/>
      <c r="M17" s="20"/>
      <c r="N17" s="20"/>
      <c r="O17" s="20"/>
      <c r="P17" s="20"/>
      <c r="Q17" s="22">
        <f t="shared" si="234"/>
        <v>0</v>
      </c>
      <c r="S17" s="20"/>
      <c r="T17" s="20"/>
      <c r="U17" s="20"/>
      <c r="V17" s="20"/>
      <c r="W17" s="20"/>
      <c r="X17" s="20"/>
      <c r="Y17" s="20"/>
      <c r="Z17" s="20"/>
      <c r="AA17" s="20"/>
      <c r="AB17" s="20"/>
      <c r="AC17" s="20"/>
      <c r="AD17" s="20"/>
      <c r="AE17" s="22">
        <f t="shared" si="233"/>
        <v>0</v>
      </c>
      <c r="AG17" s="20"/>
      <c r="AH17" s="20"/>
      <c r="AI17" s="20"/>
      <c r="AJ17" s="20"/>
      <c r="AK17" s="20"/>
      <c r="AL17" s="20"/>
      <c r="AM17" s="20"/>
      <c r="AN17" s="20"/>
      <c r="AO17" s="20"/>
      <c r="AP17" s="20"/>
      <c r="AQ17" s="20"/>
      <c r="AR17" s="20"/>
      <c r="AS17" s="22">
        <f t="shared" si="235"/>
        <v>0</v>
      </c>
      <c r="AU17" s="20"/>
      <c r="AV17" s="20"/>
      <c r="AW17" s="20"/>
      <c r="AX17" s="20"/>
      <c r="AY17" s="20"/>
      <c r="AZ17" s="20"/>
      <c r="BA17" s="20"/>
      <c r="BB17" s="20"/>
      <c r="BC17" s="20"/>
      <c r="BD17" s="20"/>
      <c r="BE17" s="20"/>
      <c r="BF17" s="20"/>
      <c r="BG17" s="22">
        <f t="shared" si="226"/>
        <v>0</v>
      </c>
      <c r="BI17" s="20"/>
      <c r="BJ17" s="20"/>
      <c r="BK17" s="20"/>
      <c r="BL17" s="20"/>
      <c r="BM17" s="20"/>
      <c r="BN17" s="20"/>
      <c r="BO17" s="20"/>
      <c r="BP17" s="20"/>
      <c r="BQ17" s="20"/>
      <c r="BR17" s="20"/>
      <c r="BS17" s="20"/>
      <c r="BT17" s="20"/>
      <c r="BU17" s="22">
        <f t="shared" si="227"/>
        <v>0</v>
      </c>
      <c r="BW17" s="20"/>
      <c r="BX17" s="20"/>
      <c r="BY17" s="20"/>
      <c r="BZ17" s="20"/>
      <c r="CA17" s="20"/>
      <c r="CB17" s="20"/>
      <c r="CC17" s="20"/>
      <c r="CD17" s="20"/>
      <c r="CE17" s="20"/>
      <c r="CF17" s="20"/>
      <c r="CG17" s="20"/>
      <c r="CH17" s="20"/>
      <c r="CI17" s="22">
        <f t="shared" si="228"/>
        <v>0</v>
      </c>
      <c r="CK17" s="20"/>
      <c r="CL17" s="20"/>
      <c r="CM17" s="20"/>
      <c r="CN17" s="20"/>
      <c r="CO17" s="20"/>
      <c r="CP17" s="20"/>
      <c r="CQ17" s="20"/>
      <c r="CR17" s="20"/>
      <c r="CS17" s="20"/>
      <c r="CT17" s="20"/>
      <c r="CU17" s="20"/>
      <c r="CV17" s="20"/>
      <c r="CW17" s="22">
        <f t="shared" si="229"/>
        <v>0</v>
      </c>
      <c r="CY17" s="20"/>
      <c r="CZ17" s="20"/>
      <c r="DA17" s="20"/>
      <c r="DB17" s="20"/>
      <c r="DC17" s="20"/>
      <c r="DD17" s="20"/>
      <c r="DE17" s="20"/>
      <c r="DF17" s="20"/>
      <c r="DG17" s="20"/>
      <c r="DH17" s="20"/>
      <c r="DI17" s="20"/>
      <c r="DJ17" s="20"/>
      <c r="DK17" s="22">
        <f t="shared" si="230"/>
        <v>0</v>
      </c>
      <c r="DM17" s="20"/>
      <c r="DN17" s="20"/>
      <c r="DO17" s="20"/>
      <c r="DP17" s="20"/>
      <c r="DQ17" s="20"/>
      <c r="DR17" s="20"/>
      <c r="DS17" s="20"/>
      <c r="DT17" s="20"/>
      <c r="DU17" s="20"/>
      <c r="DV17" s="20"/>
      <c r="DW17" s="20"/>
      <c r="DX17" s="20"/>
      <c r="DY17" s="22">
        <f t="shared" si="231"/>
        <v>0</v>
      </c>
      <c r="EA17" s="20"/>
      <c r="EB17" s="20"/>
      <c r="EC17" s="20"/>
      <c r="ED17" s="20"/>
      <c r="EE17" s="20"/>
      <c r="EF17" s="20"/>
      <c r="EG17" s="20"/>
      <c r="EH17" s="20"/>
      <c r="EI17" s="20"/>
      <c r="EJ17" s="20"/>
      <c r="EK17" s="20"/>
      <c r="EL17" s="20"/>
      <c r="EM17" s="22">
        <f t="shared" si="232"/>
        <v>0</v>
      </c>
    </row>
    <row r="18" spans="3:143" hidden="1" x14ac:dyDescent="0.2">
      <c r="C18" s="19" t="s">
        <v>45</v>
      </c>
      <c r="E18" s="20"/>
      <c r="F18" s="20"/>
      <c r="G18" s="20"/>
      <c r="H18" s="20"/>
      <c r="I18" s="20"/>
      <c r="J18" s="20"/>
      <c r="K18" s="20"/>
      <c r="L18" s="20"/>
      <c r="M18" s="20"/>
      <c r="N18" s="20"/>
      <c r="O18" s="20"/>
      <c r="P18" s="20"/>
      <c r="Q18" s="22">
        <f t="shared" si="234"/>
        <v>0</v>
      </c>
      <c r="S18" s="20"/>
      <c r="T18" s="20"/>
      <c r="U18" s="20"/>
      <c r="V18" s="20"/>
      <c r="W18" s="20"/>
      <c r="X18" s="20"/>
      <c r="Y18" s="20"/>
      <c r="Z18" s="20"/>
      <c r="AA18" s="20"/>
      <c r="AB18" s="20"/>
      <c r="AC18" s="20"/>
      <c r="AD18" s="20"/>
      <c r="AE18" s="22">
        <f t="shared" si="233"/>
        <v>0</v>
      </c>
      <c r="AG18" s="20"/>
      <c r="AH18" s="20"/>
      <c r="AI18" s="20"/>
      <c r="AJ18" s="20"/>
      <c r="AK18" s="20"/>
      <c r="AL18" s="20"/>
      <c r="AM18" s="20"/>
      <c r="AN18" s="20"/>
      <c r="AO18" s="20"/>
      <c r="AP18" s="20"/>
      <c r="AQ18" s="20"/>
      <c r="AR18" s="20"/>
      <c r="AS18" s="22">
        <f t="shared" si="235"/>
        <v>0</v>
      </c>
      <c r="AU18" s="20"/>
      <c r="AV18" s="20"/>
      <c r="AW18" s="20"/>
      <c r="AX18" s="20"/>
      <c r="AY18" s="20"/>
      <c r="AZ18" s="20"/>
      <c r="BA18" s="20"/>
      <c r="BB18" s="20"/>
      <c r="BC18" s="20"/>
      <c r="BD18" s="20"/>
      <c r="BE18" s="20"/>
      <c r="BF18" s="20"/>
      <c r="BG18" s="22">
        <f t="shared" si="226"/>
        <v>0</v>
      </c>
      <c r="BI18" s="20"/>
      <c r="BJ18" s="20"/>
      <c r="BK18" s="20"/>
      <c r="BL18" s="20"/>
      <c r="BM18" s="20"/>
      <c r="BN18" s="20"/>
      <c r="BO18" s="20"/>
      <c r="BP18" s="20"/>
      <c r="BQ18" s="20"/>
      <c r="BR18" s="20"/>
      <c r="BS18" s="20"/>
      <c r="BT18" s="20"/>
      <c r="BU18" s="22">
        <f t="shared" si="227"/>
        <v>0</v>
      </c>
      <c r="BW18" s="20"/>
      <c r="BX18" s="20"/>
      <c r="BY18" s="20"/>
      <c r="BZ18" s="20"/>
      <c r="CA18" s="20"/>
      <c r="CB18" s="20"/>
      <c r="CC18" s="20"/>
      <c r="CD18" s="20"/>
      <c r="CE18" s="20"/>
      <c r="CF18" s="20"/>
      <c r="CG18" s="20"/>
      <c r="CH18" s="20"/>
      <c r="CI18" s="22">
        <f t="shared" si="228"/>
        <v>0</v>
      </c>
      <c r="CK18" s="20"/>
      <c r="CL18" s="20"/>
      <c r="CM18" s="20"/>
      <c r="CN18" s="20"/>
      <c r="CO18" s="20"/>
      <c r="CP18" s="20"/>
      <c r="CQ18" s="20"/>
      <c r="CR18" s="20"/>
      <c r="CS18" s="20"/>
      <c r="CT18" s="20"/>
      <c r="CU18" s="20"/>
      <c r="CV18" s="20"/>
      <c r="CW18" s="22">
        <f t="shared" si="229"/>
        <v>0</v>
      </c>
      <c r="CY18" s="20"/>
      <c r="CZ18" s="20"/>
      <c r="DA18" s="20"/>
      <c r="DB18" s="20"/>
      <c r="DC18" s="20"/>
      <c r="DD18" s="20"/>
      <c r="DE18" s="20"/>
      <c r="DF18" s="20"/>
      <c r="DG18" s="20"/>
      <c r="DH18" s="20"/>
      <c r="DI18" s="20"/>
      <c r="DJ18" s="20"/>
      <c r="DK18" s="22">
        <f t="shared" si="230"/>
        <v>0</v>
      </c>
      <c r="DM18" s="20"/>
      <c r="DN18" s="20"/>
      <c r="DO18" s="20"/>
      <c r="DP18" s="20"/>
      <c r="DQ18" s="20"/>
      <c r="DR18" s="20"/>
      <c r="DS18" s="20"/>
      <c r="DT18" s="20"/>
      <c r="DU18" s="20"/>
      <c r="DV18" s="20"/>
      <c r="DW18" s="20"/>
      <c r="DX18" s="20"/>
      <c r="DY18" s="22">
        <f t="shared" si="231"/>
        <v>0</v>
      </c>
      <c r="EA18" s="20"/>
      <c r="EB18" s="20"/>
      <c r="EC18" s="20"/>
      <c r="ED18" s="20"/>
      <c r="EE18" s="20"/>
      <c r="EF18" s="20"/>
      <c r="EG18" s="20"/>
      <c r="EH18" s="20"/>
      <c r="EI18" s="20"/>
      <c r="EJ18" s="20"/>
      <c r="EK18" s="20"/>
      <c r="EL18" s="20"/>
      <c r="EM18" s="22">
        <f t="shared" si="232"/>
        <v>0</v>
      </c>
    </row>
    <row r="19" spans="3:143" hidden="1" x14ac:dyDescent="0.2">
      <c r="C19" s="19" t="s">
        <v>45</v>
      </c>
      <c r="E19" s="20"/>
      <c r="F19" s="20"/>
      <c r="G19" s="20"/>
      <c r="H19" s="20"/>
      <c r="I19" s="20"/>
      <c r="J19" s="20"/>
      <c r="K19" s="20"/>
      <c r="L19" s="20"/>
      <c r="M19" s="20"/>
      <c r="N19" s="20"/>
      <c r="O19" s="20"/>
      <c r="P19" s="20"/>
      <c r="Q19" s="22">
        <f t="shared" si="234"/>
        <v>0</v>
      </c>
      <c r="S19" s="20"/>
      <c r="T19" s="20"/>
      <c r="U19" s="20"/>
      <c r="V19" s="20"/>
      <c r="W19" s="20"/>
      <c r="X19" s="20"/>
      <c r="Y19" s="20"/>
      <c r="Z19" s="20"/>
      <c r="AA19" s="20"/>
      <c r="AB19" s="20"/>
      <c r="AC19" s="20"/>
      <c r="AD19" s="20"/>
      <c r="AE19" s="22">
        <f t="shared" si="233"/>
        <v>0</v>
      </c>
      <c r="AG19" s="20"/>
      <c r="AH19" s="20"/>
      <c r="AI19" s="20"/>
      <c r="AJ19" s="20"/>
      <c r="AK19" s="20"/>
      <c r="AL19" s="20"/>
      <c r="AM19" s="20"/>
      <c r="AN19" s="20"/>
      <c r="AO19" s="20"/>
      <c r="AP19" s="20"/>
      <c r="AQ19" s="20"/>
      <c r="AR19" s="20"/>
      <c r="AS19" s="22">
        <f t="shared" si="235"/>
        <v>0</v>
      </c>
      <c r="AU19" s="20"/>
      <c r="AV19" s="20"/>
      <c r="AW19" s="20"/>
      <c r="AX19" s="20"/>
      <c r="AY19" s="20"/>
      <c r="AZ19" s="20"/>
      <c r="BA19" s="20"/>
      <c r="BB19" s="20"/>
      <c r="BC19" s="20"/>
      <c r="BD19" s="20"/>
      <c r="BE19" s="20"/>
      <c r="BF19" s="20"/>
      <c r="BG19" s="22">
        <f t="shared" si="226"/>
        <v>0</v>
      </c>
      <c r="BI19" s="20"/>
      <c r="BJ19" s="20"/>
      <c r="BK19" s="20"/>
      <c r="BL19" s="20"/>
      <c r="BM19" s="20"/>
      <c r="BN19" s="20"/>
      <c r="BO19" s="20"/>
      <c r="BP19" s="20"/>
      <c r="BQ19" s="20"/>
      <c r="BR19" s="20"/>
      <c r="BS19" s="20"/>
      <c r="BT19" s="20"/>
      <c r="BU19" s="22">
        <f t="shared" si="227"/>
        <v>0</v>
      </c>
      <c r="BW19" s="20"/>
      <c r="BX19" s="20"/>
      <c r="BY19" s="20"/>
      <c r="BZ19" s="20"/>
      <c r="CA19" s="20"/>
      <c r="CB19" s="20"/>
      <c r="CC19" s="20"/>
      <c r="CD19" s="20"/>
      <c r="CE19" s="20"/>
      <c r="CF19" s="20"/>
      <c r="CG19" s="20"/>
      <c r="CH19" s="20"/>
      <c r="CI19" s="22">
        <f t="shared" si="228"/>
        <v>0</v>
      </c>
      <c r="CK19" s="20"/>
      <c r="CL19" s="20"/>
      <c r="CM19" s="20"/>
      <c r="CN19" s="20"/>
      <c r="CO19" s="20"/>
      <c r="CP19" s="20"/>
      <c r="CQ19" s="20"/>
      <c r="CR19" s="20"/>
      <c r="CS19" s="20"/>
      <c r="CT19" s="20"/>
      <c r="CU19" s="20"/>
      <c r="CV19" s="20"/>
      <c r="CW19" s="22">
        <f t="shared" si="229"/>
        <v>0</v>
      </c>
      <c r="CY19" s="20"/>
      <c r="CZ19" s="20"/>
      <c r="DA19" s="20"/>
      <c r="DB19" s="20"/>
      <c r="DC19" s="20"/>
      <c r="DD19" s="20"/>
      <c r="DE19" s="20"/>
      <c r="DF19" s="20"/>
      <c r="DG19" s="20"/>
      <c r="DH19" s="20"/>
      <c r="DI19" s="20"/>
      <c r="DJ19" s="20"/>
      <c r="DK19" s="22">
        <f t="shared" si="230"/>
        <v>0</v>
      </c>
      <c r="DM19" s="20"/>
      <c r="DN19" s="20"/>
      <c r="DO19" s="20"/>
      <c r="DP19" s="20"/>
      <c r="DQ19" s="20"/>
      <c r="DR19" s="20"/>
      <c r="DS19" s="20"/>
      <c r="DT19" s="20"/>
      <c r="DU19" s="20"/>
      <c r="DV19" s="20"/>
      <c r="DW19" s="20"/>
      <c r="DX19" s="20"/>
      <c r="DY19" s="22">
        <f t="shared" si="231"/>
        <v>0</v>
      </c>
      <c r="EA19" s="20"/>
      <c r="EB19" s="20"/>
      <c r="EC19" s="20"/>
      <c r="ED19" s="20"/>
      <c r="EE19" s="20"/>
      <c r="EF19" s="20"/>
      <c r="EG19" s="20"/>
      <c r="EH19" s="20"/>
      <c r="EI19" s="20"/>
      <c r="EJ19" s="20"/>
      <c r="EK19" s="20"/>
      <c r="EL19" s="20"/>
      <c r="EM19" s="22">
        <f t="shared" si="232"/>
        <v>0</v>
      </c>
    </row>
    <row r="20" spans="3:143" x14ac:dyDescent="0.2">
      <c r="C20" s="16" t="s">
        <v>46</v>
      </c>
      <c r="E20" s="21" cm="1">
        <f t="array" aca="1" ref="E20" ca="1">SUM(INDIRECT(ADDRESS(income_min_row, COLUMN()) &amp; ":" &amp; ADDRESS(income_max_row, COLUMN())))</f>
        <v>0</v>
      </c>
      <c r="F20" s="21" cm="1">
        <f t="array" aca="1" ref="F20" ca="1">SUM(INDIRECT(ADDRESS(income_min_row, COLUMN()) &amp; ":" &amp; ADDRESS(income_max_row, COLUMN())))</f>
        <v>0</v>
      </c>
      <c r="G20" s="21" cm="1">
        <f t="array" aca="1" ref="G20" ca="1">SUM(INDIRECT(ADDRESS(income_min_row, COLUMN()) &amp; ":" &amp; ADDRESS(income_max_row, COLUMN())))</f>
        <v>0</v>
      </c>
      <c r="H20" s="21" cm="1">
        <f t="array" aca="1" ref="H20" ca="1">SUM(INDIRECT(ADDRESS(income_min_row, COLUMN()) &amp; ":" &amp; ADDRESS(income_max_row, COLUMN())))</f>
        <v>0</v>
      </c>
      <c r="I20" s="21" cm="1">
        <f t="array" aca="1" ref="I20" ca="1">SUM(INDIRECT(ADDRESS(income_min_row, COLUMN()) &amp; ":" &amp; ADDRESS(income_max_row, COLUMN())))</f>
        <v>0</v>
      </c>
      <c r="J20" s="21" cm="1">
        <f t="array" aca="1" ref="J20" ca="1">SUM(INDIRECT(ADDRESS(income_min_row, COLUMN()) &amp; ":" &amp; ADDRESS(income_max_row, COLUMN())))</f>
        <v>7300</v>
      </c>
      <c r="K20" s="21" cm="1">
        <f t="array" aca="1" ref="K20" ca="1">SUM(INDIRECT(ADDRESS(income_min_row, COLUMN()) &amp; ":" &amp; ADDRESS(income_max_row, COLUMN())))</f>
        <v>7300</v>
      </c>
      <c r="L20" s="21" cm="1">
        <f t="array" aca="1" ref="L20" ca="1">SUM(INDIRECT(ADDRESS(income_min_row, COLUMN()) &amp; ":" &amp; ADDRESS(income_max_row, COLUMN())))</f>
        <v>7300</v>
      </c>
      <c r="M20" s="21" cm="1">
        <f t="array" aca="1" ref="M20" ca="1">SUM(INDIRECT(ADDRESS(income_min_row, COLUMN()) &amp; ":" &amp; ADDRESS(income_max_row, COLUMN())))</f>
        <v>7300</v>
      </c>
      <c r="N20" s="21" cm="1">
        <f t="array" aca="1" ref="N20" ca="1">SUM(INDIRECT(ADDRESS(income_min_row, COLUMN()) &amp; ":" &amp; ADDRESS(income_max_row, COLUMN())))</f>
        <v>7300</v>
      </c>
      <c r="O20" s="21" cm="1">
        <f t="array" aca="1" ref="O20" ca="1">SUM(INDIRECT(ADDRESS(income_min_row, COLUMN()) &amp; ":" &amp; ADDRESS(income_max_row, COLUMN())))</f>
        <v>8550</v>
      </c>
      <c r="P20" s="21" cm="1">
        <f t="array" aca="1" ref="P20" ca="1">SUM(INDIRECT(ADDRESS(income_min_row, COLUMN()) &amp; ":" &amp; ADDRESS(income_max_row, COLUMN())))</f>
        <v>8550</v>
      </c>
      <c r="Q20" s="21" cm="1">
        <f t="array" aca="1" ref="Q20" ca="1">SUM(INDIRECT(ADDRESS(income_min_row, COLUMN()) &amp; ":" &amp; ADDRESS(income_max_row, COLUMN())))</f>
        <v>53600</v>
      </c>
      <c r="S20" s="21" cm="1">
        <f t="array" aca="1" ref="S20" ca="1">SUM(INDIRECT(ADDRESS(income_min_row, COLUMN()) &amp; ":" &amp; ADDRESS(income_max_row, COLUMN())))</f>
        <v>7750</v>
      </c>
      <c r="T20" s="21" cm="1">
        <f t="array" aca="1" ref="T20" ca="1">SUM(INDIRECT(ADDRESS(income_min_row, COLUMN()) &amp; ":" &amp; ADDRESS(income_max_row, COLUMN())))</f>
        <v>7750</v>
      </c>
      <c r="U20" s="21" cm="1">
        <f t="array" aca="1" ref="U20" ca="1">SUM(INDIRECT(ADDRESS(income_min_row, COLUMN()) &amp; ":" &amp; ADDRESS(income_max_row, COLUMN())))</f>
        <v>7750</v>
      </c>
      <c r="V20" s="21" cm="1">
        <f t="array" aca="1" ref="V20" ca="1">SUM(INDIRECT(ADDRESS(income_min_row, COLUMN()) &amp; ":" &amp; ADDRESS(income_max_row, COLUMN())))</f>
        <v>7750</v>
      </c>
      <c r="W20" s="21" cm="1">
        <f t="array" aca="1" ref="W20" ca="1">SUM(INDIRECT(ADDRESS(income_min_row, COLUMN()) &amp; ":" &amp; ADDRESS(income_max_row, COLUMN())))</f>
        <v>7750</v>
      </c>
      <c r="X20" s="21" cm="1">
        <f t="array" aca="1" ref="X20" ca="1">SUM(INDIRECT(ADDRESS(income_min_row, COLUMN()) &amp; ":" &amp; ADDRESS(income_max_row, COLUMN())))</f>
        <v>7750</v>
      </c>
      <c r="Y20" s="21" cm="1">
        <f t="array" aca="1" ref="Y20" ca="1">SUM(INDIRECT(ADDRESS(income_min_row, COLUMN()) &amp; ":" &amp; ADDRESS(income_max_row, COLUMN())))</f>
        <v>7950</v>
      </c>
      <c r="Z20" s="21" cm="1">
        <f t="array" aca="1" ref="Z20" ca="1">SUM(INDIRECT(ADDRESS(income_min_row, COLUMN()) &amp; ":" &amp; ADDRESS(income_max_row, COLUMN())))</f>
        <v>7950</v>
      </c>
      <c r="AA20" s="21" cm="1">
        <f t="array" aca="1" ref="AA20" ca="1">SUM(INDIRECT(ADDRESS(income_min_row, COLUMN()) &amp; ":" &amp; ADDRESS(income_max_row, COLUMN())))</f>
        <v>7950</v>
      </c>
      <c r="AB20" s="21" cm="1">
        <f t="array" aca="1" ref="AB20" ca="1">SUM(INDIRECT(ADDRESS(income_min_row, COLUMN()) &amp; ":" &amp; ADDRESS(income_max_row, COLUMN())))</f>
        <v>7950</v>
      </c>
      <c r="AC20" s="21" cm="1">
        <f t="array" aca="1" ref="AC20" ca="1">SUM(INDIRECT(ADDRESS(income_min_row, COLUMN()) &amp; ":" &amp; ADDRESS(income_max_row, COLUMN())))</f>
        <v>7950</v>
      </c>
      <c r="AD20" s="21" cm="1">
        <f t="array" aca="1" ref="AD20" ca="1">SUM(INDIRECT(ADDRESS(income_min_row, COLUMN()) &amp; ":" &amp; ADDRESS(income_max_row, COLUMN())))</f>
        <v>7950</v>
      </c>
      <c r="AE20" s="21" cm="1">
        <f t="array" aca="1" ref="AE20" ca="1">SUM(INDIRECT(ADDRESS(income_min_row, COLUMN()) &amp; ":" &amp; ADDRESS(income_max_row, COLUMN())))</f>
        <v>94200</v>
      </c>
      <c r="AG20" s="21" cm="1">
        <f t="array" aca="1" ref="AG20" ca="1">SUM(INDIRECT(ADDRESS(income_min_row, COLUMN()) &amp; ":" &amp; ADDRESS(income_max_row, COLUMN())))</f>
        <v>7950</v>
      </c>
      <c r="AH20" s="21" cm="1">
        <f t="array" aca="1" ref="AH20" ca="1">SUM(INDIRECT(ADDRESS(income_min_row, COLUMN()) &amp; ":" &amp; ADDRESS(income_max_row, COLUMN())))</f>
        <v>7950</v>
      </c>
      <c r="AI20" s="21" cm="1">
        <f t="array" aca="1" ref="AI20" ca="1">SUM(INDIRECT(ADDRESS(income_min_row, COLUMN()) &amp; ":" &amp; ADDRESS(income_max_row, COLUMN())))</f>
        <v>7950</v>
      </c>
      <c r="AJ20" s="21" cm="1">
        <f t="array" aca="1" ref="AJ20" ca="1">SUM(INDIRECT(ADDRESS(income_min_row, COLUMN()) &amp; ":" &amp; ADDRESS(income_max_row, COLUMN())))</f>
        <v>7950</v>
      </c>
      <c r="AK20" s="21" cm="1">
        <f t="array" aca="1" ref="AK20" ca="1">SUM(INDIRECT(ADDRESS(income_min_row, COLUMN()) &amp; ":" &amp; ADDRESS(income_max_row, COLUMN())))</f>
        <v>7950</v>
      </c>
      <c r="AL20" s="21" cm="1">
        <f t="array" aca="1" ref="AL20" ca="1">SUM(INDIRECT(ADDRESS(income_min_row, COLUMN()) &amp; ":" &amp; ADDRESS(income_max_row, COLUMN())))</f>
        <v>7950</v>
      </c>
      <c r="AM20" s="21" cm="1">
        <f t="array" aca="1" ref="AM20" ca="1">SUM(INDIRECT(ADDRESS(income_min_row, COLUMN()) &amp; ":" &amp; ADDRESS(income_max_row, COLUMN())))</f>
        <v>7950</v>
      </c>
      <c r="AN20" s="21" cm="1">
        <f t="array" aca="1" ref="AN20" ca="1">SUM(INDIRECT(ADDRESS(income_min_row, COLUMN()) &amp; ":" &amp; ADDRESS(income_max_row, COLUMN())))</f>
        <v>7950</v>
      </c>
      <c r="AO20" s="21" cm="1">
        <f t="array" aca="1" ref="AO20" ca="1">SUM(INDIRECT(ADDRESS(income_min_row, COLUMN()) &amp; ":" &amp; ADDRESS(income_max_row, COLUMN())))</f>
        <v>7950</v>
      </c>
      <c r="AP20" s="21" cm="1">
        <f t="array" aca="1" ref="AP20" ca="1">SUM(INDIRECT(ADDRESS(income_min_row, COLUMN()) &amp; ":" &amp; ADDRESS(income_max_row, COLUMN())))</f>
        <v>7950</v>
      </c>
      <c r="AQ20" s="21" cm="1">
        <f t="array" aca="1" ref="AQ20" ca="1">SUM(INDIRECT(ADDRESS(income_min_row, COLUMN()) &amp; ":" &amp; ADDRESS(income_max_row, COLUMN())))</f>
        <v>7950</v>
      </c>
      <c r="AR20" s="21" cm="1">
        <f t="array" aca="1" ref="AR20" ca="1">SUM(INDIRECT(ADDRESS(income_min_row, COLUMN()) &amp; ":" &amp; ADDRESS(income_max_row, COLUMN())))</f>
        <v>7950</v>
      </c>
      <c r="AS20" s="21" cm="1">
        <f t="array" aca="1" ref="AS20" ca="1">SUM(INDIRECT(ADDRESS(income_min_row, COLUMN()) &amp; ":" &amp; ADDRESS(income_max_row, COLUMN())))</f>
        <v>7950</v>
      </c>
      <c r="AU20" s="21" cm="1">
        <f t="array" aca="1" ref="AU20" ca="1">SUM(INDIRECT(ADDRESS(income_min_row, COLUMN()) &amp; ":" &amp; ADDRESS(income_max_row, COLUMN())))</f>
        <v>0</v>
      </c>
      <c r="AV20" s="21" cm="1">
        <f t="array" aca="1" ref="AV20" ca="1">SUM(INDIRECT(ADDRESS(income_min_row, COLUMN()) &amp; ":" &amp; ADDRESS(income_max_row, COLUMN())))</f>
        <v>0</v>
      </c>
      <c r="AW20" s="21" cm="1">
        <f t="array" aca="1" ref="AW20" ca="1">SUM(INDIRECT(ADDRESS(income_min_row, COLUMN()) &amp; ":" &amp; ADDRESS(income_max_row, COLUMN())))</f>
        <v>0</v>
      </c>
      <c r="AX20" s="21" cm="1">
        <f t="array" aca="1" ref="AX20" ca="1">SUM(INDIRECT(ADDRESS(income_min_row, COLUMN()) &amp; ":" &amp; ADDRESS(income_max_row, COLUMN())))</f>
        <v>0</v>
      </c>
      <c r="AY20" s="21" cm="1">
        <f t="array" aca="1" ref="AY20" ca="1">SUM(INDIRECT(ADDRESS(income_min_row, COLUMN()) &amp; ":" &amp; ADDRESS(income_max_row, COLUMN())))</f>
        <v>0</v>
      </c>
      <c r="AZ20" s="21" cm="1">
        <f t="array" aca="1" ref="AZ20" ca="1">SUM(INDIRECT(ADDRESS(income_min_row, COLUMN()) &amp; ":" &amp; ADDRESS(income_max_row, COLUMN())))</f>
        <v>0</v>
      </c>
      <c r="BA20" s="21" cm="1">
        <f t="array" aca="1" ref="BA20" ca="1">SUM(INDIRECT(ADDRESS(income_min_row, COLUMN()) &amp; ":" &amp; ADDRESS(income_max_row, COLUMN())))</f>
        <v>0</v>
      </c>
      <c r="BB20" s="21" cm="1">
        <f t="array" aca="1" ref="BB20" ca="1">SUM(INDIRECT(ADDRESS(income_min_row, COLUMN()) &amp; ":" &amp; ADDRESS(income_max_row, COLUMN())))</f>
        <v>0</v>
      </c>
      <c r="BC20" s="21" cm="1">
        <f t="array" aca="1" ref="BC20" ca="1">SUM(INDIRECT(ADDRESS(income_min_row, COLUMN()) &amp; ":" &amp; ADDRESS(income_max_row, COLUMN())))</f>
        <v>0</v>
      </c>
      <c r="BD20" s="21" cm="1">
        <f t="array" aca="1" ref="BD20" ca="1">SUM(INDIRECT(ADDRESS(income_min_row, COLUMN()) &amp; ":" &amp; ADDRESS(income_max_row, COLUMN())))</f>
        <v>0</v>
      </c>
      <c r="BE20" s="21" cm="1">
        <f t="array" aca="1" ref="BE20" ca="1">SUM(INDIRECT(ADDRESS(income_min_row, COLUMN()) &amp; ":" &amp; ADDRESS(income_max_row, COLUMN())))</f>
        <v>0</v>
      </c>
      <c r="BF20" s="21" cm="1">
        <f t="array" aca="1" ref="BF20" ca="1">SUM(INDIRECT(ADDRESS(income_min_row, COLUMN()) &amp; ":" &amp; ADDRESS(income_max_row, COLUMN())))</f>
        <v>0</v>
      </c>
      <c r="BG20" s="21" cm="1">
        <f t="array" aca="1" ref="BG20" ca="1">SUM(INDIRECT(ADDRESS(income_min_row, COLUMN()) &amp; ":" &amp; ADDRESS(income_max_row, COLUMN())))</f>
        <v>0</v>
      </c>
      <c r="BI20" s="21" cm="1">
        <f t="array" aca="1" ref="BI20" ca="1">SUM(INDIRECT(ADDRESS(income_min_row, COLUMN()) &amp; ":" &amp; ADDRESS(income_max_row, COLUMN())))</f>
        <v>0</v>
      </c>
      <c r="BJ20" s="21" cm="1">
        <f t="array" aca="1" ref="BJ20" ca="1">SUM(INDIRECT(ADDRESS(income_min_row, COLUMN()) &amp; ":" &amp; ADDRESS(income_max_row, COLUMN())))</f>
        <v>0</v>
      </c>
      <c r="BK20" s="21" cm="1">
        <f t="array" aca="1" ref="BK20" ca="1">SUM(INDIRECT(ADDRESS(income_min_row, COLUMN()) &amp; ":" &amp; ADDRESS(income_max_row, COLUMN())))</f>
        <v>0</v>
      </c>
      <c r="BL20" s="21" cm="1">
        <f t="array" aca="1" ref="BL20" ca="1">SUM(INDIRECT(ADDRESS(income_min_row, COLUMN()) &amp; ":" &amp; ADDRESS(income_max_row, COLUMN())))</f>
        <v>0</v>
      </c>
      <c r="BM20" s="21" cm="1">
        <f t="array" aca="1" ref="BM20" ca="1">SUM(INDIRECT(ADDRESS(income_min_row, COLUMN()) &amp; ":" &amp; ADDRESS(income_max_row, COLUMN())))</f>
        <v>0</v>
      </c>
      <c r="BN20" s="21" cm="1">
        <f t="array" aca="1" ref="BN20" ca="1">SUM(INDIRECT(ADDRESS(income_min_row, COLUMN()) &amp; ":" &amp; ADDRESS(income_max_row, COLUMN())))</f>
        <v>0</v>
      </c>
      <c r="BO20" s="21" cm="1">
        <f t="array" aca="1" ref="BO20" ca="1">SUM(INDIRECT(ADDRESS(income_min_row, COLUMN()) &amp; ":" &amp; ADDRESS(income_max_row, COLUMN())))</f>
        <v>0</v>
      </c>
      <c r="BP20" s="21" cm="1">
        <f t="array" aca="1" ref="BP20" ca="1">SUM(INDIRECT(ADDRESS(income_min_row, COLUMN()) &amp; ":" &amp; ADDRESS(income_max_row, COLUMN())))</f>
        <v>0</v>
      </c>
      <c r="BQ20" s="21" cm="1">
        <f t="array" aca="1" ref="BQ20" ca="1">SUM(INDIRECT(ADDRESS(income_min_row, COLUMN()) &amp; ":" &amp; ADDRESS(income_max_row, COLUMN())))</f>
        <v>0</v>
      </c>
      <c r="BR20" s="21" cm="1">
        <f t="array" aca="1" ref="BR20" ca="1">SUM(INDIRECT(ADDRESS(income_min_row, COLUMN()) &amp; ":" &amp; ADDRESS(income_max_row, COLUMN())))</f>
        <v>0</v>
      </c>
      <c r="BS20" s="21" cm="1">
        <f t="array" aca="1" ref="BS20" ca="1">SUM(INDIRECT(ADDRESS(income_min_row, COLUMN()) &amp; ":" &amp; ADDRESS(income_max_row, COLUMN())))</f>
        <v>0</v>
      </c>
      <c r="BT20" s="21" cm="1">
        <f t="array" aca="1" ref="BT20" ca="1">SUM(INDIRECT(ADDRESS(income_min_row, COLUMN()) &amp; ":" &amp; ADDRESS(income_max_row, COLUMN())))</f>
        <v>0</v>
      </c>
      <c r="BU20" s="21" cm="1">
        <f t="array" aca="1" ref="BU20" ca="1">SUM(INDIRECT(ADDRESS(income_min_row, COLUMN()) &amp; ":" &amp; ADDRESS(income_max_row, COLUMN())))</f>
        <v>0</v>
      </c>
      <c r="BW20" s="21" cm="1">
        <f t="array" aca="1" ref="BW20" ca="1">SUM(INDIRECT(ADDRESS(income_min_row, COLUMN()) &amp; ":" &amp; ADDRESS(income_max_row, COLUMN())))</f>
        <v>0</v>
      </c>
      <c r="BX20" s="21" cm="1">
        <f t="array" aca="1" ref="BX20" ca="1">SUM(INDIRECT(ADDRESS(income_min_row, COLUMN()) &amp; ":" &amp; ADDRESS(income_max_row, COLUMN())))</f>
        <v>0</v>
      </c>
      <c r="BY20" s="21" cm="1">
        <f t="array" aca="1" ref="BY20" ca="1">SUM(INDIRECT(ADDRESS(income_min_row, COLUMN()) &amp; ":" &amp; ADDRESS(income_max_row, COLUMN())))</f>
        <v>0</v>
      </c>
      <c r="BZ20" s="21" cm="1">
        <f t="array" aca="1" ref="BZ20" ca="1">SUM(INDIRECT(ADDRESS(income_min_row, COLUMN()) &amp; ":" &amp; ADDRESS(income_max_row, COLUMN())))</f>
        <v>0</v>
      </c>
      <c r="CA20" s="21" cm="1">
        <f t="array" aca="1" ref="CA20" ca="1">SUM(INDIRECT(ADDRESS(income_min_row, COLUMN()) &amp; ":" &amp; ADDRESS(income_max_row, COLUMN())))</f>
        <v>0</v>
      </c>
      <c r="CB20" s="21" cm="1">
        <f t="array" aca="1" ref="CB20" ca="1">SUM(INDIRECT(ADDRESS(income_min_row, COLUMN()) &amp; ":" &amp; ADDRESS(income_max_row, COLUMN())))</f>
        <v>0</v>
      </c>
      <c r="CC20" s="21" cm="1">
        <f t="array" aca="1" ref="CC20" ca="1">SUM(INDIRECT(ADDRESS(income_min_row, COLUMN()) &amp; ":" &amp; ADDRESS(income_max_row, COLUMN())))</f>
        <v>0</v>
      </c>
      <c r="CD20" s="21" cm="1">
        <f t="array" aca="1" ref="CD20" ca="1">SUM(INDIRECT(ADDRESS(income_min_row, COLUMN()) &amp; ":" &amp; ADDRESS(income_max_row, COLUMN())))</f>
        <v>0</v>
      </c>
      <c r="CE20" s="21" cm="1">
        <f t="array" aca="1" ref="CE20" ca="1">SUM(INDIRECT(ADDRESS(income_min_row, COLUMN()) &amp; ":" &amp; ADDRESS(income_max_row, COLUMN())))</f>
        <v>0</v>
      </c>
      <c r="CF20" s="21" cm="1">
        <f t="array" aca="1" ref="CF20" ca="1">SUM(INDIRECT(ADDRESS(income_min_row, COLUMN()) &amp; ":" &amp; ADDRESS(income_max_row, COLUMN())))</f>
        <v>0</v>
      </c>
      <c r="CG20" s="21" cm="1">
        <f t="array" aca="1" ref="CG20" ca="1">SUM(INDIRECT(ADDRESS(income_min_row, COLUMN()) &amp; ":" &amp; ADDRESS(income_max_row, COLUMN())))</f>
        <v>0</v>
      </c>
      <c r="CH20" s="21" cm="1">
        <f t="array" aca="1" ref="CH20" ca="1">SUM(INDIRECT(ADDRESS(income_min_row, COLUMN()) &amp; ":" &amp; ADDRESS(income_max_row, COLUMN())))</f>
        <v>0</v>
      </c>
      <c r="CI20" s="21" cm="1">
        <f t="array" aca="1" ref="CI20" ca="1">SUM(INDIRECT(ADDRESS(income_min_row, COLUMN()) &amp; ":" &amp; ADDRESS(income_max_row, COLUMN())))</f>
        <v>0</v>
      </c>
      <c r="CK20" s="21" cm="1">
        <f t="array" aca="1" ref="CK20" ca="1">SUM(INDIRECT(ADDRESS(income_min_row, COLUMN()) &amp; ":" &amp; ADDRESS(income_max_row, COLUMN())))</f>
        <v>0</v>
      </c>
      <c r="CL20" s="21" cm="1">
        <f t="array" aca="1" ref="CL20" ca="1">SUM(INDIRECT(ADDRESS(income_min_row, COLUMN()) &amp; ":" &amp; ADDRESS(income_max_row, COLUMN())))</f>
        <v>0</v>
      </c>
      <c r="CM20" s="21" cm="1">
        <f t="array" aca="1" ref="CM20" ca="1">SUM(INDIRECT(ADDRESS(income_min_row, COLUMN()) &amp; ":" &amp; ADDRESS(income_max_row, COLUMN())))</f>
        <v>0</v>
      </c>
      <c r="CN20" s="21" cm="1">
        <f t="array" aca="1" ref="CN20" ca="1">SUM(INDIRECT(ADDRESS(income_min_row, COLUMN()) &amp; ":" &amp; ADDRESS(income_max_row, COLUMN())))</f>
        <v>0</v>
      </c>
      <c r="CO20" s="21" cm="1">
        <f t="array" aca="1" ref="CO20" ca="1">SUM(INDIRECT(ADDRESS(income_min_row, COLUMN()) &amp; ":" &amp; ADDRESS(income_max_row, COLUMN())))</f>
        <v>0</v>
      </c>
      <c r="CP20" s="21" cm="1">
        <f t="array" aca="1" ref="CP20" ca="1">SUM(INDIRECT(ADDRESS(income_min_row, COLUMN()) &amp; ":" &amp; ADDRESS(income_max_row, COLUMN())))</f>
        <v>0</v>
      </c>
      <c r="CQ20" s="21" cm="1">
        <f t="array" aca="1" ref="CQ20" ca="1">SUM(INDIRECT(ADDRESS(income_min_row, COLUMN()) &amp; ":" &amp; ADDRESS(income_max_row, COLUMN())))</f>
        <v>0</v>
      </c>
      <c r="CR20" s="21" cm="1">
        <f t="array" aca="1" ref="CR20" ca="1">SUM(INDIRECT(ADDRESS(income_min_row, COLUMN()) &amp; ":" &amp; ADDRESS(income_max_row, COLUMN())))</f>
        <v>0</v>
      </c>
      <c r="CS20" s="21" cm="1">
        <f t="array" aca="1" ref="CS20" ca="1">SUM(INDIRECT(ADDRESS(income_min_row, COLUMN()) &amp; ":" &amp; ADDRESS(income_max_row, COLUMN())))</f>
        <v>0</v>
      </c>
      <c r="CT20" s="21" cm="1">
        <f t="array" aca="1" ref="CT20" ca="1">SUM(INDIRECT(ADDRESS(income_min_row, COLUMN()) &amp; ":" &amp; ADDRESS(income_max_row, COLUMN())))</f>
        <v>0</v>
      </c>
      <c r="CU20" s="21" cm="1">
        <f t="array" aca="1" ref="CU20" ca="1">SUM(INDIRECT(ADDRESS(income_min_row, COLUMN()) &amp; ":" &amp; ADDRESS(income_max_row, COLUMN())))</f>
        <v>0</v>
      </c>
      <c r="CV20" s="21" cm="1">
        <f t="array" aca="1" ref="CV20" ca="1">SUM(INDIRECT(ADDRESS(income_min_row, COLUMN()) &amp; ":" &amp; ADDRESS(income_max_row, COLUMN())))</f>
        <v>0</v>
      </c>
      <c r="CW20" s="21" cm="1">
        <f t="array" aca="1" ref="CW20" ca="1">SUM(INDIRECT(ADDRESS(income_min_row, COLUMN()) &amp; ":" &amp; ADDRESS(income_max_row, COLUMN())))</f>
        <v>0</v>
      </c>
      <c r="CY20" s="21" cm="1">
        <f t="array" aca="1" ref="CY20" ca="1">SUM(INDIRECT(ADDRESS(income_min_row, COLUMN()) &amp; ":" &amp; ADDRESS(income_max_row, COLUMN())))</f>
        <v>0</v>
      </c>
      <c r="CZ20" s="21" cm="1">
        <f t="array" aca="1" ref="CZ20" ca="1">SUM(INDIRECT(ADDRESS(income_min_row, COLUMN()) &amp; ":" &amp; ADDRESS(income_max_row, COLUMN())))</f>
        <v>0</v>
      </c>
      <c r="DA20" s="21" cm="1">
        <f t="array" aca="1" ref="DA20" ca="1">SUM(INDIRECT(ADDRESS(income_min_row, COLUMN()) &amp; ":" &amp; ADDRESS(income_max_row, COLUMN())))</f>
        <v>0</v>
      </c>
      <c r="DB20" s="21" cm="1">
        <f t="array" aca="1" ref="DB20" ca="1">SUM(INDIRECT(ADDRESS(income_min_row, COLUMN()) &amp; ":" &amp; ADDRESS(income_max_row, COLUMN())))</f>
        <v>0</v>
      </c>
      <c r="DC20" s="21" cm="1">
        <f t="array" aca="1" ref="DC20" ca="1">SUM(INDIRECT(ADDRESS(income_min_row, COLUMN()) &amp; ":" &amp; ADDRESS(income_max_row, COLUMN())))</f>
        <v>0</v>
      </c>
      <c r="DD20" s="21" cm="1">
        <f t="array" aca="1" ref="DD20" ca="1">SUM(INDIRECT(ADDRESS(income_min_row, COLUMN()) &amp; ":" &amp; ADDRESS(income_max_row, COLUMN())))</f>
        <v>0</v>
      </c>
      <c r="DE20" s="21" cm="1">
        <f t="array" aca="1" ref="DE20" ca="1">SUM(INDIRECT(ADDRESS(income_min_row, COLUMN()) &amp; ":" &amp; ADDRESS(income_max_row, COLUMN())))</f>
        <v>0</v>
      </c>
      <c r="DF20" s="21" cm="1">
        <f t="array" aca="1" ref="DF20" ca="1">SUM(INDIRECT(ADDRESS(income_min_row, COLUMN()) &amp; ":" &amp; ADDRESS(income_max_row, COLUMN())))</f>
        <v>0</v>
      </c>
      <c r="DG20" s="21" cm="1">
        <f t="array" aca="1" ref="DG20" ca="1">SUM(INDIRECT(ADDRESS(income_min_row, COLUMN()) &amp; ":" &amp; ADDRESS(income_max_row, COLUMN())))</f>
        <v>0</v>
      </c>
      <c r="DH20" s="21" cm="1">
        <f t="array" aca="1" ref="DH20" ca="1">SUM(INDIRECT(ADDRESS(income_min_row, COLUMN()) &amp; ":" &amp; ADDRESS(income_max_row, COLUMN())))</f>
        <v>0</v>
      </c>
      <c r="DI20" s="21" cm="1">
        <f t="array" aca="1" ref="DI20" ca="1">SUM(INDIRECT(ADDRESS(income_min_row, COLUMN()) &amp; ":" &amp; ADDRESS(income_max_row, COLUMN())))</f>
        <v>0</v>
      </c>
      <c r="DJ20" s="21" cm="1">
        <f t="array" aca="1" ref="DJ20" ca="1">SUM(INDIRECT(ADDRESS(income_min_row, COLUMN()) &amp; ":" &amp; ADDRESS(income_max_row, COLUMN())))</f>
        <v>0</v>
      </c>
      <c r="DK20" s="21" cm="1">
        <f t="array" aca="1" ref="DK20" ca="1">SUM(INDIRECT(ADDRESS(income_min_row, COLUMN()) &amp; ":" &amp; ADDRESS(income_max_row, COLUMN())))</f>
        <v>0</v>
      </c>
      <c r="DM20" s="21" cm="1">
        <f t="array" aca="1" ref="DM20" ca="1">SUM(INDIRECT(ADDRESS(income_min_row, COLUMN()) &amp; ":" &amp; ADDRESS(income_max_row, COLUMN())))</f>
        <v>0</v>
      </c>
      <c r="DN20" s="21" cm="1">
        <f t="array" aca="1" ref="DN20" ca="1">SUM(INDIRECT(ADDRESS(income_min_row, COLUMN()) &amp; ":" &amp; ADDRESS(income_max_row, COLUMN())))</f>
        <v>0</v>
      </c>
      <c r="DO20" s="21" cm="1">
        <f t="array" aca="1" ref="DO20" ca="1">SUM(INDIRECT(ADDRESS(income_min_row, COLUMN()) &amp; ":" &amp; ADDRESS(income_max_row, COLUMN())))</f>
        <v>0</v>
      </c>
      <c r="DP20" s="21" cm="1">
        <f t="array" aca="1" ref="DP20" ca="1">SUM(INDIRECT(ADDRESS(income_min_row, COLUMN()) &amp; ":" &amp; ADDRESS(income_max_row, COLUMN())))</f>
        <v>0</v>
      </c>
      <c r="DQ20" s="21" cm="1">
        <f t="array" aca="1" ref="DQ20" ca="1">SUM(INDIRECT(ADDRESS(income_min_row, COLUMN()) &amp; ":" &amp; ADDRESS(income_max_row, COLUMN())))</f>
        <v>0</v>
      </c>
      <c r="DR20" s="21" cm="1">
        <f t="array" aca="1" ref="DR20" ca="1">SUM(INDIRECT(ADDRESS(income_min_row, COLUMN()) &amp; ":" &amp; ADDRESS(income_max_row, COLUMN())))</f>
        <v>0</v>
      </c>
      <c r="DS20" s="21" cm="1">
        <f t="array" aca="1" ref="DS20" ca="1">SUM(INDIRECT(ADDRESS(income_min_row, COLUMN()) &amp; ":" &amp; ADDRESS(income_max_row, COLUMN())))</f>
        <v>0</v>
      </c>
      <c r="DT20" s="21" cm="1">
        <f t="array" aca="1" ref="DT20" ca="1">SUM(INDIRECT(ADDRESS(income_min_row, COLUMN()) &amp; ":" &amp; ADDRESS(income_max_row, COLUMN())))</f>
        <v>0</v>
      </c>
      <c r="DU20" s="21" cm="1">
        <f t="array" aca="1" ref="DU20" ca="1">SUM(INDIRECT(ADDRESS(income_min_row, COLUMN()) &amp; ":" &amp; ADDRESS(income_max_row, COLUMN())))</f>
        <v>0</v>
      </c>
      <c r="DV20" s="21" cm="1">
        <f t="array" aca="1" ref="DV20" ca="1">SUM(INDIRECT(ADDRESS(income_min_row, COLUMN()) &amp; ":" &amp; ADDRESS(income_max_row, COLUMN())))</f>
        <v>0</v>
      </c>
      <c r="DW20" s="21" cm="1">
        <f t="array" aca="1" ref="DW20" ca="1">SUM(INDIRECT(ADDRESS(income_min_row, COLUMN()) &amp; ":" &amp; ADDRESS(income_max_row, COLUMN())))</f>
        <v>0</v>
      </c>
      <c r="DX20" s="21" cm="1">
        <f t="array" aca="1" ref="DX20" ca="1">SUM(INDIRECT(ADDRESS(income_min_row, COLUMN()) &amp; ":" &amp; ADDRESS(income_max_row, COLUMN())))</f>
        <v>0</v>
      </c>
      <c r="DY20" s="21" cm="1">
        <f t="array" aca="1" ref="DY20" ca="1">SUM(INDIRECT(ADDRESS(income_min_row, COLUMN()) &amp; ":" &amp; ADDRESS(income_max_row, COLUMN())))</f>
        <v>0</v>
      </c>
      <c r="EA20" s="21" cm="1">
        <f t="array" aca="1" ref="EA20" ca="1">SUM(INDIRECT(ADDRESS(income_min_row, COLUMN()) &amp; ":" &amp; ADDRESS(income_max_row, COLUMN())))</f>
        <v>0</v>
      </c>
      <c r="EB20" s="21" cm="1">
        <f t="array" aca="1" ref="EB20" ca="1">SUM(INDIRECT(ADDRESS(income_min_row, COLUMN()) &amp; ":" &amp; ADDRESS(income_max_row, COLUMN())))</f>
        <v>0</v>
      </c>
      <c r="EC20" s="21" cm="1">
        <f t="array" aca="1" ref="EC20" ca="1">SUM(INDIRECT(ADDRESS(income_min_row, COLUMN()) &amp; ":" &amp; ADDRESS(income_max_row, COLUMN())))</f>
        <v>0</v>
      </c>
      <c r="ED20" s="21" cm="1">
        <f t="array" aca="1" ref="ED20" ca="1">SUM(INDIRECT(ADDRESS(income_min_row, COLUMN()) &amp; ":" &amp; ADDRESS(income_max_row, COLUMN())))</f>
        <v>0</v>
      </c>
      <c r="EE20" s="21" cm="1">
        <f t="array" aca="1" ref="EE20" ca="1">SUM(INDIRECT(ADDRESS(income_min_row, COLUMN()) &amp; ":" &amp; ADDRESS(income_max_row, COLUMN())))</f>
        <v>0</v>
      </c>
      <c r="EF20" s="21" cm="1">
        <f t="array" aca="1" ref="EF20" ca="1">SUM(INDIRECT(ADDRESS(income_min_row, COLUMN()) &amp; ":" &amp; ADDRESS(income_max_row, COLUMN())))</f>
        <v>0</v>
      </c>
      <c r="EG20" s="21" cm="1">
        <f t="array" aca="1" ref="EG20" ca="1">SUM(INDIRECT(ADDRESS(income_min_row, COLUMN()) &amp; ":" &amp; ADDRESS(income_max_row, COLUMN())))</f>
        <v>0</v>
      </c>
      <c r="EH20" s="21" cm="1">
        <f t="array" aca="1" ref="EH20" ca="1">SUM(INDIRECT(ADDRESS(income_min_row, COLUMN()) &amp; ":" &amp; ADDRESS(income_max_row, COLUMN())))</f>
        <v>0</v>
      </c>
      <c r="EI20" s="21" cm="1">
        <f t="array" aca="1" ref="EI20" ca="1">SUM(INDIRECT(ADDRESS(income_min_row, COLUMN()) &amp; ":" &amp; ADDRESS(income_max_row, COLUMN())))</f>
        <v>0</v>
      </c>
      <c r="EJ20" s="21" cm="1">
        <f t="array" aca="1" ref="EJ20" ca="1">SUM(INDIRECT(ADDRESS(income_min_row, COLUMN()) &amp; ":" &amp; ADDRESS(income_max_row, COLUMN())))</f>
        <v>0</v>
      </c>
      <c r="EK20" s="21" cm="1">
        <f t="array" aca="1" ref="EK20" ca="1">SUM(INDIRECT(ADDRESS(income_min_row, COLUMN()) &amp; ":" &amp; ADDRESS(income_max_row, COLUMN())))</f>
        <v>0</v>
      </c>
      <c r="EL20" s="21" cm="1">
        <f t="array" aca="1" ref="EL20" ca="1">SUM(INDIRECT(ADDRESS(income_min_row, COLUMN()) &amp; ":" &amp; ADDRESS(income_max_row, COLUMN())))</f>
        <v>0</v>
      </c>
      <c r="EM20" s="21" cm="1">
        <f t="array" aca="1" ref="EM20" ca="1">SUM(INDIRECT(ADDRESS(income_min_row, COLUMN()) &amp; ":" &amp; ADDRESS(income_max_row, COLUMN())))</f>
        <v>0</v>
      </c>
    </row>
    <row r="22" spans="3:143" x14ac:dyDescent="0.2">
      <c r="C22" s="15" t="s">
        <v>47</v>
      </c>
      <c r="E22" s="23">
        <f>DATE(E$5,1,1)</f>
        <v>45292</v>
      </c>
      <c r="F22" s="23">
        <f>DATE(E$5,2,1)</f>
        <v>45323</v>
      </c>
      <c r="G22" s="23">
        <f>DATE(E$5,3,1)</f>
        <v>45352</v>
      </c>
      <c r="H22" s="23">
        <f>DATE(E$5,4,1)</f>
        <v>45383</v>
      </c>
      <c r="I22" s="23">
        <f>DATE(E$5,5,1)</f>
        <v>45413</v>
      </c>
      <c r="J22" s="23">
        <f>DATE(E$5,6,1)</f>
        <v>45444</v>
      </c>
      <c r="K22" s="23">
        <f>DATE(E$5,7,1)</f>
        <v>45474</v>
      </c>
      <c r="L22" s="23">
        <f>DATE(E$5,8,1)</f>
        <v>45505</v>
      </c>
      <c r="M22" s="23">
        <f>DATE(E$5,9,1)</f>
        <v>45536</v>
      </c>
      <c r="N22" s="23">
        <f>DATE(E$5,10,1)</f>
        <v>45566</v>
      </c>
      <c r="O22" s="23">
        <f>DATE(E$5,11,1)</f>
        <v>45597</v>
      </c>
      <c r="P22" s="23">
        <f>DATE(E$5,12,1)</f>
        <v>45627</v>
      </c>
      <c r="Q22" s="24">
        <f>E$5</f>
        <v>2024</v>
      </c>
      <c r="S22" s="23">
        <f>DATE(S$5,1,1)</f>
        <v>45658</v>
      </c>
      <c r="T22" s="23">
        <f>DATE(S$5,2,1)</f>
        <v>45689</v>
      </c>
      <c r="U22" s="23">
        <f>DATE(S$5,3,1)</f>
        <v>45717</v>
      </c>
      <c r="V22" s="23">
        <f>DATE(S$5,4,1)</f>
        <v>45748</v>
      </c>
      <c r="W22" s="23">
        <f>DATE(S$5,5,1)</f>
        <v>45778</v>
      </c>
      <c r="X22" s="23">
        <f>DATE(S$5,6,1)</f>
        <v>45809</v>
      </c>
      <c r="Y22" s="23">
        <f>DATE(S$5,7,1)</f>
        <v>45839</v>
      </c>
      <c r="Z22" s="23">
        <f>DATE(S$5,8,1)</f>
        <v>45870</v>
      </c>
      <c r="AA22" s="23">
        <f>DATE(S$5,9,1)</f>
        <v>45901</v>
      </c>
      <c r="AB22" s="23">
        <f>DATE(S$5,10,1)</f>
        <v>45931</v>
      </c>
      <c r="AC22" s="23">
        <f>DATE(S$5,11,1)</f>
        <v>45962</v>
      </c>
      <c r="AD22" s="23">
        <f>DATE(S$5,12,1)</f>
        <v>45992</v>
      </c>
      <c r="AE22" s="24">
        <f>S$5</f>
        <v>2025</v>
      </c>
      <c r="AG22" s="23">
        <f t="shared" ref="AG22" si="236">DATE(AG$5,1,1)</f>
        <v>46023</v>
      </c>
      <c r="AH22" s="23">
        <f t="shared" ref="AH22" si="237">DATE(AG$5,2,1)</f>
        <v>46054</v>
      </c>
      <c r="AI22" s="23">
        <f t="shared" ref="AI22" si="238">DATE(AG$5,3,1)</f>
        <v>46082</v>
      </c>
      <c r="AJ22" s="23">
        <f t="shared" ref="AJ22" si="239">DATE(AG$5,4,1)</f>
        <v>46113</v>
      </c>
      <c r="AK22" s="23">
        <f t="shared" ref="AK22" si="240">DATE(AG$5,5,1)</f>
        <v>46143</v>
      </c>
      <c r="AL22" s="23">
        <f t="shared" ref="AL22" si="241">DATE(AG$5,6,1)</f>
        <v>46174</v>
      </c>
      <c r="AM22" s="23">
        <f t="shared" ref="AM22" si="242">DATE(AG$5,7,1)</f>
        <v>46204</v>
      </c>
      <c r="AN22" s="23">
        <f t="shared" ref="AN22" si="243">DATE(AG$5,8,1)</f>
        <v>46235</v>
      </c>
      <c r="AO22" s="23">
        <f t="shared" ref="AO22" si="244">DATE(AG$5,9,1)</f>
        <v>46266</v>
      </c>
      <c r="AP22" s="23">
        <f t="shared" ref="AP22" si="245">DATE(AG$5,10,1)</f>
        <v>46296</v>
      </c>
      <c r="AQ22" s="23">
        <f t="shared" ref="AQ22" si="246">DATE(AG$5,11,1)</f>
        <v>46327</v>
      </c>
      <c r="AR22" s="23">
        <f t="shared" ref="AR22" si="247">DATE(AG$5,12,1)</f>
        <v>46357</v>
      </c>
      <c r="AS22" s="24">
        <f t="shared" ref="AS22" si="248">AG$5</f>
        <v>2026</v>
      </c>
      <c r="AU22" s="23">
        <f t="shared" ref="AU22" si="249">DATE(AU$5,1,1)</f>
        <v>46388</v>
      </c>
      <c r="AV22" s="23">
        <f t="shared" ref="AV22" si="250">DATE(AU$5,2,1)</f>
        <v>46419</v>
      </c>
      <c r="AW22" s="23">
        <f t="shared" ref="AW22" si="251">DATE(AU$5,3,1)</f>
        <v>46447</v>
      </c>
      <c r="AX22" s="23">
        <f t="shared" ref="AX22" si="252">DATE(AU$5,4,1)</f>
        <v>46478</v>
      </c>
      <c r="AY22" s="23">
        <f t="shared" ref="AY22" si="253">DATE(AU$5,5,1)</f>
        <v>46508</v>
      </c>
      <c r="AZ22" s="23">
        <f t="shared" ref="AZ22" si="254">DATE(AU$5,6,1)</f>
        <v>46539</v>
      </c>
      <c r="BA22" s="23">
        <f t="shared" ref="BA22" si="255">DATE(AU$5,7,1)</f>
        <v>46569</v>
      </c>
      <c r="BB22" s="23">
        <f t="shared" ref="BB22" si="256">DATE(AU$5,8,1)</f>
        <v>46600</v>
      </c>
      <c r="BC22" s="23">
        <f t="shared" ref="BC22" si="257">DATE(AU$5,9,1)</f>
        <v>46631</v>
      </c>
      <c r="BD22" s="23">
        <f t="shared" ref="BD22" si="258">DATE(AU$5,10,1)</f>
        <v>46661</v>
      </c>
      <c r="BE22" s="23">
        <f t="shared" ref="BE22" si="259">DATE(AU$5,11,1)</f>
        <v>46692</v>
      </c>
      <c r="BF22" s="23">
        <f t="shared" ref="BF22" si="260">DATE(AU$5,12,1)</f>
        <v>46722</v>
      </c>
      <c r="BG22" s="24">
        <f t="shared" ref="BG22" si="261">AU$5</f>
        <v>2027</v>
      </c>
      <c r="BI22" s="23">
        <f t="shared" ref="BI22" si="262">DATE(BI$5,1,1)</f>
        <v>46753</v>
      </c>
      <c r="BJ22" s="23">
        <f t="shared" ref="BJ22" si="263">DATE(BI$5,2,1)</f>
        <v>46784</v>
      </c>
      <c r="BK22" s="23">
        <f t="shared" ref="BK22" si="264">DATE(BI$5,3,1)</f>
        <v>46813</v>
      </c>
      <c r="BL22" s="23">
        <f t="shared" ref="BL22" si="265">DATE(BI$5,4,1)</f>
        <v>46844</v>
      </c>
      <c r="BM22" s="23">
        <f t="shared" ref="BM22" si="266">DATE(BI$5,5,1)</f>
        <v>46874</v>
      </c>
      <c r="BN22" s="23">
        <f t="shared" ref="BN22" si="267">DATE(BI$5,6,1)</f>
        <v>46905</v>
      </c>
      <c r="BO22" s="23">
        <f t="shared" ref="BO22" si="268">DATE(BI$5,7,1)</f>
        <v>46935</v>
      </c>
      <c r="BP22" s="23">
        <f t="shared" ref="BP22" si="269">DATE(BI$5,8,1)</f>
        <v>46966</v>
      </c>
      <c r="BQ22" s="23">
        <f t="shared" ref="BQ22" si="270">DATE(BI$5,9,1)</f>
        <v>46997</v>
      </c>
      <c r="BR22" s="23">
        <f t="shared" ref="BR22" si="271">DATE(BI$5,10,1)</f>
        <v>47027</v>
      </c>
      <c r="BS22" s="23">
        <f t="shared" ref="BS22" si="272">DATE(BI$5,11,1)</f>
        <v>47058</v>
      </c>
      <c r="BT22" s="23">
        <f t="shared" ref="BT22" si="273">DATE(BI$5,12,1)</f>
        <v>47088</v>
      </c>
      <c r="BU22" s="24">
        <f t="shared" ref="BU22" si="274">BI$5</f>
        <v>2028</v>
      </c>
      <c r="BW22" s="23">
        <f t="shared" ref="BW22" si="275">DATE(BW$5,1,1)</f>
        <v>47119</v>
      </c>
      <c r="BX22" s="23">
        <f t="shared" ref="BX22" si="276">DATE(BW$5,2,1)</f>
        <v>47150</v>
      </c>
      <c r="BY22" s="23">
        <f t="shared" ref="BY22" si="277">DATE(BW$5,3,1)</f>
        <v>47178</v>
      </c>
      <c r="BZ22" s="23">
        <f t="shared" ref="BZ22" si="278">DATE(BW$5,4,1)</f>
        <v>47209</v>
      </c>
      <c r="CA22" s="23">
        <f t="shared" ref="CA22" si="279">DATE(BW$5,5,1)</f>
        <v>47239</v>
      </c>
      <c r="CB22" s="23">
        <f t="shared" ref="CB22" si="280">DATE(BW$5,6,1)</f>
        <v>47270</v>
      </c>
      <c r="CC22" s="23">
        <f t="shared" ref="CC22" si="281">DATE(BW$5,7,1)</f>
        <v>47300</v>
      </c>
      <c r="CD22" s="23">
        <f t="shared" ref="CD22" si="282">DATE(BW$5,8,1)</f>
        <v>47331</v>
      </c>
      <c r="CE22" s="23">
        <f t="shared" ref="CE22" si="283">DATE(BW$5,9,1)</f>
        <v>47362</v>
      </c>
      <c r="CF22" s="23">
        <f t="shared" ref="CF22" si="284">DATE(BW$5,10,1)</f>
        <v>47392</v>
      </c>
      <c r="CG22" s="23">
        <f t="shared" ref="CG22" si="285">DATE(BW$5,11,1)</f>
        <v>47423</v>
      </c>
      <c r="CH22" s="23">
        <f t="shared" ref="CH22" si="286">DATE(BW$5,12,1)</f>
        <v>47453</v>
      </c>
      <c r="CI22" s="24">
        <f t="shared" ref="CI22" si="287">BW$5</f>
        <v>2029</v>
      </c>
      <c r="CK22" s="23">
        <f t="shared" ref="CK22" si="288">DATE(CK$5,1,1)</f>
        <v>47484</v>
      </c>
      <c r="CL22" s="23">
        <f t="shared" ref="CL22" si="289">DATE(CK$5,2,1)</f>
        <v>47515</v>
      </c>
      <c r="CM22" s="23">
        <f t="shared" ref="CM22" si="290">DATE(CK$5,3,1)</f>
        <v>47543</v>
      </c>
      <c r="CN22" s="23">
        <f t="shared" ref="CN22" si="291">DATE(CK$5,4,1)</f>
        <v>47574</v>
      </c>
      <c r="CO22" s="23">
        <f t="shared" ref="CO22" si="292">DATE(CK$5,5,1)</f>
        <v>47604</v>
      </c>
      <c r="CP22" s="23">
        <f t="shared" ref="CP22" si="293">DATE(CK$5,6,1)</f>
        <v>47635</v>
      </c>
      <c r="CQ22" s="23">
        <f t="shared" ref="CQ22" si="294">DATE(CK$5,7,1)</f>
        <v>47665</v>
      </c>
      <c r="CR22" s="23">
        <f t="shared" ref="CR22" si="295">DATE(CK$5,8,1)</f>
        <v>47696</v>
      </c>
      <c r="CS22" s="23">
        <f t="shared" ref="CS22" si="296">DATE(CK$5,9,1)</f>
        <v>47727</v>
      </c>
      <c r="CT22" s="23">
        <f t="shared" ref="CT22" si="297">DATE(CK$5,10,1)</f>
        <v>47757</v>
      </c>
      <c r="CU22" s="23">
        <f t="shared" ref="CU22" si="298">DATE(CK$5,11,1)</f>
        <v>47788</v>
      </c>
      <c r="CV22" s="23">
        <f t="shared" ref="CV22" si="299">DATE(CK$5,12,1)</f>
        <v>47818</v>
      </c>
      <c r="CW22" s="24">
        <f t="shared" ref="CW22" si="300">CK$5</f>
        <v>2030</v>
      </c>
      <c r="CY22" s="23">
        <f t="shared" ref="CY22" si="301">DATE(CY$5,1,1)</f>
        <v>47849</v>
      </c>
      <c r="CZ22" s="23">
        <f t="shared" ref="CZ22" si="302">DATE(CY$5,2,1)</f>
        <v>47880</v>
      </c>
      <c r="DA22" s="23">
        <f t="shared" ref="DA22" si="303">DATE(CY$5,3,1)</f>
        <v>47908</v>
      </c>
      <c r="DB22" s="23">
        <f t="shared" ref="DB22" si="304">DATE(CY$5,4,1)</f>
        <v>47939</v>
      </c>
      <c r="DC22" s="23">
        <f t="shared" ref="DC22" si="305">DATE(CY$5,5,1)</f>
        <v>47969</v>
      </c>
      <c r="DD22" s="23">
        <f t="shared" ref="DD22" si="306">DATE(CY$5,6,1)</f>
        <v>48000</v>
      </c>
      <c r="DE22" s="23">
        <f t="shared" ref="DE22" si="307">DATE(CY$5,7,1)</f>
        <v>48030</v>
      </c>
      <c r="DF22" s="23">
        <f t="shared" ref="DF22" si="308">DATE(CY$5,8,1)</f>
        <v>48061</v>
      </c>
      <c r="DG22" s="23">
        <f t="shared" ref="DG22" si="309">DATE(CY$5,9,1)</f>
        <v>48092</v>
      </c>
      <c r="DH22" s="23">
        <f t="shared" ref="DH22" si="310">DATE(CY$5,10,1)</f>
        <v>48122</v>
      </c>
      <c r="DI22" s="23">
        <f t="shared" ref="DI22" si="311">DATE(CY$5,11,1)</f>
        <v>48153</v>
      </c>
      <c r="DJ22" s="23">
        <f t="shared" ref="DJ22" si="312">DATE(CY$5,12,1)</f>
        <v>48183</v>
      </c>
      <c r="DK22" s="24">
        <f t="shared" ref="DK22" si="313">CY$5</f>
        <v>2031</v>
      </c>
      <c r="DM22" s="23">
        <f t="shared" ref="DM22" si="314">DATE(DM$5,1,1)</f>
        <v>48214</v>
      </c>
      <c r="DN22" s="23">
        <f t="shared" ref="DN22" si="315">DATE(DM$5,2,1)</f>
        <v>48245</v>
      </c>
      <c r="DO22" s="23">
        <f t="shared" ref="DO22" si="316">DATE(DM$5,3,1)</f>
        <v>48274</v>
      </c>
      <c r="DP22" s="23">
        <f t="shared" ref="DP22" si="317">DATE(DM$5,4,1)</f>
        <v>48305</v>
      </c>
      <c r="DQ22" s="23">
        <f t="shared" ref="DQ22" si="318">DATE(DM$5,5,1)</f>
        <v>48335</v>
      </c>
      <c r="DR22" s="23">
        <f t="shared" ref="DR22" si="319">DATE(DM$5,6,1)</f>
        <v>48366</v>
      </c>
      <c r="DS22" s="23">
        <f t="shared" ref="DS22" si="320">DATE(DM$5,7,1)</f>
        <v>48396</v>
      </c>
      <c r="DT22" s="23">
        <f t="shared" ref="DT22" si="321">DATE(DM$5,8,1)</f>
        <v>48427</v>
      </c>
      <c r="DU22" s="23">
        <f t="shared" ref="DU22" si="322">DATE(DM$5,9,1)</f>
        <v>48458</v>
      </c>
      <c r="DV22" s="23">
        <f t="shared" ref="DV22" si="323">DATE(DM$5,10,1)</f>
        <v>48488</v>
      </c>
      <c r="DW22" s="23">
        <f t="shared" ref="DW22" si="324">DATE(DM$5,11,1)</f>
        <v>48519</v>
      </c>
      <c r="DX22" s="23">
        <f t="shared" ref="DX22" si="325">DATE(DM$5,12,1)</f>
        <v>48549</v>
      </c>
      <c r="DY22" s="24">
        <f t="shared" ref="DY22" si="326">DM$5</f>
        <v>2032</v>
      </c>
      <c r="EA22" s="23">
        <f t="shared" ref="EA22" si="327">DATE(EA$5,1,1)</f>
        <v>48580</v>
      </c>
      <c r="EB22" s="23">
        <f t="shared" ref="EB22" si="328">DATE(EA$5,2,1)</f>
        <v>48611</v>
      </c>
      <c r="EC22" s="23">
        <f t="shared" ref="EC22" si="329">DATE(EA$5,3,1)</f>
        <v>48639</v>
      </c>
      <c r="ED22" s="23">
        <f t="shared" ref="ED22" si="330">DATE(EA$5,4,1)</f>
        <v>48670</v>
      </c>
      <c r="EE22" s="23">
        <f t="shared" ref="EE22" si="331">DATE(EA$5,5,1)</f>
        <v>48700</v>
      </c>
      <c r="EF22" s="23">
        <f t="shared" ref="EF22" si="332">DATE(EA$5,6,1)</f>
        <v>48731</v>
      </c>
      <c r="EG22" s="23">
        <f t="shared" ref="EG22" si="333">DATE(EA$5,7,1)</f>
        <v>48761</v>
      </c>
      <c r="EH22" s="23">
        <f t="shared" ref="EH22" si="334">DATE(EA$5,8,1)</f>
        <v>48792</v>
      </c>
      <c r="EI22" s="23">
        <f t="shared" ref="EI22" si="335">DATE(EA$5,9,1)</f>
        <v>48823</v>
      </c>
      <c r="EJ22" s="23">
        <f t="shared" ref="EJ22" si="336">DATE(EA$5,10,1)</f>
        <v>48853</v>
      </c>
      <c r="EK22" s="23">
        <f t="shared" ref="EK22" si="337">DATE(EA$5,11,1)</f>
        <v>48884</v>
      </c>
      <c r="EL22" s="23">
        <f t="shared" ref="EL22" si="338">DATE(EA$5,12,1)</f>
        <v>48914</v>
      </c>
      <c r="EM22" s="24">
        <f t="shared" ref="EM22" si="339">EA$5</f>
        <v>2033</v>
      </c>
    </row>
    <row r="23" spans="3:143" x14ac:dyDescent="0.2">
      <c r="C23" s="19" t="s">
        <v>48</v>
      </c>
      <c r="E23" s="20"/>
      <c r="F23" s="20"/>
      <c r="G23" s="20"/>
      <c r="H23" s="20"/>
      <c r="I23" s="20"/>
      <c r="J23" s="20">
        <v>400</v>
      </c>
      <c r="K23" s="20">
        <v>400</v>
      </c>
      <c r="L23" s="20">
        <v>400</v>
      </c>
      <c r="M23" s="20">
        <v>400</v>
      </c>
      <c r="N23" s="20">
        <v>400</v>
      </c>
      <c r="O23" s="20">
        <v>400</v>
      </c>
      <c r="P23" s="20">
        <v>400</v>
      </c>
      <c r="Q23" s="22">
        <f t="shared" ref="Q23:Q32" si="340">SUM(E23:P23)</f>
        <v>2800</v>
      </c>
      <c r="S23" s="20">
        <v>700</v>
      </c>
      <c r="T23" s="20">
        <v>700</v>
      </c>
      <c r="U23" s="20">
        <v>700</v>
      </c>
      <c r="V23" s="20">
        <v>700</v>
      </c>
      <c r="W23" s="20">
        <v>700</v>
      </c>
      <c r="X23" s="20">
        <v>700</v>
      </c>
      <c r="Y23" s="20">
        <v>700</v>
      </c>
      <c r="Z23" s="20">
        <v>700</v>
      </c>
      <c r="AA23" s="20">
        <v>700</v>
      </c>
      <c r="AB23" s="20">
        <v>700</v>
      </c>
      <c r="AC23" s="20">
        <v>700</v>
      </c>
      <c r="AD23" s="20">
        <v>700</v>
      </c>
      <c r="AE23" s="22">
        <f t="shared" ref="AE23:AE33" si="341">SUM(S23:AD23)</f>
        <v>8400</v>
      </c>
      <c r="AG23" s="20">
        <v>480</v>
      </c>
      <c r="AH23" s="20"/>
      <c r="AI23" s="20"/>
      <c r="AJ23" s="20"/>
      <c r="AK23" s="20"/>
      <c r="AL23" s="20"/>
      <c r="AM23" s="20"/>
      <c r="AN23" s="20"/>
      <c r="AO23" s="20"/>
      <c r="AP23" s="20"/>
      <c r="AQ23" s="20"/>
      <c r="AR23" s="20"/>
      <c r="AS23" s="22"/>
      <c r="AU23" s="20"/>
      <c r="AV23" s="20"/>
      <c r="AW23" s="20"/>
      <c r="AX23" s="20"/>
      <c r="AY23" s="20"/>
      <c r="AZ23" s="20"/>
      <c r="BA23" s="20"/>
      <c r="BB23" s="20"/>
      <c r="BC23" s="20"/>
      <c r="BD23" s="20"/>
      <c r="BE23" s="20"/>
      <c r="BF23" s="20"/>
      <c r="BG23" s="22">
        <f t="shared" ref="BG23:BG32" si="342">SUM(AU23:BF23)</f>
        <v>0</v>
      </c>
      <c r="BI23" s="20"/>
      <c r="BJ23" s="20"/>
      <c r="BK23" s="20"/>
      <c r="BL23" s="20"/>
      <c r="BM23" s="20"/>
      <c r="BN23" s="20"/>
      <c r="BO23" s="20"/>
      <c r="BP23" s="20"/>
      <c r="BQ23" s="20"/>
      <c r="BR23" s="20"/>
      <c r="BS23" s="20"/>
      <c r="BT23" s="20"/>
      <c r="BU23" s="22">
        <f t="shared" ref="BU23:BU32" si="343">SUM(BI23:BT23)</f>
        <v>0</v>
      </c>
      <c r="BW23" s="20"/>
      <c r="BX23" s="20"/>
      <c r="BY23" s="20"/>
      <c r="BZ23" s="20"/>
      <c r="CA23" s="20"/>
      <c r="CB23" s="20"/>
      <c r="CC23" s="20"/>
      <c r="CD23" s="20"/>
      <c r="CE23" s="20"/>
      <c r="CF23" s="20"/>
      <c r="CG23" s="20"/>
      <c r="CH23" s="20"/>
      <c r="CI23" s="22">
        <f t="shared" ref="CI23:CI32" si="344">SUM(BW23:CH23)</f>
        <v>0</v>
      </c>
      <c r="CK23" s="20"/>
      <c r="CL23" s="20"/>
      <c r="CM23" s="20"/>
      <c r="CN23" s="20"/>
      <c r="CO23" s="20"/>
      <c r="CP23" s="20"/>
      <c r="CQ23" s="20"/>
      <c r="CR23" s="20"/>
      <c r="CS23" s="20"/>
      <c r="CT23" s="20"/>
      <c r="CU23" s="20"/>
      <c r="CV23" s="20"/>
      <c r="CW23" s="22">
        <f t="shared" ref="CW23:CW32" si="345">SUM(CK23:CV23)</f>
        <v>0</v>
      </c>
      <c r="CY23" s="20"/>
      <c r="CZ23" s="20"/>
      <c r="DA23" s="20"/>
      <c r="DB23" s="20"/>
      <c r="DC23" s="20"/>
      <c r="DD23" s="20"/>
      <c r="DE23" s="20"/>
      <c r="DF23" s="20"/>
      <c r="DG23" s="20"/>
      <c r="DH23" s="20"/>
      <c r="DI23" s="20"/>
      <c r="DJ23" s="20"/>
      <c r="DK23" s="22">
        <f t="shared" ref="DK23:DK32" si="346">SUM(CY23:DJ23)</f>
        <v>0</v>
      </c>
      <c r="DM23" s="20"/>
      <c r="DN23" s="20"/>
      <c r="DO23" s="20"/>
      <c r="DP23" s="20"/>
      <c r="DQ23" s="20"/>
      <c r="DR23" s="20"/>
      <c r="DS23" s="20"/>
      <c r="DT23" s="20"/>
      <c r="DU23" s="20"/>
      <c r="DV23" s="20"/>
      <c r="DW23" s="20"/>
      <c r="DX23" s="20"/>
      <c r="DY23" s="22">
        <f t="shared" ref="DY23:DY32" si="347">SUM(DM23:DX23)</f>
        <v>0</v>
      </c>
      <c r="EA23" s="20"/>
      <c r="EB23" s="20"/>
      <c r="EC23" s="20"/>
      <c r="ED23" s="20"/>
      <c r="EE23" s="20"/>
      <c r="EF23" s="20"/>
      <c r="EG23" s="20"/>
      <c r="EH23" s="20"/>
      <c r="EI23" s="20"/>
      <c r="EJ23" s="20"/>
      <c r="EK23" s="20"/>
      <c r="EL23" s="20"/>
      <c r="EM23" s="22">
        <f t="shared" ref="EM23:EM32" si="348">SUM(EA23:EL23)</f>
        <v>0</v>
      </c>
    </row>
    <row r="24" spans="3:143" x14ac:dyDescent="0.2">
      <c r="C24" s="19" t="s">
        <v>49</v>
      </c>
      <c r="E24" s="20"/>
      <c r="F24" s="20"/>
      <c r="G24" s="20"/>
      <c r="H24" s="20"/>
      <c r="I24" s="20"/>
      <c r="J24" s="20">
        <v>600</v>
      </c>
      <c r="K24" s="20">
        <v>600</v>
      </c>
      <c r="L24" s="20">
        <v>600</v>
      </c>
      <c r="M24" s="20">
        <v>600</v>
      </c>
      <c r="N24" s="20">
        <v>600</v>
      </c>
      <c r="O24" s="20">
        <v>600</v>
      </c>
      <c r="P24" s="20">
        <v>600</v>
      </c>
      <c r="Q24" s="22">
        <f t="shared" si="340"/>
        <v>4200</v>
      </c>
      <c r="S24" s="20">
        <v>400</v>
      </c>
      <c r="T24" s="20">
        <v>400</v>
      </c>
      <c r="U24" s="20">
        <v>400</v>
      </c>
      <c r="V24" s="20">
        <v>400</v>
      </c>
      <c r="W24" s="20">
        <v>400</v>
      </c>
      <c r="X24" s="20">
        <v>400</v>
      </c>
      <c r="Y24" s="20">
        <v>400</v>
      </c>
      <c r="Z24" s="20">
        <v>400</v>
      </c>
      <c r="AA24" s="20">
        <v>400</v>
      </c>
      <c r="AB24" s="20">
        <v>400</v>
      </c>
      <c r="AC24" s="20">
        <v>400</v>
      </c>
      <c r="AD24" s="20">
        <v>400</v>
      </c>
      <c r="AE24" s="22">
        <f t="shared" si="341"/>
        <v>4800</v>
      </c>
      <c r="AG24" s="20">
        <v>580</v>
      </c>
      <c r="AH24" s="20"/>
      <c r="AI24" s="20"/>
      <c r="AJ24" s="20"/>
      <c r="AK24" s="20"/>
      <c r="AL24" s="20"/>
      <c r="AM24" s="20"/>
      <c r="AN24" s="20"/>
      <c r="AO24" s="20"/>
      <c r="AP24" s="20"/>
      <c r="AQ24" s="20"/>
      <c r="AR24" s="20"/>
      <c r="AS24" s="22"/>
      <c r="AU24" s="20"/>
      <c r="AV24" s="20"/>
      <c r="AW24" s="20"/>
      <c r="AX24" s="20"/>
      <c r="AY24" s="20"/>
      <c r="AZ24" s="20"/>
      <c r="BA24" s="20"/>
      <c r="BB24" s="20"/>
      <c r="BC24" s="20"/>
      <c r="BD24" s="20"/>
      <c r="BE24" s="20"/>
      <c r="BF24" s="20"/>
      <c r="BG24" s="22">
        <f t="shared" si="342"/>
        <v>0</v>
      </c>
      <c r="BI24" s="20"/>
      <c r="BJ24" s="20"/>
      <c r="BK24" s="20"/>
      <c r="BL24" s="20"/>
      <c r="BM24" s="20"/>
      <c r="BN24" s="20"/>
      <c r="BO24" s="20"/>
      <c r="BP24" s="20"/>
      <c r="BQ24" s="20"/>
      <c r="BR24" s="20"/>
      <c r="BS24" s="20"/>
      <c r="BT24" s="20"/>
      <c r="BU24" s="22">
        <f t="shared" si="343"/>
        <v>0</v>
      </c>
      <c r="BW24" s="20"/>
      <c r="BX24" s="20"/>
      <c r="BY24" s="20"/>
      <c r="BZ24" s="20"/>
      <c r="CA24" s="20"/>
      <c r="CB24" s="20"/>
      <c r="CC24" s="20"/>
      <c r="CD24" s="20"/>
      <c r="CE24" s="20"/>
      <c r="CF24" s="20"/>
      <c r="CG24" s="20"/>
      <c r="CH24" s="20"/>
      <c r="CI24" s="22">
        <f t="shared" si="344"/>
        <v>0</v>
      </c>
      <c r="CK24" s="20"/>
      <c r="CL24" s="20"/>
      <c r="CM24" s="20"/>
      <c r="CN24" s="20"/>
      <c r="CO24" s="20"/>
      <c r="CP24" s="20"/>
      <c r="CQ24" s="20"/>
      <c r="CR24" s="20"/>
      <c r="CS24" s="20"/>
      <c r="CT24" s="20"/>
      <c r="CU24" s="20"/>
      <c r="CV24" s="20"/>
      <c r="CW24" s="22">
        <f t="shared" si="345"/>
        <v>0</v>
      </c>
      <c r="CY24" s="20"/>
      <c r="CZ24" s="20"/>
      <c r="DA24" s="20"/>
      <c r="DB24" s="20"/>
      <c r="DC24" s="20"/>
      <c r="DD24" s="20"/>
      <c r="DE24" s="20"/>
      <c r="DF24" s="20"/>
      <c r="DG24" s="20"/>
      <c r="DH24" s="20"/>
      <c r="DI24" s="20"/>
      <c r="DJ24" s="20"/>
      <c r="DK24" s="22">
        <f t="shared" si="346"/>
        <v>0</v>
      </c>
      <c r="DM24" s="20"/>
      <c r="DN24" s="20"/>
      <c r="DO24" s="20"/>
      <c r="DP24" s="20"/>
      <c r="DQ24" s="20"/>
      <c r="DR24" s="20"/>
      <c r="DS24" s="20"/>
      <c r="DT24" s="20"/>
      <c r="DU24" s="20"/>
      <c r="DV24" s="20"/>
      <c r="DW24" s="20"/>
      <c r="DX24" s="20"/>
      <c r="DY24" s="22">
        <f t="shared" si="347"/>
        <v>0</v>
      </c>
      <c r="EA24" s="20"/>
      <c r="EB24" s="20"/>
      <c r="EC24" s="20"/>
      <c r="ED24" s="20"/>
      <c r="EE24" s="20"/>
      <c r="EF24" s="20"/>
      <c r="EG24" s="20"/>
      <c r="EH24" s="20"/>
      <c r="EI24" s="20"/>
      <c r="EJ24" s="20"/>
      <c r="EK24" s="20"/>
      <c r="EL24" s="20"/>
      <c r="EM24" s="22">
        <f t="shared" si="348"/>
        <v>0</v>
      </c>
    </row>
    <row r="25" spans="3:143" x14ac:dyDescent="0.2">
      <c r="C25" s="19" t="s">
        <v>235</v>
      </c>
      <c r="E25" s="20"/>
      <c r="F25" s="20"/>
      <c r="G25" s="20"/>
      <c r="H25" s="20"/>
      <c r="I25" s="20"/>
      <c r="J25" s="20"/>
      <c r="K25" s="20"/>
      <c r="L25" s="20"/>
      <c r="M25" s="20"/>
      <c r="N25" s="20"/>
      <c r="O25" s="20"/>
      <c r="P25" s="20"/>
      <c r="Q25" s="22">
        <f>SUM(E25:P25)</f>
        <v>0</v>
      </c>
      <c r="S25" s="20">
        <v>150</v>
      </c>
      <c r="T25" s="20">
        <v>250</v>
      </c>
      <c r="U25" s="20">
        <v>250</v>
      </c>
      <c r="V25" s="20">
        <v>250</v>
      </c>
      <c r="W25" s="20">
        <v>250</v>
      </c>
      <c r="X25" s="20">
        <v>250</v>
      </c>
      <c r="Y25" s="20">
        <v>250</v>
      </c>
      <c r="Z25" s="20">
        <v>250</v>
      </c>
      <c r="AA25" s="20">
        <v>250</v>
      </c>
      <c r="AB25" s="20">
        <v>250</v>
      </c>
      <c r="AC25" s="20">
        <v>250</v>
      </c>
      <c r="AD25" s="20">
        <v>250</v>
      </c>
      <c r="AE25" s="22">
        <f>SUM(S25:AD25)</f>
        <v>2900</v>
      </c>
      <c r="AG25" s="20">
        <v>170</v>
      </c>
      <c r="AH25" s="20"/>
      <c r="AI25" s="20"/>
      <c r="AJ25" s="20"/>
      <c r="AK25" s="20"/>
      <c r="AL25" s="20"/>
      <c r="AM25" s="20"/>
      <c r="AN25" s="20"/>
      <c r="AO25" s="20"/>
      <c r="AP25" s="20"/>
      <c r="AQ25" s="20"/>
      <c r="AR25" s="20"/>
      <c r="AS25" s="22">
        <f>SUM(AG25:AR25)</f>
        <v>170</v>
      </c>
      <c r="AU25" s="20"/>
      <c r="AV25" s="20"/>
      <c r="AW25" s="20"/>
      <c r="AX25" s="20"/>
      <c r="AY25" s="20"/>
      <c r="AZ25" s="20"/>
      <c r="BA25" s="20"/>
      <c r="BB25" s="20"/>
      <c r="BC25" s="20"/>
      <c r="BD25" s="20"/>
      <c r="BE25" s="20"/>
      <c r="BF25" s="20"/>
      <c r="BG25" s="22">
        <f>SUM(AU25:BF25)</f>
        <v>0</v>
      </c>
      <c r="BI25" s="20"/>
      <c r="BJ25" s="20"/>
      <c r="BK25" s="20"/>
      <c r="BL25" s="20"/>
      <c r="BM25" s="20"/>
      <c r="BN25" s="20"/>
      <c r="BO25" s="20"/>
      <c r="BP25" s="20"/>
      <c r="BQ25" s="20"/>
      <c r="BR25" s="20"/>
      <c r="BS25" s="20"/>
      <c r="BT25" s="20"/>
      <c r="BU25" s="22">
        <f>SUM(BI25:BT25)</f>
        <v>0</v>
      </c>
      <c r="BW25" s="20"/>
      <c r="BX25" s="20"/>
      <c r="BY25" s="20"/>
      <c r="BZ25" s="20"/>
      <c r="CA25" s="20"/>
      <c r="CB25" s="20"/>
      <c r="CC25" s="20"/>
      <c r="CD25" s="20"/>
      <c r="CE25" s="20"/>
      <c r="CF25" s="20"/>
      <c r="CG25" s="20"/>
      <c r="CH25" s="20"/>
      <c r="CI25" s="22">
        <f>SUM(BW25:CH25)</f>
        <v>0</v>
      </c>
      <c r="CK25" s="20"/>
      <c r="CL25" s="20"/>
      <c r="CM25" s="20"/>
      <c r="CN25" s="20"/>
      <c r="CO25" s="20"/>
      <c r="CP25" s="20"/>
      <c r="CQ25" s="20"/>
      <c r="CR25" s="20"/>
      <c r="CS25" s="20"/>
      <c r="CT25" s="20"/>
      <c r="CU25" s="20"/>
      <c r="CV25" s="20"/>
      <c r="CW25" s="22">
        <f>SUM(CK25:CV25)</f>
        <v>0</v>
      </c>
      <c r="CY25" s="20"/>
      <c r="CZ25" s="20"/>
      <c r="DA25" s="20"/>
      <c r="DB25" s="20"/>
      <c r="DC25" s="20"/>
      <c r="DD25" s="20"/>
      <c r="DE25" s="20"/>
      <c r="DF25" s="20"/>
      <c r="DG25" s="20"/>
      <c r="DH25" s="20"/>
      <c r="DI25" s="20"/>
      <c r="DJ25" s="20"/>
      <c r="DK25" s="22">
        <f>SUM(CY25:DJ25)</f>
        <v>0</v>
      </c>
      <c r="DM25" s="20"/>
      <c r="DN25" s="20"/>
      <c r="DO25" s="20"/>
      <c r="DP25" s="20"/>
      <c r="DQ25" s="20"/>
      <c r="DR25" s="20"/>
      <c r="DS25" s="20"/>
      <c r="DT25" s="20"/>
      <c r="DU25" s="20"/>
      <c r="DV25" s="20"/>
      <c r="DW25" s="20"/>
      <c r="DX25" s="20"/>
      <c r="DY25" s="22">
        <f>SUM(DM25:DX25)</f>
        <v>0</v>
      </c>
      <c r="EA25" s="20"/>
      <c r="EB25" s="20"/>
      <c r="EC25" s="20"/>
      <c r="ED25" s="20"/>
      <c r="EE25" s="20"/>
      <c r="EF25" s="20"/>
      <c r="EG25" s="20"/>
      <c r="EH25" s="20"/>
      <c r="EI25" s="20"/>
      <c r="EJ25" s="20"/>
      <c r="EK25" s="20"/>
      <c r="EL25" s="20"/>
      <c r="EM25" s="22">
        <f>SUM(EA25:EL25)</f>
        <v>0</v>
      </c>
    </row>
    <row r="26" spans="3:143" x14ac:dyDescent="0.2">
      <c r="C26" s="19" t="s">
        <v>50</v>
      </c>
      <c r="E26" s="20"/>
      <c r="F26" s="20"/>
      <c r="G26" s="20"/>
      <c r="H26" s="20"/>
      <c r="I26" s="20"/>
      <c r="J26" s="20">
        <v>200</v>
      </c>
      <c r="K26" s="20">
        <v>200</v>
      </c>
      <c r="L26" s="20">
        <v>200</v>
      </c>
      <c r="M26" s="20">
        <v>200</v>
      </c>
      <c r="N26" s="20">
        <v>200</v>
      </c>
      <c r="O26" s="20">
        <v>200</v>
      </c>
      <c r="P26" s="20">
        <v>200</v>
      </c>
      <c r="Q26" s="22">
        <f t="shared" si="340"/>
        <v>1400</v>
      </c>
      <c r="S26" s="20">
        <v>150</v>
      </c>
      <c r="T26" s="20">
        <v>150</v>
      </c>
      <c r="U26" s="20">
        <v>150</v>
      </c>
      <c r="V26" s="20">
        <v>150</v>
      </c>
      <c r="W26" s="20">
        <v>150</v>
      </c>
      <c r="X26" s="20">
        <v>150</v>
      </c>
      <c r="Y26" s="20">
        <v>150</v>
      </c>
      <c r="Z26" s="20">
        <v>150</v>
      </c>
      <c r="AA26" s="20">
        <v>150</v>
      </c>
      <c r="AB26" s="20">
        <v>150</v>
      </c>
      <c r="AC26" s="20">
        <v>150</v>
      </c>
      <c r="AD26" s="20">
        <v>150</v>
      </c>
      <c r="AE26" s="22">
        <f t="shared" si="341"/>
        <v>1800</v>
      </c>
      <c r="AG26" s="20">
        <v>140</v>
      </c>
      <c r="AH26" s="20"/>
      <c r="AI26" s="20"/>
      <c r="AJ26" s="20"/>
      <c r="AK26" s="20"/>
      <c r="AL26" s="20"/>
      <c r="AM26" s="20"/>
      <c r="AN26" s="20"/>
      <c r="AO26" s="20"/>
      <c r="AP26" s="20"/>
      <c r="AQ26" s="20"/>
      <c r="AR26" s="20"/>
      <c r="AS26" s="22"/>
      <c r="AU26" s="20"/>
      <c r="AV26" s="20"/>
      <c r="AW26" s="20"/>
      <c r="AX26" s="20"/>
      <c r="AY26" s="20"/>
      <c r="AZ26" s="20"/>
      <c r="BA26" s="20"/>
      <c r="BB26" s="20"/>
      <c r="BC26" s="20"/>
      <c r="BD26" s="20"/>
      <c r="BE26" s="20"/>
      <c r="BF26" s="20"/>
      <c r="BG26" s="22">
        <f t="shared" si="342"/>
        <v>0</v>
      </c>
      <c r="BI26" s="20"/>
      <c r="BJ26" s="20"/>
      <c r="BK26" s="20"/>
      <c r="BL26" s="20"/>
      <c r="BM26" s="20"/>
      <c r="BN26" s="20"/>
      <c r="BO26" s="20"/>
      <c r="BP26" s="20"/>
      <c r="BQ26" s="20"/>
      <c r="BR26" s="20"/>
      <c r="BS26" s="20"/>
      <c r="BT26" s="20"/>
      <c r="BU26" s="22">
        <f t="shared" si="343"/>
        <v>0</v>
      </c>
      <c r="BW26" s="20"/>
      <c r="BX26" s="20"/>
      <c r="BY26" s="20"/>
      <c r="BZ26" s="20"/>
      <c r="CA26" s="20"/>
      <c r="CB26" s="20"/>
      <c r="CC26" s="20"/>
      <c r="CD26" s="20"/>
      <c r="CE26" s="20"/>
      <c r="CF26" s="20"/>
      <c r="CG26" s="20"/>
      <c r="CH26" s="20"/>
      <c r="CI26" s="22">
        <f t="shared" si="344"/>
        <v>0</v>
      </c>
      <c r="CK26" s="20"/>
      <c r="CL26" s="20"/>
      <c r="CM26" s="20"/>
      <c r="CN26" s="20"/>
      <c r="CO26" s="20"/>
      <c r="CP26" s="20"/>
      <c r="CQ26" s="20"/>
      <c r="CR26" s="20"/>
      <c r="CS26" s="20"/>
      <c r="CT26" s="20"/>
      <c r="CU26" s="20"/>
      <c r="CV26" s="20"/>
      <c r="CW26" s="22">
        <f t="shared" si="345"/>
        <v>0</v>
      </c>
      <c r="CY26" s="20"/>
      <c r="CZ26" s="20"/>
      <c r="DA26" s="20"/>
      <c r="DB26" s="20"/>
      <c r="DC26" s="20"/>
      <c r="DD26" s="20"/>
      <c r="DE26" s="20"/>
      <c r="DF26" s="20"/>
      <c r="DG26" s="20"/>
      <c r="DH26" s="20"/>
      <c r="DI26" s="20"/>
      <c r="DJ26" s="20"/>
      <c r="DK26" s="22">
        <f t="shared" si="346"/>
        <v>0</v>
      </c>
      <c r="DM26" s="20"/>
      <c r="DN26" s="20"/>
      <c r="DO26" s="20"/>
      <c r="DP26" s="20"/>
      <c r="DQ26" s="20"/>
      <c r="DR26" s="20"/>
      <c r="DS26" s="20"/>
      <c r="DT26" s="20"/>
      <c r="DU26" s="20"/>
      <c r="DV26" s="20"/>
      <c r="DW26" s="20"/>
      <c r="DX26" s="20"/>
      <c r="DY26" s="22">
        <f t="shared" si="347"/>
        <v>0</v>
      </c>
      <c r="EA26" s="20"/>
      <c r="EB26" s="20"/>
      <c r="EC26" s="20"/>
      <c r="ED26" s="20"/>
      <c r="EE26" s="20"/>
      <c r="EF26" s="20"/>
      <c r="EG26" s="20"/>
      <c r="EH26" s="20"/>
      <c r="EI26" s="20"/>
      <c r="EJ26" s="20"/>
      <c r="EK26" s="20"/>
      <c r="EL26" s="20"/>
      <c r="EM26" s="22">
        <f t="shared" si="348"/>
        <v>0</v>
      </c>
    </row>
    <row r="27" spans="3:143" x14ac:dyDescent="0.2">
      <c r="C27" s="19" t="s">
        <v>51</v>
      </c>
      <c r="E27" s="20"/>
      <c r="F27" s="20"/>
      <c r="G27" s="20"/>
      <c r="H27" s="20"/>
      <c r="I27" s="20"/>
      <c r="J27" s="20">
        <v>250</v>
      </c>
      <c r="K27" s="20">
        <v>250</v>
      </c>
      <c r="L27" s="20">
        <v>250</v>
      </c>
      <c r="M27" s="20">
        <v>250</v>
      </c>
      <c r="N27" s="20">
        <v>250</v>
      </c>
      <c r="O27" s="20">
        <v>250</v>
      </c>
      <c r="P27" s="20">
        <v>250</v>
      </c>
      <c r="Q27" s="22">
        <f t="shared" si="340"/>
        <v>1750</v>
      </c>
      <c r="S27" s="20">
        <v>300</v>
      </c>
      <c r="T27" s="20">
        <v>300</v>
      </c>
      <c r="U27" s="20">
        <v>300</v>
      </c>
      <c r="V27" s="20">
        <v>300</v>
      </c>
      <c r="W27" s="20">
        <v>300</v>
      </c>
      <c r="X27" s="20">
        <v>300</v>
      </c>
      <c r="Y27" s="20">
        <v>300</v>
      </c>
      <c r="Z27" s="20">
        <v>300</v>
      </c>
      <c r="AA27" s="20">
        <v>300</v>
      </c>
      <c r="AB27" s="20">
        <v>300</v>
      </c>
      <c r="AC27" s="20">
        <v>300</v>
      </c>
      <c r="AD27" s="20">
        <v>300</v>
      </c>
      <c r="AE27" s="22">
        <f t="shared" si="341"/>
        <v>3600</v>
      </c>
      <c r="AG27" s="20">
        <v>290</v>
      </c>
      <c r="AH27" s="20"/>
      <c r="AI27" s="20"/>
      <c r="AJ27" s="20"/>
      <c r="AK27" s="20"/>
      <c r="AL27" s="20"/>
      <c r="AM27" s="20"/>
      <c r="AN27" s="20"/>
      <c r="AO27" s="20"/>
      <c r="AP27" s="20"/>
      <c r="AQ27" s="20"/>
      <c r="AR27" s="20"/>
      <c r="AS27" s="22"/>
      <c r="AU27" s="20"/>
      <c r="AV27" s="20"/>
      <c r="AW27" s="20"/>
      <c r="AX27" s="20"/>
      <c r="AY27" s="20"/>
      <c r="AZ27" s="20"/>
      <c r="BA27" s="20"/>
      <c r="BB27" s="20"/>
      <c r="BC27" s="20"/>
      <c r="BD27" s="20"/>
      <c r="BE27" s="20"/>
      <c r="BF27" s="20"/>
      <c r="BG27" s="22">
        <f t="shared" si="342"/>
        <v>0</v>
      </c>
      <c r="BI27" s="20"/>
      <c r="BJ27" s="20"/>
      <c r="BK27" s="20"/>
      <c r="BL27" s="20"/>
      <c r="BM27" s="20"/>
      <c r="BN27" s="20"/>
      <c r="BO27" s="20"/>
      <c r="BP27" s="20"/>
      <c r="BQ27" s="20"/>
      <c r="BR27" s="20"/>
      <c r="BS27" s="20"/>
      <c r="BT27" s="20"/>
      <c r="BU27" s="22">
        <f t="shared" si="343"/>
        <v>0</v>
      </c>
      <c r="BW27" s="20"/>
      <c r="BX27" s="20"/>
      <c r="BY27" s="20"/>
      <c r="BZ27" s="20"/>
      <c r="CA27" s="20"/>
      <c r="CB27" s="20"/>
      <c r="CC27" s="20"/>
      <c r="CD27" s="20"/>
      <c r="CE27" s="20"/>
      <c r="CF27" s="20"/>
      <c r="CG27" s="20"/>
      <c r="CH27" s="20"/>
      <c r="CI27" s="22">
        <f t="shared" si="344"/>
        <v>0</v>
      </c>
      <c r="CK27" s="20"/>
      <c r="CL27" s="20"/>
      <c r="CM27" s="20"/>
      <c r="CN27" s="20"/>
      <c r="CO27" s="20"/>
      <c r="CP27" s="20"/>
      <c r="CQ27" s="20"/>
      <c r="CR27" s="20"/>
      <c r="CS27" s="20"/>
      <c r="CT27" s="20"/>
      <c r="CU27" s="20"/>
      <c r="CV27" s="20"/>
      <c r="CW27" s="22">
        <f t="shared" si="345"/>
        <v>0</v>
      </c>
      <c r="CY27" s="20"/>
      <c r="CZ27" s="20"/>
      <c r="DA27" s="20"/>
      <c r="DB27" s="20"/>
      <c r="DC27" s="20"/>
      <c r="DD27" s="20"/>
      <c r="DE27" s="20"/>
      <c r="DF27" s="20"/>
      <c r="DG27" s="20"/>
      <c r="DH27" s="20"/>
      <c r="DI27" s="20"/>
      <c r="DJ27" s="20"/>
      <c r="DK27" s="22">
        <f t="shared" si="346"/>
        <v>0</v>
      </c>
      <c r="DM27" s="20"/>
      <c r="DN27" s="20"/>
      <c r="DO27" s="20"/>
      <c r="DP27" s="20"/>
      <c r="DQ27" s="20"/>
      <c r="DR27" s="20"/>
      <c r="DS27" s="20"/>
      <c r="DT27" s="20"/>
      <c r="DU27" s="20"/>
      <c r="DV27" s="20"/>
      <c r="DW27" s="20"/>
      <c r="DX27" s="20"/>
      <c r="DY27" s="22">
        <f t="shared" si="347"/>
        <v>0</v>
      </c>
      <c r="EA27" s="20"/>
      <c r="EB27" s="20"/>
      <c r="EC27" s="20"/>
      <c r="ED27" s="20"/>
      <c r="EE27" s="20"/>
      <c r="EF27" s="20"/>
      <c r="EG27" s="20"/>
      <c r="EH27" s="20"/>
      <c r="EI27" s="20"/>
      <c r="EJ27" s="20"/>
      <c r="EK27" s="20"/>
      <c r="EL27" s="20"/>
      <c r="EM27" s="22">
        <f t="shared" si="348"/>
        <v>0</v>
      </c>
    </row>
    <row r="28" spans="3:143" x14ac:dyDescent="0.2">
      <c r="C28" s="19" t="s">
        <v>52</v>
      </c>
      <c r="E28" s="20"/>
      <c r="F28" s="20"/>
      <c r="G28" s="20"/>
      <c r="H28" s="20"/>
      <c r="I28" s="20"/>
      <c r="J28" s="20">
        <v>150</v>
      </c>
      <c r="K28" s="20">
        <v>150</v>
      </c>
      <c r="L28" s="20">
        <v>150</v>
      </c>
      <c r="M28" s="20">
        <v>150</v>
      </c>
      <c r="N28" s="20">
        <v>150</v>
      </c>
      <c r="O28" s="20">
        <v>150</v>
      </c>
      <c r="P28" s="20">
        <v>150</v>
      </c>
      <c r="Q28" s="22">
        <f t="shared" si="340"/>
        <v>1050</v>
      </c>
      <c r="S28" s="20">
        <v>100</v>
      </c>
      <c r="T28" s="20">
        <v>300</v>
      </c>
      <c r="U28" s="20">
        <v>300</v>
      </c>
      <c r="V28" s="20">
        <v>300</v>
      </c>
      <c r="W28" s="20">
        <v>300</v>
      </c>
      <c r="X28" s="20">
        <v>300</v>
      </c>
      <c r="Y28" s="20">
        <v>300</v>
      </c>
      <c r="Z28" s="20">
        <v>300</v>
      </c>
      <c r="AA28" s="20">
        <v>300</v>
      </c>
      <c r="AB28" s="20">
        <v>300</v>
      </c>
      <c r="AC28" s="20">
        <v>300</v>
      </c>
      <c r="AD28" s="20">
        <v>300</v>
      </c>
      <c r="AE28" s="22">
        <f t="shared" si="341"/>
        <v>3400</v>
      </c>
      <c r="AG28" s="20">
        <v>270</v>
      </c>
      <c r="AH28" s="20"/>
      <c r="AI28" s="20"/>
      <c r="AJ28" s="20"/>
      <c r="AK28" s="20"/>
      <c r="AL28" s="20"/>
      <c r="AM28" s="20"/>
      <c r="AN28" s="20"/>
      <c r="AO28" s="20"/>
      <c r="AP28" s="20"/>
      <c r="AQ28" s="20"/>
      <c r="AR28" s="20"/>
      <c r="AS28" s="22"/>
      <c r="AU28" s="20"/>
      <c r="AV28" s="20"/>
      <c r="AW28" s="20"/>
      <c r="AX28" s="20"/>
      <c r="AY28" s="20"/>
      <c r="AZ28" s="20"/>
      <c r="BA28" s="20"/>
      <c r="BB28" s="20"/>
      <c r="BC28" s="20"/>
      <c r="BD28" s="20"/>
      <c r="BE28" s="20"/>
      <c r="BF28" s="20"/>
      <c r="BG28" s="22">
        <f t="shared" si="342"/>
        <v>0</v>
      </c>
      <c r="BI28" s="20"/>
      <c r="BJ28" s="20"/>
      <c r="BK28" s="20"/>
      <c r="BL28" s="20"/>
      <c r="BM28" s="20"/>
      <c r="BN28" s="20"/>
      <c r="BO28" s="20"/>
      <c r="BP28" s="20"/>
      <c r="BQ28" s="20"/>
      <c r="BR28" s="20"/>
      <c r="BS28" s="20"/>
      <c r="BT28" s="20"/>
      <c r="BU28" s="22">
        <f t="shared" si="343"/>
        <v>0</v>
      </c>
      <c r="BW28" s="20"/>
      <c r="BX28" s="20"/>
      <c r="BY28" s="20"/>
      <c r="BZ28" s="20"/>
      <c r="CA28" s="20"/>
      <c r="CB28" s="20"/>
      <c r="CC28" s="20"/>
      <c r="CD28" s="20"/>
      <c r="CE28" s="20"/>
      <c r="CF28" s="20"/>
      <c r="CG28" s="20"/>
      <c r="CH28" s="20"/>
      <c r="CI28" s="22">
        <f t="shared" si="344"/>
        <v>0</v>
      </c>
      <c r="CK28" s="20"/>
      <c r="CL28" s="20"/>
      <c r="CM28" s="20"/>
      <c r="CN28" s="20"/>
      <c r="CO28" s="20"/>
      <c r="CP28" s="20"/>
      <c r="CQ28" s="20"/>
      <c r="CR28" s="20"/>
      <c r="CS28" s="20"/>
      <c r="CT28" s="20"/>
      <c r="CU28" s="20"/>
      <c r="CV28" s="20"/>
      <c r="CW28" s="22">
        <f t="shared" si="345"/>
        <v>0</v>
      </c>
      <c r="CY28" s="20"/>
      <c r="CZ28" s="20"/>
      <c r="DA28" s="20"/>
      <c r="DB28" s="20"/>
      <c r="DC28" s="20"/>
      <c r="DD28" s="20"/>
      <c r="DE28" s="20"/>
      <c r="DF28" s="20"/>
      <c r="DG28" s="20"/>
      <c r="DH28" s="20"/>
      <c r="DI28" s="20"/>
      <c r="DJ28" s="20"/>
      <c r="DK28" s="22">
        <f t="shared" si="346"/>
        <v>0</v>
      </c>
      <c r="DM28" s="20"/>
      <c r="DN28" s="20"/>
      <c r="DO28" s="20"/>
      <c r="DP28" s="20"/>
      <c r="DQ28" s="20"/>
      <c r="DR28" s="20"/>
      <c r="DS28" s="20"/>
      <c r="DT28" s="20"/>
      <c r="DU28" s="20"/>
      <c r="DV28" s="20"/>
      <c r="DW28" s="20"/>
      <c r="DX28" s="20"/>
      <c r="DY28" s="22">
        <f t="shared" si="347"/>
        <v>0</v>
      </c>
      <c r="EA28" s="20"/>
      <c r="EB28" s="20"/>
      <c r="EC28" s="20"/>
      <c r="ED28" s="20"/>
      <c r="EE28" s="20"/>
      <c r="EF28" s="20"/>
      <c r="EG28" s="20"/>
      <c r="EH28" s="20"/>
      <c r="EI28" s="20"/>
      <c r="EJ28" s="20"/>
      <c r="EK28" s="20"/>
      <c r="EL28" s="20"/>
      <c r="EM28" s="22">
        <f t="shared" si="348"/>
        <v>0</v>
      </c>
    </row>
    <row r="29" spans="3:143" x14ac:dyDescent="0.2">
      <c r="C29" s="19" t="s">
        <v>53</v>
      </c>
      <c r="E29" s="20"/>
      <c r="F29" s="20"/>
      <c r="G29" s="20"/>
      <c r="H29" s="20"/>
      <c r="I29" s="20"/>
      <c r="J29" s="20">
        <v>100</v>
      </c>
      <c r="K29" s="20">
        <v>100</v>
      </c>
      <c r="L29" s="20">
        <v>100</v>
      </c>
      <c r="M29" s="20">
        <v>100</v>
      </c>
      <c r="N29" s="20">
        <v>100</v>
      </c>
      <c r="O29" s="20">
        <v>100</v>
      </c>
      <c r="P29" s="20">
        <v>100</v>
      </c>
      <c r="Q29" s="22">
        <f t="shared" si="340"/>
        <v>700</v>
      </c>
      <c r="S29" s="20">
        <v>50</v>
      </c>
      <c r="T29" s="20">
        <v>50</v>
      </c>
      <c r="U29" s="20">
        <v>50</v>
      </c>
      <c r="V29" s="20">
        <v>50</v>
      </c>
      <c r="W29" s="20">
        <v>50</v>
      </c>
      <c r="X29" s="20">
        <v>50</v>
      </c>
      <c r="Y29" s="20">
        <v>50</v>
      </c>
      <c r="Z29" s="20">
        <v>50</v>
      </c>
      <c r="AA29" s="20">
        <v>50</v>
      </c>
      <c r="AB29" s="20">
        <v>50</v>
      </c>
      <c r="AC29" s="20">
        <v>50</v>
      </c>
      <c r="AD29" s="20">
        <v>50</v>
      </c>
      <c r="AE29" s="22">
        <f t="shared" si="341"/>
        <v>600</v>
      </c>
      <c r="AG29" s="20">
        <v>50</v>
      </c>
      <c r="AH29" s="20"/>
      <c r="AI29" s="20"/>
      <c r="AJ29" s="20"/>
      <c r="AK29" s="20"/>
      <c r="AL29" s="20"/>
      <c r="AM29" s="20"/>
      <c r="AN29" s="20"/>
      <c r="AO29" s="20"/>
      <c r="AP29" s="20"/>
      <c r="AQ29" s="20"/>
      <c r="AR29" s="20"/>
      <c r="AS29" s="22"/>
      <c r="AU29" s="20"/>
      <c r="AV29" s="20"/>
      <c r="AW29" s="20"/>
      <c r="AX29" s="20"/>
      <c r="AY29" s="20"/>
      <c r="AZ29" s="20"/>
      <c r="BA29" s="20"/>
      <c r="BB29" s="20"/>
      <c r="BC29" s="20"/>
      <c r="BD29" s="20"/>
      <c r="BE29" s="20"/>
      <c r="BF29" s="20"/>
      <c r="BG29" s="22">
        <f t="shared" si="342"/>
        <v>0</v>
      </c>
      <c r="BI29" s="20"/>
      <c r="BJ29" s="20"/>
      <c r="BK29" s="20"/>
      <c r="BL29" s="20"/>
      <c r="BM29" s="20"/>
      <c r="BN29" s="20"/>
      <c r="BO29" s="20"/>
      <c r="BP29" s="20"/>
      <c r="BQ29" s="20"/>
      <c r="BR29" s="20"/>
      <c r="BS29" s="20"/>
      <c r="BT29" s="20"/>
      <c r="BU29" s="22">
        <f t="shared" si="343"/>
        <v>0</v>
      </c>
      <c r="BW29" s="20"/>
      <c r="BX29" s="20"/>
      <c r="BY29" s="20"/>
      <c r="BZ29" s="20"/>
      <c r="CA29" s="20"/>
      <c r="CB29" s="20"/>
      <c r="CC29" s="20"/>
      <c r="CD29" s="20"/>
      <c r="CE29" s="20"/>
      <c r="CF29" s="20"/>
      <c r="CG29" s="20"/>
      <c r="CH29" s="20"/>
      <c r="CI29" s="22">
        <f t="shared" si="344"/>
        <v>0</v>
      </c>
      <c r="CK29" s="20"/>
      <c r="CL29" s="20"/>
      <c r="CM29" s="20"/>
      <c r="CN29" s="20"/>
      <c r="CO29" s="20"/>
      <c r="CP29" s="20"/>
      <c r="CQ29" s="20"/>
      <c r="CR29" s="20"/>
      <c r="CS29" s="20"/>
      <c r="CT29" s="20"/>
      <c r="CU29" s="20"/>
      <c r="CV29" s="20"/>
      <c r="CW29" s="22">
        <f t="shared" si="345"/>
        <v>0</v>
      </c>
      <c r="CY29" s="20"/>
      <c r="CZ29" s="20"/>
      <c r="DA29" s="20"/>
      <c r="DB29" s="20"/>
      <c r="DC29" s="20"/>
      <c r="DD29" s="20"/>
      <c r="DE29" s="20"/>
      <c r="DF29" s="20"/>
      <c r="DG29" s="20"/>
      <c r="DH29" s="20"/>
      <c r="DI29" s="20"/>
      <c r="DJ29" s="20"/>
      <c r="DK29" s="22">
        <f t="shared" si="346"/>
        <v>0</v>
      </c>
      <c r="DM29" s="20"/>
      <c r="DN29" s="20"/>
      <c r="DO29" s="20"/>
      <c r="DP29" s="20"/>
      <c r="DQ29" s="20"/>
      <c r="DR29" s="20"/>
      <c r="DS29" s="20"/>
      <c r="DT29" s="20"/>
      <c r="DU29" s="20"/>
      <c r="DV29" s="20"/>
      <c r="DW29" s="20"/>
      <c r="DX29" s="20"/>
      <c r="DY29" s="22">
        <f t="shared" si="347"/>
        <v>0</v>
      </c>
      <c r="EA29" s="20"/>
      <c r="EB29" s="20"/>
      <c r="EC29" s="20"/>
      <c r="ED29" s="20"/>
      <c r="EE29" s="20"/>
      <c r="EF29" s="20"/>
      <c r="EG29" s="20"/>
      <c r="EH29" s="20"/>
      <c r="EI29" s="20"/>
      <c r="EJ29" s="20"/>
      <c r="EK29" s="20"/>
      <c r="EL29" s="20"/>
      <c r="EM29" s="22">
        <f t="shared" si="348"/>
        <v>0</v>
      </c>
    </row>
    <row r="30" spans="3:143" x14ac:dyDescent="0.2">
      <c r="C30" s="19" t="s">
        <v>54</v>
      </c>
      <c r="E30" s="20"/>
      <c r="F30" s="20"/>
      <c r="G30" s="20"/>
      <c r="H30" s="20"/>
      <c r="I30" s="20"/>
      <c r="J30" s="20">
        <v>200</v>
      </c>
      <c r="K30" s="20">
        <v>200</v>
      </c>
      <c r="L30" s="20">
        <v>200</v>
      </c>
      <c r="M30" s="20">
        <v>200</v>
      </c>
      <c r="N30" s="20">
        <v>200</v>
      </c>
      <c r="O30" s="20">
        <v>200</v>
      </c>
      <c r="P30" s="20">
        <v>200</v>
      </c>
      <c r="Q30" s="22">
        <f t="shared" si="340"/>
        <v>1400</v>
      </c>
      <c r="S30" s="20">
        <v>200</v>
      </c>
      <c r="T30" s="20">
        <v>200</v>
      </c>
      <c r="U30" s="20">
        <v>200</v>
      </c>
      <c r="V30" s="20">
        <v>200</v>
      </c>
      <c r="W30" s="20">
        <v>200</v>
      </c>
      <c r="X30" s="20">
        <v>200</v>
      </c>
      <c r="Y30" s="20">
        <v>200</v>
      </c>
      <c r="Z30" s="20">
        <v>200</v>
      </c>
      <c r="AA30" s="20">
        <v>200</v>
      </c>
      <c r="AB30" s="20">
        <v>200</v>
      </c>
      <c r="AC30" s="20">
        <v>200</v>
      </c>
      <c r="AD30" s="20">
        <v>200</v>
      </c>
      <c r="AE30" s="22">
        <f t="shared" si="341"/>
        <v>2400</v>
      </c>
      <c r="AG30" s="20">
        <v>210</v>
      </c>
      <c r="AH30" s="20"/>
      <c r="AI30" s="20"/>
      <c r="AJ30" s="20"/>
      <c r="AK30" s="20"/>
      <c r="AL30" s="20"/>
      <c r="AM30" s="20"/>
      <c r="AN30" s="20"/>
      <c r="AO30" s="20"/>
      <c r="AP30" s="20"/>
      <c r="AQ30" s="20"/>
      <c r="AR30" s="20"/>
      <c r="AS30" s="22"/>
      <c r="AU30" s="20"/>
      <c r="AV30" s="20"/>
      <c r="AW30" s="20"/>
      <c r="AX30" s="20"/>
      <c r="AY30" s="20"/>
      <c r="AZ30" s="20"/>
      <c r="BA30" s="20"/>
      <c r="BB30" s="20"/>
      <c r="BC30" s="20"/>
      <c r="BD30" s="20"/>
      <c r="BE30" s="20"/>
      <c r="BF30" s="20"/>
      <c r="BG30" s="22">
        <f t="shared" si="342"/>
        <v>0</v>
      </c>
      <c r="BI30" s="20"/>
      <c r="BJ30" s="20"/>
      <c r="BK30" s="20"/>
      <c r="BL30" s="20"/>
      <c r="BM30" s="20"/>
      <c r="BN30" s="20"/>
      <c r="BO30" s="20"/>
      <c r="BP30" s="20"/>
      <c r="BQ30" s="20"/>
      <c r="BR30" s="20"/>
      <c r="BS30" s="20"/>
      <c r="BT30" s="20"/>
      <c r="BU30" s="22">
        <f t="shared" si="343"/>
        <v>0</v>
      </c>
      <c r="BW30" s="20"/>
      <c r="BX30" s="20"/>
      <c r="BY30" s="20"/>
      <c r="BZ30" s="20"/>
      <c r="CA30" s="20"/>
      <c r="CB30" s="20"/>
      <c r="CC30" s="20"/>
      <c r="CD30" s="20"/>
      <c r="CE30" s="20"/>
      <c r="CF30" s="20"/>
      <c r="CG30" s="20"/>
      <c r="CH30" s="20"/>
      <c r="CI30" s="22">
        <f t="shared" si="344"/>
        <v>0</v>
      </c>
      <c r="CK30" s="20"/>
      <c r="CL30" s="20"/>
      <c r="CM30" s="20"/>
      <c r="CN30" s="20"/>
      <c r="CO30" s="20"/>
      <c r="CP30" s="20"/>
      <c r="CQ30" s="20"/>
      <c r="CR30" s="20"/>
      <c r="CS30" s="20"/>
      <c r="CT30" s="20"/>
      <c r="CU30" s="20"/>
      <c r="CV30" s="20"/>
      <c r="CW30" s="22">
        <f t="shared" si="345"/>
        <v>0</v>
      </c>
      <c r="CY30" s="20"/>
      <c r="CZ30" s="20"/>
      <c r="DA30" s="20"/>
      <c r="DB30" s="20"/>
      <c r="DC30" s="20"/>
      <c r="DD30" s="20"/>
      <c r="DE30" s="20"/>
      <c r="DF30" s="20"/>
      <c r="DG30" s="20"/>
      <c r="DH30" s="20"/>
      <c r="DI30" s="20"/>
      <c r="DJ30" s="20"/>
      <c r="DK30" s="22">
        <f t="shared" si="346"/>
        <v>0</v>
      </c>
      <c r="DM30" s="20"/>
      <c r="DN30" s="20"/>
      <c r="DO30" s="20"/>
      <c r="DP30" s="20"/>
      <c r="DQ30" s="20"/>
      <c r="DR30" s="20"/>
      <c r="DS30" s="20"/>
      <c r="DT30" s="20"/>
      <c r="DU30" s="20"/>
      <c r="DV30" s="20"/>
      <c r="DW30" s="20"/>
      <c r="DX30" s="20"/>
      <c r="DY30" s="22">
        <f t="shared" si="347"/>
        <v>0</v>
      </c>
      <c r="EA30" s="20"/>
      <c r="EB30" s="20"/>
      <c r="EC30" s="20"/>
      <c r="ED30" s="20"/>
      <c r="EE30" s="20"/>
      <c r="EF30" s="20"/>
      <c r="EG30" s="20"/>
      <c r="EH30" s="20"/>
      <c r="EI30" s="20"/>
      <c r="EJ30" s="20"/>
      <c r="EK30" s="20"/>
      <c r="EL30" s="20"/>
      <c r="EM30" s="22">
        <f t="shared" si="348"/>
        <v>0</v>
      </c>
    </row>
    <row r="31" spans="3:143" x14ac:dyDescent="0.2">
      <c r="C31" s="19" t="s">
        <v>55</v>
      </c>
      <c r="E31" s="20"/>
      <c r="F31" s="20"/>
      <c r="G31" s="20"/>
      <c r="H31" s="20"/>
      <c r="I31" s="20"/>
      <c r="J31" s="20">
        <v>50</v>
      </c>
      <c r="K31" s="20">
        <v>50</v>
      </c>
      <c r="L31" s="20">
        <v>50</v>
      </c>
      <c r="M31" s="20">
        <v>50</v>
      </c>
      <c r="N31" s="20">
        <v>50</v>
      </c>
      <c r="O31" s="20">
        <v>50</v>
      </c>
      <c r="P31" s="20">
        <v>50</v>
      </c>
      <c r="Q31" s="22">
        <f t="shared" si="340"/>
        <v>350</v>
      </c>
      <c r="S31" s="20">
        <v>100</v>
      </c>
      <c r="T31" s="20">
        <v>100</v>
      </c>
      <c r="U31" s="20">
        <v>100</v>
      </c>
      <c r="V31" s="20">
        <v>100</v>
      </c>
      <c r="W31" s="20">
        <v>100</v>
      </c>
      <c r="X31" s="20">
        <v>100</v>
      </c>
      <c r="Y31" s="20">
        <v>100</v>
      </c>
      <c r="Z31" s="20">
        <v>100</v>
      </c>
      <c r="AA31" s="20">
        <v>100</v>
      </c>
      <c r="AB31" s="20">
        <v>100</v>
      </c>
      <c r="AC31" s="20">
        <v>100</v>
      </c>
      <c r="AD31" s="20">
        <v>100</v>
      </c>
      <c r="AE31" s="22">
        <f t="shared" si="341"/>
        <v>1200</v>
      </c>
      <c r="AG31" s="20">
        <v>50</v>
      </c>
      <c r="AH31" s="20"/>
      <c r="AI31" s="20"/>
      <c r="AJ31" s="20"/>
      <c r="AK31" s="20"/>
      <c r="AL31" s="20"/>
      <c r="AM31" s="20"/>
      <c r="AN31" s="20"/>
      <c r="AO31" s="20"/>
      <c r="AP31" s="20"/>
      <c r="AQ31" s="20"/>
      <c r="AR31" s="20"/>
      <c r="AS31" s="22"/>
      <c r="AU31" s="20"/>
      <c r="AV31" s="20"/>
      <c r="AW31" s="20"/>
      <c r="AX31" s="20"/>
      <c r="AY31" s="20"/>
      <c r="AZ31" s="20"/>
      <c r="BA31" s="20"/>
      <c r="BB31" s="20"/>
      <c r="BC31" s="20"/>
      <c r="BD31" s="20"/>
      <c r="BE31" s="20"/>
      <c r="BF31" s="20"/>
      <c r="BG31" s="22">
        <f t="shared" si="342"/>
        <v>0</v>
      </c>
      <c r="BI31" s="20"/>
      <c r="BJ31" s="20"/>
      <c r="BK31" s="20"/>
      <c r="BL31" s="20"/>
      <c r="BM31" s="20"/>
      <c r="BN31" s="20"/>
      <c r="BO31" s="20"/>
      <c r="BP31" s="20"/>
      <c r="BQ31" s="20"/>
      <c r="BR31" s="20"/>
      <c r="BS31" s="20"/>
      <c r="BT31" s="20"/>
      <c r="BU31" s="22">
        <f t="shared" si="343"/>
        <v>0</v>
      </c>
      <c r="BW31" s="20"/>
      <c r="BX31" s="20"/>
      <c r="BY31" s="20"/>
      <c r="BZ31" s="20"/>
      <c r="CA31" s="20"/>
      <c r="CB31" s="20"/>
      <c r="CC31" s="20"/>
      <c r="CD31" s="20"/>
      <c r="CE31" s="20"/>
      <c r="CF31" s="20"/>
      <c r="CG31" s="20"/>
      <c r="CH31" s="20"/>
      <c r="CI31" s="22">
        <f t="shared" si="344"/>
        <v>0</v>
      </c>
      <c r="CK31" s="20"/>
      <c r="CL31" s="20"/>
      <c r="CM31" s="20"/>
      <c r="CN31" s="20"/>
      <c r="CO31" s="20"/>
      <c r="CP31" s="20"/>
      <c r="CQ31" s="20"/>
      <c r="CR31" s="20"/>
      <c r="CS31" s="20"/>
      <c r="CT31" s="20"/>
      <c r="CU31" s="20"/>
      <c r="CV31" s="20"/>
      <c r="CW31" s="22">
        <f t="shared" si="345"/>
        <v>0</v>
      </c>
      <c r="CY31" s="20"/>
      <c r="CZ31" s="20"/>
      <c r="DA31" s="20"/>
      <c r="DB31" s="20"/>
      <c r="DC31" s="20"/>
      <c r="DD31" s="20"/>
      <c r="DE31" s="20"/>
      <c r="DF31" s="20"/>
      <c r="DG31" s="20"/>
      <c r="DH31" s="20"/>
      <c r="DI31" s="20"/>
      <c r="DJ31" s="20"/>
      <c r="DK31" s="22">
        <f t="shared" si="346"/>
        <v>0</v>
      </c>
      <c r="DM31" s="20"/>
      <c r="DN31" s="20"/>
      <c r="DO31" s="20"/>
      <c r="DP31" s="20"/>
      <c r="DQ31" s="20"/>
      <c r="DR31" s="20"/>
      <c r="DS31" s="20"/>
      <c r="DT31" s="20"/>
      <c r="DU31" s="20"/>
      <c r="DV31" s="20"/>
      <c r="DW31" s="20"/>
      <c r="DX31" s="20"/>
      <c r="DY31" s="22">
        <f t="shared" si="347"/>
        <v>0</v>
      </c>
      <c r="EA31" s="20"/>
      <c r="EB31" s="20"/>
      <c r="EC31" s="20"/>
      <c r="ED31" s="20"/>
      <c r="EE31" s="20"/>
      <c r="EF31" s="20"/>
      <c r="EG31" s="20"/>
      <c r="EH31" s="20"/>
      <c r="EI31" s="20"/>
      <c r="EJ31" s="20"/>
      <c r="EK31" s="20"/>
      <c r="EL31" s="20"/>
      <c r="EM31" s="22">
        <f t="shared" si="348"/>
        <v>0</v>
      </c>
    </row>
    <row r="32" spans="3:143" x14ac:dyDescent="0.2">
      <c r="C32" s="19" t="s">
        <v>56</v>
      </c>
      <c r="E32" s="20"/>
      <c r="F32" s="20"/>
      <c r="G32" s="20"/>
      <c r="H32" s="20"/>
      <c r="I32" s="20"/>
      <c r="J32" s="20">
        <v>150</v>
      </c>
      <c r="K32" s="20">
        <v>150</v>
      </c>
      <c r="L32" s="20">
        <v>150</v>
      </c>
      <c r="M32" s="20">
        <v>150</v>
      </c>
      <c r="N32" s="20">
        <v>150</v>
      </c>
      <c r="O32" s="20">
        <v>150</v>
      </c>
      <c r="P32" s="20">
        <v>150</v>
      </c>
      <c r="Q32" s="22">
        <f t="shared" si="340"/>
        <v>1050</v>
      </c>
      <c r="S32" s="20">
        <v>300</v>
      </c>
      <c r="T32" s="20">
        <v>300</v>
      </c>
      <c r="U32" s="20">
        <v>300</v>
      </c>
      <c r="V32" s="20">
        <v>300</v>
      </c>
      <c r="W32" s="20">
        <v>300</v>
      </c>
      <c r="X32" s="20">
        <v>300</v>
      </c>
      <c r="Y32" s="20">
        <v>300</v>
      </c>
      <c r="Z32" s="20">
        <v>300</v>
      </c>
      <c r="AA32" s="20">
        <v>300</v>
      </c>
      <c r="AB32" s="20">
        <v>300</v>
      </c>
      <c r="AC32" s="20">
        <v>300</v>
      </c>
      <c r="AD32" s="20">
        <v>300</v>
      </c>
      <c r="AE32" s="22">
        <f t="shared" si="341"/>
        <v>3600</v>
      </c>
      <c r="AG32" s="20">
        <v>290</v>
      </c>
      <c r="AH32" s="20"/>
      <c r="AI32" s="20"/>
      <c r="AJ32" s="20"/>
      <c r="AK32" s="20"/>
      <c r="AL32" s="20"/>
      <c r="AM32" s="20"/>
      <c r="AN32" s="20"/>
      <c r="AO32" s="20"/>
      <c r="AP32" s="20"/>
      <c r="AQ32" s="20"/>
      <c r="AR32" s="20"/>
      <c r="AS32" s="22"/>
      <c r="AU32" s="20"/>
      <c r="AV32" s="20"/>
      <c r="AW32" s="20"/>
      <c r="AX32" s="20"/>
      <c r="AY32" s="20"/>
      <c r="AZ32" s="20"/>
      <c r="BA32" s="20"/>
      <c r="BB32" s="20"/>
      <c r="BC32" s="20"/>
      <c r="BD32" s="20"/>
      <c r="BE32" s="20"/>
      <c r="BF32" s="20"/>
      <c r="BG32" s="22">
        <f t="shared" si="342"/>
        <v>0</v>
      </c>
      <c r="BI32" s="20"/>
      <c r="BJ32" s="20"/>
      <c r="BK32" s="20"/>
      <c r="BL32" s="20"/>
      <c r="BM32" s="20"/>
      <c r="BN32" s="20"/>
      <c r="BO32" s="20"/>
      <c r="BP32" s="20"/>
      <c r="BQ32" s="20"/>
      <c r="BR32" s="20"/>
      <c r="BS32" s="20"/>
      <c r="BT32" s="20"/>
      <c r="BU32" s="22">
        <f t="shared" si="343"/>
        <v>0</v>
      </c>
      <c r="BW32" s="20"/>
      <c r="BX32" s="20"/>
      <c r="BY32" s="20"/>
      <c r="BZ32" s="20"/>
      <c r="CA32" s="20"/>
      <c r="CB32" s="20"/>
      <c r="CC32" s="20"/>
      <c r="CD32" s="20"/>
      <c r="CE32" s="20"/>
      <c r="CF32" s="20"/>
      <c r="CG32" s="20"/>
      <c r="CH32" s="20"/>
      <c r="CI32" s="22">
        <f t="shared" si="344"/>
        <v>0</v>
      </c>
      <c r="CK32" s="20"/>
      <c r="CL32" s="20"/>
      <c r="CM32" s="20"/>
      <c r="CN32" s="20"/>
      <c r="CO32" s="20"/>
      <c r="CP32" s="20"/>
      <c r="CQ32" s="20"/>
      <c r="CR32" s="20"/>
      <c r="CS32" s="20"/>
      <c r="CT32" s="20"/>
      <c r="CU32" s="20"/>
      <c r="CV32" s="20"/>
      <c r="CW32" s="22">
        <f t="shared" si="345"/>
        <v>0</v>
      </c>
      <c r="CY32" s="20"/>
      <c r="CZ32" s="20"/>
      <c r="DA32" s="20"/>
      <c r="DB32" s="20"/>
      <c r="DC32" s="20"/>
      <c r="DD32" s="20"/>
      <c r="DE32" s="20"/>
      <c r="DF32" s="20"/>
      <c r="DG32" s="20"/>
      <c r="DH32" s="20"/>
      <c r="DI32" s="20"/>
      <c r="DJ32" s="20"/>
      <c r="DK32" s="22">
        <f t="shared" si="346"/>
        <v>0</v>
      </c>
      <c r="DM32" s="20"/>
      <c r="DN32" s="20"/>
      <c r="DO32" s="20"/>
      <c r="DP32" s="20"/>
      <c r="DQ32" s="20"/>
      <c r="DR32" s="20"/>
      <c r="DS32" s="20"/>
      <c r="DT32" s="20"/>
      <c r="DU32" s="20"/>
      <c r="DV32" s="20"/>
      <c r="DW32" s="20"/>
      <c r="DX32" s="20"/>
      <c r="DY32" s="22">
        <f t="shared" si="347"/>
        <v>0</v>
      </c>
      <c r="EA32" s="20"/>
      <c r="EB32" s="20"/>
      <c r="EC32" s="20"/>
      <c r="ED32" s="20"/>
      <c r="EE32" s="20"/>
      <c r="EF32" s="20"/>
      <c r="EG32" s="20"/>
      <c r="EH32" s="20"/>
      <c r="EI32" s="20"/>
      <c r="EJ32" s="20"/>
      <c r="EK32" s="20"/>
      <c r="EL32" s="20"/>
      <c r="EM32" s="22">
        <f t="shared" si="348"/>
        <v>0</v>
      </c>
    </row>
    <row r="33" spans="3:143" x14ac:dyDescent="0.2">
      <c r="C33" s="19" t="s">
        <v>57</v>
      </c>
      <c r="E33" s="20"/>
      <c r="F33" s="20"/>
      <c r="G33" s="20"/>
      <c r="H33" s="20"/>
      <c r="I33" s="20"/>
      <c r="J33" s="20">
        <v>3220</v>
      </c>
      <c r="K33" s="20">
        <v>3220</v>
      </c>
      <c r="L33" s="20">
        <v>3220</v>
      </c>
      <c r="M33" s="20">
        <v>3220</v>
      </c>
      <c r="N33" s="20">
        <v>3220</v>
      </c>
      <c r="O33" s="20">
        <v>3220</v>
      </c>
      <c r="P33" s="20">
        <v>3220</v>
      </c>
      <c r="Q33" s="22">
        <f t="shared" ref="Q33:Q38" si="349">SUM(E33:P33)</f>
        <v>22540</v>
      </c>
      <c r="S33" s="20">
        <v>3215</v>
      </c>
      <c r="T33" s="20">
        <v>3215</v>
      </c>
      <c r="U33" s="20">
        <v>3215</v>
      </c>
      <c r="V33" s="20">
        <v>3215</v>
      </c>
      <c r="W33" s="20">
        <v>3215</v>
      </c>
      <c r="X33" s="20">
        <v>3215</v>
      </c>
      <c r="Y33" s="20">
        <v>3215</v>
      </c>
      <c r="Z33" s="20">
        <v>3215</v>
      </c>
      <c r="AA33" s="20">
        <v>3215</v>
      </c>
      <c r="AB33" s="20">
        <v>3215</v>
      </c>
      <c r="AC33" s="20">
        <v>3215</v>
      </c>
      <c r="AD33" s="20">
        <v>3215</v>
      </c>
      <c r="AE33" s="22">
        <f t="shared" si="341"/>
        <v>38580</v>
      </c>
      <c r="AG33" s="20">
        <v>3220</v>
      </c>
      <c r="AH33" s="20"/>
      <c r="AI33" s="20"/>
      <c r="AJ33" s="20"/>
      <c r="AK33" s="20"/>
      <c r="AL33" s="20"/>
      <c r="AM33" s="20"/>
      <c r="AN33" s="20"/>
      <c r="AO33" s="20"/>
      <c r="AP33" s="20"/>
      <c r="AQ33" s="20"/>
      <c r="AR33" s="20"/>
      <c r="AS33" s="22"/>
      <c r="AU33" s="20"/>
      <c r="AV33" s="20"/>
      <c r="AW33" s="20"/>
      <c r="AX33" s="20"/>
      <c r="AY33" s="20"/>
      <c r="AZ33" s="20"/>
      <c r="BA33" s="20"/>
      <c r="BB33" s="20"/>
      <c r="BC33" s="20"/>
      <c r="BD33" s="20"/>
      <c r="BE33" s="20"/>
      <c r="BF33" s="20"/>
      <c r="BG33" s="22">
        <f t="shared" ref="BG33" si="350">SUM(AU33:BF33)</f>
        <v>0</v>
      </c>
      <c r="BI33" s="20"/>
      <c r="BJ33" s="20"/>
      <c r="BK33" s="20"/>
      <c r="BL33" s="20"/>
      <c r="BM33" s="20"/>
      <c r="BN33" s="20"/>
      <c r="BO33" s="20"/>
      <c r="BP33" s="20"/>
      <c r="BQ33" s="20"/>
      <c r="BR33" s="20"/>
      <c r="BS33" s="20"/>
      <c r="BT33" s="20"/>
      <c r="BU33" s="22">
        <f t="shared" ref="BU33" si="351">SUM(BI33:BT33)</f>
        <v>0</v>
      </c>
      <c r="BW33" s="20"/>
      <c r="BX33" s="20"/>
      <c r="BY33" s="20"/>
      <c r="BZ33" s="20"/>
      <c r="CA33" s="20"/>
      <c r="CB33" s="20"/>
      <c r="CC33" s="20"/>
      <c r="CD33" s="20"/>
      <c r="CE33" s="20"/>
      <c r="CF33" s="20"/>
      <c r="CG33" s="20"/>
      <c r="CH33" s="20"/>
      <c r="CI33" s="22">
        <f t="shared" ref="CI33" si="352">SUM(BW33:CH33)</f>
        <v>0</v>
      </c>
      <c r="CK33" s="20"/>
      <c r="CL33" s="20"/>
      <c r="CM33" s="20"/>
      <c r="CN33" s="20"/>
      <c r="CO33" s="20"/>
      <c r="CP33" s="20"/>
      <c r="CQ33" s="20"/>
      <c r="CR33" s="20"/>
      <c r="CS33" s="20"/>
      <c r="CT33" s="20"/>
      <c r="CU33" s="20"/>
      <c r="CV33" s="20"/>
      <c r="CW33" s="22">
        <f t="shared" ref="CW33" si="353">SUM(CK33:CV33)</f>
        <v>0</v>
      </c>
      <c r="CY33" s="20"/>
      <c r="CZ33" s="20"/>
      <c r="DA33" s="20"/>
      <c r="DB33" s="20"/>
      <c r="DC33" s="20"/>
      <c r="DD33" s="20"/>
      <c r="DE33" s="20"/>
      <c r="DF33" s="20"/>
      <c r="DG33" s="20"/>
      <c r="DH33" s="20"/>
      <c r="DI33" s="20"/>
      <c r="DJ33" s="20"/>
      <c r="DK33" s="22">
        <f t="shared" ref="DK33" si="354">SUM(CY33:DJ33)</f>
        <v>0</v>
      </c>
      <c r="DM33" s="20"/>
      <c r="DN33" s="20"/>
      <c r="DO33" s="20"/>
      <c r="DP33" s="20"/>
      <c r="DQ33" s="20"/>
      <c r="DR33" s="20"/>
      <c r="DS33" s="20"/>
      <c r="DT33" s="20"/>
      <c r="DU33" s="20"/>
      <c r="DV33" s="20"/>
      <c r="DW33" s="20"/>
      <c r="DX33" s="20"/>
      <c r="DY33" s="22">
        <f t="shared" ref="DY33" si="355">SUM(DM33:DX33)</f>
        <v>0</v>
      </c>
      <c r="EA33" s="20"/>
      <c r="EB33" s="20"/>
      <c r="EC33" s="20"/>
      <c r="ED33" s="20"/>
      <c r="EE33" s="20"/>
      <c r="EF33" s="20"/>
      <c r="EG33" s="20"/>
      <c r="EH33" s="20"/>
      <c r="EI33" s="20"/>
      <c r="EJ33" s="20"/>
      <c r="EK33" s="20"/>
      <c r="EL33" s="20"/>
      <c r="EM33" s="22">
        <f t="shared" ref="EM33" si="356">SUM(EA33:EL33)</f>
        <v>0</v>
      </c>
    </row>
    <row r="34" spans="3:143" x14ac:dyDescent="0.2">
      <c r="C34" s="19" t="s">
        <v>58</v>
      </c>
      <c r="E34" s="20"/>
      <c r="F34" s="20"/>
      <c r="G34" s="20"/>
      <c r="H34" s="20"/>
      <c r="I34" s="20"/>
      <c r="J34" s="20">
        <v>350</v>
      </c>
      <c r="K34" s="20">
        <v>350</v>
      </c>
      <c r="L34" s="20">
        <v>350</v>
      </c>
      <c r="M34" s="20">
        <v>350</v>
      </c>
      <c r="N34" s="20">
        <v>350</v>
      </c>
      <c r="O34" s="20">
        <v>350</v>
      </c>
      <c r="P34" s="20">
        <v>350</v>
      </c>
      <c r="Q34" s="22">
        <f t="shared" si="349"/>
        <v>2450</v>
      </c>
      <c r="S34" s="20">
        <v>350</v>
      </c>
      <c r="T34" s="20">
        <v>350</v>
      </c>
      <c r="U34" s="20">
        <v>350</v>
      </c>
      <c r="V34" s="20">
        <v>350</v>
      </c>
      <c r="W34" s="20">
        <v>350</v>
      </c>
      <c r="X34" s="20">
        <v>350</v>
      </c>
      <c r="Y34" s="20">
        <v>350</v>
      </c>
      <c r="Z34" s="20">
        <v>350</v>
      </c>
      <c r="AA34" s="20">
        <v>350</v>
      </c>
      <c r="AB34" s="20">
        <v>350</v>
      </c>
      <c r="AC34" s="20">
        <v>350</v>
      </c>
      <c r="AD34" s="20">
        <v>350</v>
      </c>
      <c r="AE34" s="22">
        <f t="shared" ref="AE34:AE101" si="357">SUM(S34:AD34)</f>
        <v>4200</v>
      </c>
      <c r="AG34" s="20">
        <v>530</v>
      </c>
      <c r="AH34" s="20"/>
      <c r="AI34" s="20"/>
      <c r="AJ34" s="20"/>
      <c r="AK34" s="20"/>
      <c r="AL34" s="20"/>
      <c r="AM34" s="20"/>
      <c r="AN34" s="20"/>
      <c r="AO34" s="20"/>
      <c r="AP34" s="20"/>
      <c r="AQ34" s="20"/>
      <c r="AR34" s="20"/>
      <c r="AS34" s="22"/>
      <c r="AU34" s="20"/>
      <c r="AV34" s="20"/>
      <c r="AW34" s="20"/>
      <c r="AX34" s="20"/>
      <c r="AY34" s="20"/>
      <c r="AZ34" s="20"/>
      <c r="BA34" s="20"/>
      <c r="BB34" s="20"/>
      <c r="BC34" s="20"/>
      <c r="BD34" s="20"/>
      <c r="BE34" s="20"/>
      <c r="BF34" s="20"/>
      <c r="BG34" s="22">
        <f t="shared" ref="BG34:BG101" si="358">SUM(AU34:BF34)</f>
        <v>0</v>
      </c>
      <c r="BI34" s="20"/>
      <c r="BJ34" s="20"/>
      <c r="BK34" s="20"/>
      <c r="BL34" s="20"/>
      <c r="BM34" s="20"/>
      <c r="BN34" s="20"/>
      <c r="BO34" s="20"/>
      <c r="BP34" s="20"/>
      <c r="BQ34" s="20"/>
      <c r="BR34" s="20"/>
      <c r="BS34" s="20"/>
      <c r="BT34" s="20"/>
      <c r="BU34" s="22">
        <f t="shared" ref="BU34:BU101" si="359">SUM(BI34:BT34)</f>
        <v>0</v>
      </c>
      <c r="BW34" s="20"/>
      <c r="BX34" s="20"/>
      <c r="BY34" s="20"/>
      <c r="BZ34" s="20"/>
      <c r="CA34" s="20"/>
      <c r="CB34" s="20"/>
      <c r="CC34" s="20"/>
      <c r="CD34" s="20"/>
      <c r="CE34" s="20"/>
      <c r="CF34" s="20"/>
      <c r="CG34" s="20"/>
      <c r="CH34" s="20"/>
      <c r="CI34" s="22">
        <f t="shared" ref="CI34:CI101" si="360">SUM(BW34:CH34)</f>
        <v>0</v>
      </c>
      <c r="CK34" s="20"/>
      <c r="CL34" s="20"/>
      <c r="CM34" s="20"/>
      <c r="CN34" s="20"/>
      <c r="CO34" s="20"/>
      <c r="CP34" s="20"/>
      <c r="CQ34" s="20"/>
      <c r="CR34" s="20"/>
      <c r="CS34" s="20"/>
      <c r="CT34" s="20"/>
      <c r="CU34" s="20"/>
      <c r="CV34" s="20"/>
      <c r="CW34" s="22">
        <f t="shared" ref="CW34:CW101" si="361">SUM(CK34:CV34)</f>
        <v>0</v>
      </c>
      <c r="CY34" s="20"/>
      <c r="CZ34" s="20"/>
      <c r="DA34" s="20"/>
      <c r="DB34" s="20"/>
      <c r="DC34" s="20"/>
      <c r="DD34" s="20"/>
      <c r="DE34" s="20"/>
      <c r="DF34" s="20"/>
      <c r="DG34" s="20"/>
      <c r="DH34" s="20"/>
      <c r="DI34" s="20"/>
      <c r="DJ34" s="20"/>
      <c r="DK34" s="22">
        <f t="shared" ref="DK34:DK101" si="362">SUM(CY34:DJ34)</f>
        <v>0</v>
      </c>
      <c r="DM34" s="20"/>
      <c r="DN34" s="20"/>
      <c r="DO34" s="20"/>
      <c r="DP34" s="20"/>
      <c r="DQ34" s="20"/>
      <c r="DR34" s="20"/>
      <c r="DS34" s="20"/>
      <c r="DT34" s="20"/>
      <c r="DU34" s="20"/>
      <c r="DV34" s="20"/>
      <c r="DW34" s="20"/>
      <c r="DX34" s="20"/>
      <c r="DY34" s="22">
        <f t="shared" ref="DY34:DY101" si="363">SUM(DM34:DX34)</f>
        <v>0</v>
      </c>
      <c r="EA34" s="20"/>
      <c r="EB34" s="20"/>
      <c r="EC34" s="20"/>
      <c r="ED34" s="20"/>
      <c r="EE34" s="20"/>
      <c r="EF34" s="20"/>
      <c r="EG34" s="20"/>
      <c r="EH34" s="20"/>
      <c r="EI34" s="20"/>
      <c r="EJ34" s="20"/>
      <c r="EK34" s="20"/>
      <c r="EL34" s="20"/>
      <c r="EM34" s="22">
        <f t="shared" ref="EM34:EM101" si="364">SUM(EA34:EL34)</f>
        <v>0</v>
      </c>
    </row>
    <row r="35" spans="3:143" x14ac:dyDescent="0.2">
      <c r="C35" s="19" t="s">
        <v>59</v>
      </c>
      <c r="E35" s="20"/>
      <c r="F35" s="20"/>
      <c r="G35" s="20"/>
      <c r="H35" s="20"/>
      <c r="I35" s="20"/>
      <c r="J35" s="20">
        <v>100</v>
      </c>
      <c r="K35" s="20">
        <v>100</v>
      </c>
      <c r="L35" s="20">
        <v>100</v>
      </c>
      <c r="M35" s="20">
        <v>100</v>
      </c>
      <c r="N35" s="20">
        <v>100</v>
      </c>
      <c r="O35" s="20">
        <v>100</v>
      </c>
      <c r="P35" s="20">
        <v>100</v>
      </c>
      <c r="Q35" s="22">
        <f t="shared" si="349"/>
        <v>700</v>
      </c>
      <c r="S35" s="20">
        <v>100</v>
      </c>
      <c r="T35" s="20">
        <v>180</v>
      </c>
      <c r="U35" s="20">
        <v>180</v>
      </c>
      <c r="V35" s="20">
        <v>180</v>
      </c>
      <c r="W35" s="20">
        <v>180</v>
      </c>
      <c r="X35" s="20">
        <v>180</v>
      </c>
      <c r="Y35" s="20">
        <v>180</v>
      </c>
      <c r="Z35" s="20">
        <v>180</v>
      </c>
      <c r="AA35" s="20">
        <v>180</v>
      </c>
      <c r="AB35" s="20">
        <v>180</v>
      </c>
      <c r="AC35" s="20">
        <v>180</v>
      </c>
      <c r="AD35" s="20">
        <v>180</v>
      </c>
      <c r="AE35" s="22">
        <f t="shared" si="357"/>
        <v>2080</v>
      </c>
      <c r="AG35" s="20">
        <v>180</v>
      </c>
      <c r="AH35" s="20"/>
      <c r="AI35" s="20"/>
      <c r="AJ35" s="20"/>
      <c r="AK35" s="20"/>
      <c r="AL35" s="20"/>
      <c r="AM35" s="20"/>
      <c r="AN35" s="20"/>
      <c r="AO35" s="20"/>
      <c r="AP35" s="20"/>
      <c r="AQ35" s="20"/>
      <c r="AR35" s="20"/>
      <c r="AS35" s="22"/>
      <c r="AU35" s="20"/>
      <c r="AV35" s="20"/>
      <c r="AW35" s="20"/>
      <c r="AX35" s="20"/>
      <c r="AY35" s="20"/>
      <c r="AZ35" s="20"/>
      <c r="BA35" s="20"/>
      <c r="BB35" s="20"/>
      <c r="BC35" s="20"/>
      <c r="BD35" s="20"/>
      <c r="BE35" s="20"/>
      <c r="BF35" s="20"/>
      <c r="BG35" s="22">
        <f t="shared" si="358"/>
        <v>0</v>
      </c>
      <c r="BI35" s="20"/>
      <c r="BJ35" s="20"/>
      <c r="BK35" s="20"/>
      <c r="BL35" s="20"/>
      <c r="BM35" s="20"/>
      <c r="BN35" s="20"/>
      <c r="BO35" s="20"/>
      <c r="BP35" s="20"/>
      <c r="BQ35" s="20"/>
      <c r="BR35" s="20"/>
      <c r="BS35" s="20"/>
      <c r="BT35" s="20"/>
      <c r="BU35" s="22">
        <f t="shared" si="359"/>
        <v>0</v>
      </c>
      <c r="BW35" s="20"/>
      <c r="BX35" s="20"/>
      <c r="BY35" s="20"/>
      <c r="BZ35" s="20"/>
      <c r="CA35" s="20"/>
      <c r="CB35" s="20"/>
      <c r="CC35" s="20"/>
      <c r="CD35" s="20"/>
      <c r="CE35" s="20"/>
      <c r="CF35" s="20"/>
      <c r="CG35" s="20"/>
      <c r="CH35" s="20"/>
      <c r="CI35" s="22">
        <f t="shared" si="360"/>
        <v>0</v>
      </c>
      <c r="CK35" s="20"/>
      <c r="CL35" s="20"/>
      <c r="CM35" s="20"/>
      <c r="CN35" s="20"/>
      <c r="CO35" s="20"/>
      <c r="CP35" s="20"/>
      <c r="CQ35" s="20"/>
      <c r="CR35" s="20"/>
      <c r="CS35" s="20"/>
      <c r="CT35" s="20"/>
      <c r="CU35" s="20"/>
      <c r="CV35" s="20"/>
      <c r="CW35" s="22">
        <f t="shared" si="361"/>
        <v>0</v>
      </c>
      <c r="CY35" s="20"/>
      <c r="CZ35" s="20"/>
      <c r="DA35" s="20"/>
      <c r="DB35" s="20"/>
      <c r="DC35" s="20"/>
      <c r="DD35" s="20"/>
      <c r="DE35" s="20"/>
      <c r="DF35" s="20"/>
      <c r="DG35" s="20"/>
      <c r="DH35" s="20"/>
      <c r="DI35" s="20"/>
      <c r="DJ35" s="20"/>
      <c r="DK35" s="22">
        <f t="shared" si="362"/>
        <v>0</v>
      </c>
      <c r="DM35" s="20"/>
      <c r="DN35" s="20"/>
      <c r="DO35" s="20"/>
      <c r="DP35" s="20"/>
      <c r="DQ35" s="20"/>
      <c r="DR35" s="20"/>
      <c r="DS35" s="20"/>
      <c r="DT35" s="20"/>
      <c r="DU35" s="20"/>
      <c r="DV35" s="20"/>
      <c r="DW35" s="20"/>
      <c r="DX35" s="20"/>
      <c r="DY35" s="22">
        <f t="shared" si="363"/>
        <v>0</v>
      </c>
      <c r="EA35" s="20"/>
      <c r="EB35" s="20"/>
      <c r="EC35" s="20"/>
      <c r="ED35" s="20"/>
      <c r="EE35" s="20"/>
      <c r="EF35" s="20"/>
      <c r="EG35" s="20"/>
      <c r="EH35" s="20"/>
      <c r="EI35" s="20"/>
      <c r="EJ35" s="20"/>
      <c r="EK35" s="20"/>
      <c r="EL35" s="20"/>
      <c r="EM35" s="22">
        <f t="shared" si="364"/>
        <v>0</v>
      </c>
    </row>
    <row r="36" spans="3:143" x14ac:dyDescent="0.2">
      <c r="C36" s="19" t="s">
        <v>229</v>
      </c>
      <c r="E36" s="20"/>
      <c r="F36" s="20"/>
      <c r="G36" s="20"/>
      <c r="H36" s="20"/>
      <c r="I36" s="20"/>
      <c r="J36" s="20">
        <v>150</v>
      </c>
      <c r="K36" s="20">
        <v>150</v>
      </c>
      <c r="L36" s="20">
        <v>150</v>
      </c>
      <c r="M36" s="20">
        <v>150</v>
      </c>
      <c r="N36" s="20">
        <v>150</v>
      </c>
      <c r="O36" s="20">
        <v>150</v>
      </c>
      <c r="P36" s="20">
        <v>150</v>
      </c>
      <c r="Q36" s="22">
        <f t="shared" si="349"/>
        <v>1050</v>
      </c>
      <c r="S36" s="20">
        <v>0</v>
      </c>
      <c r="T36" s="20">
        <v>600</v>
      </c>
      <c r="U36" s="20">
        <v>0</v>
      </c>
      <c r="V36" s="20">
        <v>0</v>
      </c>
      <c r="W36" s="20">
        <v>0</v>
      </c>
      <c r="X36" s="20">
        <v>0</v>
      </c>
      <c r="Y36" s="20">
        <v>0</v>
      </c>
      <c r="Z36" s="20">
        <v>0</v>
      </c>
      <c r="AA36" s="20">
        <v>0</v>
      </c>
      <c r="AB36" s="20">
        <v>0</v>
      </c>
      <c r="AC36" s="20">
        <v>0</v>
      </c>
      <c r="AD36" s="20">
        <v>0</v>
      </c>
      <c r="AE36" s="22">
        <f t="shared" ref="AE36:AE90" si="365">SUM(S36:AD36)</f>
        <v>600</v>
      </c>
      <c r="AG36" s="20">
        <v>70</v>
      </c>
      <c r="AH36" s="20"/>
      <c r="AI36" s="20"/>
      <c r="AJ36" s="20"/>
      <c r="AK36" s="20"/>
      <c r="AL36" s="20"/>
      <c r="AM36" s="20"/>
      <c r="AN36" s="20"/>
      <c r="AO36" s="20"/>
      <c r="AP36" s="20"/>
      <c r="AQ36" s="20"/>
      <c r="AR36" s="20"/>
      <c r="AS36" s="22"/>
      <c r="AU36" s="20"/>
      <c r="AV36" s="20"/>
      <c r="AW36" s="20"/>
      <c r="AX36" s="20"/>
      <c r="AY36" s="20"/>
      <c r="AZ36" s="20"/>
      <c r="BA36" s="20"/>
      <c r="BB36" s="20"/>
      <c r="BC36" s="20"/>
      <c r="BD36" s="20"/>
      <c r="BE36" s="20"/>
      <c r="BF36" s="20"/>
      <c r="BG36" s="22">
        <f t="shared" ref="BG36:BG90" si="366">SUM(AU36:BF36)</f>
        <v>0</v>
      </c>
      <c r="BI36" s="20"/>
      <c r="BJ36" s="20"/>
      <c r="BK36" s="20"/>
      <c r="BL36" s="20"/>
      <c r="BM36" s="20"/>
      <c r="BN36" s="20"/>
      <c r="BO36" s="20"/>
      <c r="BP36" s="20"/>
      <c r="BQ36" s="20"/>
      <c r="BR36" s="20"/>
      <c r="BS36" s="20"/>
      <c r="BT36" s="20"/>
      <c r="BU36" s="22">
        <f t="shared" ref="BU36:BU90" si="367">SUM(BI36:BT36)</f>
        <v>0</v>
      </c>
      <c r="BW36" s="20"/>
      <c r="BX36" s="20"/>
      <c r="BY36" s="20"/>
      <c r="BZ36" s="20"/>
      <c r="CA36" s="20"/>
      <c r="CB36" s="20"/>
      <c r="CC36" s="20"/>
      <c r="CD36" s="20"/>
      <c r="CE36" s="20"/>
      <c r="CF36" s="20"/>
      <c r="CG36" s="20"/>
      <c r="CH36" s="20"/>
      <c r="CI36" s="22">
        <f t="shared" ref="CI36:CI90" si="368">SUM(BW36:CH36)</f>
        <v>0</v>
      </c>
      <c r="CK36" s="20"/>
      <c r="CL36" s="20"/>
      <c r="CM36" s="20"/>
      <c r="CN36" s="20"/>
      <c r="CO36" s="20"/>
      <c r="CP36" s="20"/>
      <c r="CQ36" s="20"/>
      <c r="CR36" s="20"/>
      <c r="CS36" s="20"/>
      <c r="CT36" s="20"/>
      <c r="CU36" s="20"/>
      <c r="CV36" s="20"/>
      <c r="CW36" s="22">
        <f t="shared" ref="CW36:CW90" si="369">SUM(CK36:CV36)</f>
        <v>0</v>
      </c>
      <c r="CY36" s="20"/>
      <c r="CZ36" s="20"/>
      <c r="DA36" s="20"/>
      <c r="DB36" s="20"/>
      <c r="DC36" s="20"/>
      <c r="DD36" s="20"/>
      <c r="DE36" s="20"/>
      <c r="DF36" s="20"/>
      <c r="DG36" s="20"/>
      <c r="DH36" s="20"/>
      <c r="DI36" s="20"/>
      <c r="DJ36" s="20"/>
      <c r="DK36" s="22">
        <f t="shared" ref="DK36:DK90" si="370">SUM(CY36:DJ36)</f>
        <v>0</v>
      </c>
      <c r="DM36" s="20"/>
      <c r="DN36" s="20"/>
      <c r="DO36" s="20"/>
      <c r="DP36" s="20"/>
      <c r="DQ36" s="20"/>
      <c r="DR36" s="20"/>
      <c r="DS36" s="20"/>
      <c r="DT36" s="20"/>
      <c r="DU36" s="20"/>
      <c r="DV36" s="20"/>
      <c r="DW36" s="20"/>
      <c r="DX36" s="20"/>
      <c r="DY36" s="22">
        <f t="shared" ref="DY36:DY90" si="371">SUM(DM36:DX36)</f>
        <v>0</v>
      </c>
      <c r="EA36" s="20"/>
      <c r="EB36" s="20"/>
      <c r="EC36" s="20"/>
      <c r="ED36" s="20"/>
      <c r="EE36" s="20"/>
      <c r="EF36" s="20"/>
      <c r="EG36" s="20"/>
      <c r="EH36" s="20"/>
      <c r="EI36" s="20"/>
      <c r="EJ36" s="20"/>
      <c r="EK36" s="20"/>
      <c r="EL36" s="20"/>
      <c r="EM36" s="22">
        <f t="shared" ref="EM36:EM90" si="372">SUM(EA36:EL36)</f>
        <v>0</v>
      </c>
    </row>
    <row r="37" spans="3:143" x14ac:dyDescent="0.2">
      <c r="C37" s="19" t="s">
        <v>44</v>
      </c>
      <c r="E37" s="20"/>
      <c r="F37" s="20"/>
      <c r="G37" s="20"/>
      <c r="H37" s="20"/>
      <c r="I37" s="20"/>
      <c r="J37" s="20">
        <v>200</v>
      </c>
      <c r="K37" s="20">
        <v>200</v>
      </c>
      <c r="L37" s="20">
        <v>200</v>
      </c>
      <c r="M37" s="20">
        <v>200</v>
      </c>
      <c r="N37" s="20">
        <v>200</v>
      </c>
      <c r="O37" s="20">
        <v>200</v>
      </c>
      <c r="P37" s="20">
        <v>200</v>
      </c>
      <c r="Q37" s="22">
        <f t="shared" si="349"/>
        <v>1400</v>
      </c>
      <c r="S37" s="20">
        <v>200</v>
      </c>
      <c r="T37" s="20">
        <v>200</v>
      </c>
      <c r="U37" s="20">
        <v>200</v>
      </c>
      <c r="V37" s="20">
        <v>200</v>
      </c>
      <c r="W37" s="20">
        <v>200</v>
      </c>
      <c r="X37" s="20">
        <v>200</v>
      </c>
      <c r="Y37" s="20">
        <v>200</v>
      </c>
      <c r="Z37" s="20">
        <v>200</v>
      </c>
      <c r="AA37" s="20">
        <v>200</v>
      </c>
      <c r="AB37" s="20">
        <v>200</v>
      </c>
      <c r="AC37" s="20">
        <v>200</v>
      </c>
      <c r="AD37" s="20">
        <v>200</v>
      </c>
      <c r="AE37" s="22">
        <f t="shared" ref="AE37:AE61" si="373">SUM(S37:AD37)</f>
        <v>2400</v>
      </c>
      <c r="AG37" s="20">
        <v>380</v>
      </c>
      <c r="AH37" s="20"/>
      <c r="AI37" s="20"/>
      <c r="AJ37" s="20"/>
      <c r="AK37" s="20"/>
      <c r="AL37" s="20"/>
      <c r="AM37" s="20"/>
      <c r="AN37" s="20"/>
      <c r="AO37" s="20"/>
      <c r="AP37" s="20"/>
      <c r="AQ37" s="20"/>
      <c r="AR37" s="20"/>
      <c r="AS37" s="22"/>
      <c r="AU37" s="20"/>
      <c r="AV37" s="20"/>
      <c r="AW37" s="20"/>
      <c r="AX37" s="20"/>
      <c r="AY37" s="20"/>
      <c r="AZ37" s="20"/>
      <c r="BA37" s="20"/>
      <c r="BB37" s="20"/>
      <c r="BC37" s="20"/>
      <c r="BD37" s="20"/>
      <c r="BE37" s="20"/>
      <c r="BF37" s="20"/>
      <c r="BG37" s="22">
        <f t="shared" ref="BG37:BG61" si="374">SUM(AU37:BF37)</f>
        <v>0</v>
      </c>
      <c r="BI37" s="20"/>
      <c r="BJ37" s="20"/>
      <c r="BK37" s="20"/>
      <c r="BL37" s="20"/>
      <c r="BM37" s="20"/>
      <c r="BN37" s="20"/>
      <c r="BO37" s="20"/>
      <c r="BP37" s="20"/>
      <c r="BQ37" s="20"/>
      <c r="BR37" s="20"/>
      <c r="BS37" s="20"/>
      <c r="BT37" s="20"/>
      <c r="BU37" s="22">
        <f t="shared" ref="BU37:BU61" si="375">SUM(BI37:BT37)</f>
        <v>0</v>
      </c>
      <c r="BW37" s="20"/>
      <c r="BX37" s="20"/>
      <c r="BY37" s="20"/>
      <c r="BZ37" s="20"/>
      <c r="CA37" s="20"/>
      <c r="CB37" s="20"/>
      <c r="CC37" s="20"/>
      <c r="CD37" s="20"/>
      <c r="CE37" s="20"/>
      <c r="CF37" s="20"/>
      <c r="CG37" s="20"/>
      <c r="CH37" s="20"/>
      <c r="CI37" s="22">
        <f t="shared" ref="CI37:CI61" si="376">SUM(BW37:CH37)</f>
        <v>0</v>
      </c>
      <c r="CK37" s="20"/>
      <c r="CL37" s="20"/>
      <c r="CM37" s="20"/>
      <c r="CN37" s="20"/>
      <c r="CO37" s="20"/>
      <c r="CP37" s="20"/>
      <c r="CQ37" s="20"/>
      <c r="CR37" s="20"/>
      <c r="CS37" s="20"/>
      <c r="CT37" s="20"/>
      <c r="CU37" s="20"/>
      <c r="CV37" s="20"/>
      <c r="CW37" s="22">
        <f t="shared" ref="CW37:CW61" si="377">SUM(CK37:CV37)</f>
        <v>0</v>
      </c>
      <c r="CY37" s="20"/>
      <c r="CZ37" s="20"/>
      <c r="DA37" s="20"/>
      <c r="DB37" s="20"/>
      <c r="DC37" s="20"/>
      <c r="DD37" s="20"/>
      <c r="DE37" s="20"/>
      <c r="DF37" s="20"/>
      <c r="DG37" s="20"/>
      <c r="DH37" s="20"/>
      <c r="DI37" s="20"/>
      <c r="DJ37" s="20"/>
      <c r="DK37" s="22">
        <f t="shared" ref="DK37:DK61" si="378">SUM(CY37:DJ37)</f>
        <v>0</v>
      </c>
      <c r="DM37" s="20"/>
      <c r="DN37" s="20"/>
      <c r="DO37" s="20"/>
      <c r="DP37" s="20"/>
      <c r="DQ37" s="20"/>
      <c r="DR37" s="20"/>
      <c r="DS37" s="20"/>
      <c r="DT37" s="20"/>
      <c r="DU37" s="20"/>
      <c r="DV37" s="20"/>
      <c r="DW37" s="20"/>
      <c r="DX37" s="20"/>
      <c r="DY37" s="22">
        <f t="shared" ref="DY37:DY61" si="379">SUM(DM37:DX37)</f>
        <v>0</v>
      </c>
      <c r="EA37" s="20"/>
      <c r="EB37" s="20"/>
      <c r="EC37" s="20"/>
      <c r="ED37" s="20"/>
      <c r="EE37" s="20"/>
      <c r="EF37" s="20"/>
      <c r="EG37" s="20"/>
      <c r="EH37" s="20"/>
      <c r="EI37" s="20"/>
      <c r="EJ37" s="20"/>
      <c r="EK37" s="20"/>
      <c r="EL37" s="20"/>
      <c r="EM37" s="22">
        <f t="shared" ref="EM37:EM61" si="380">SUM(EA37:EL37)</f>
        <v>0</v>
      </c>
    </row>
    <row r="38" spans="3:143" x14ac:dyDescent="0.2">
      <c r="C38" s="19" t="s">
        <v>60</v>
      </c>
      <c r="E38" s="20"/>
      <c r="F38" s="20"/>
      <c r="G38" s="20"/>
      <c r="H38" s="20"/>
      <c r="I38" s="20"/>
      <c r="J38" s="20">
        <v>20</v>
      </c>
      <c r="K38" s="20">
        <v>20</v>
      </c>
      <c r="L38" s="20">
        <v>20</v>
      </c>
      <c r="M38" s="20">
        <v>20</v>
      </c>
      <c r="N38" s="20">
        <v>20</v>
      </c>
      <c r="O38" s="20">
        <v>20</v>
      </c>
      <c r="P38" s="20">
        <v>20</v>
      </c>
      <c r="Q38" s="22">
        <f t="shared" si="349"/>
        <v>140</v>
      </c>
      <c r="S38" s="20">
        <v>50</v>
      </c>
      <c r="T38" s="20">
        <v>50</v>
      </c>
      <c r="U38" s="20">
        <v>50</v>
      </c>
      <c r="V38" s="20">
        <v>50</v>
      </c>
      <c r="W38" s="20">
        <v>50</v>
      </c>
      <c r="X38" s="20">
        <v>50</v>
      </c>
      <c r="Y38" s="20">
        <v>50</v>
      </c>
      <c r="Z38" s="20">
        <v>50</v>
      </c>
      <c r="AA38" s="20">
        <v>50</v>
      </c>
      <c r="AB38" s="20">
        <v>50</v>
      </c>
      <c r="AC38" s="20">
        <v>50</v>
      </c>
      <c r="AD38" s="20">
        <v>50</v>
      </c>
      <c r="AE38" s="22">
        <f t="shared" si="373"/>
        <v>600</v>
      </c>
      <c r="AG38" s="20">
        <v>110</v>
      </c>
      <c r="AH38" s="20"/>
      <c r="AI38" s="20"/>
      <c r="AJ38" s="20"/>
      <c r="AK38" s="20"/>
      <c r="AL38" s="20"/>
      <c r="AM38" s="20"/>
      <c r="AN38" s="20"/>
      <c r="AO38" s="20"/>
      <c r="AP38" s="20"/>
      <c r="AQ38" s="20"/>
      <c r="AR38" s="20"/>
      <c r="AS38" s="22"/>
      <c r="AU38" s="20"/>
      <c r="AV38" s="20"/>
      <c r="AW38" s="20"/>
      <c r="AX38" s="20"/>
      <c r="AY38" s="20"/>
      <c r="AZ38" s="20"/>
      <c r="BA38" s="20"/>
      <c r="BB38" s="20"/>
      <c r="BC38" s="20"/>
      <c r="BD38" s="20"/>
      <c r="BE38" s="20"/>
      <c r="BF38" s="20"/>
      <c r="BG38" s="22">
        <f t="shared" si="374"/>
        <v>0</v>
      </c>
      <c r="BI38" s="20"/>
      <c r="BJ38" s="20"/>
      <c r="BK38" s="20"/>
      <c r="BL38" s="20"/>
      <c r="BM38" s="20"/>
      <c r="BN38" s="20"/>
      <c r="BO38" s="20"/>
      <c r="BP38" s="20"/>
      <c r="BQ38" s="20"/>
      <c r="BR38" s="20"/>
      <c r="BS38" s="20"/>
      <c r="BT38" s="20"/>
      <c r="BU38" s="22">
        <f t="shared" si="375"/>
        <v>0</v>
      </c>
      <c r="BW38" s="20"/>
      <c r="BX38" s="20"/>
      <c r="BY38" s="20"/>
      <c r="BZ38" s="20"/>
      <c r="CA38" s="20"/>
      <c r="CB38" s="20"/>
      <c r="CC38" s="20"/>
      <c r="CD38" s="20"/>
      <c r="CE38" s="20"/>
      <c r="CF38" s="20"/>
      <c r="CG38" s="20"/>
      <c r="CH38" s="20"/>
      <c r="CI38" s="22">
        <f t="shared" si="376"/>
        <v>0</v>
      </c>
      <c r="CK38" s="20"/>
      <c r="CL38" s="20"/>
      <c r="CM38" s="20"/>
      <c r="CN38" s="20"/>
      <c r="CO38" s="20"/>
      <c r="CP38" s="20"/>
      <c r="CQ38" s="20"/>
      <c r="CR38" s="20"/>
      <c r="CS38" s="20"/>
      <c r="CT38" s="20"/>
      <c r="CU38" s="20"/>
      <c r="CV38" s="20"/>
      <c r="CW38" s="22">
        <f t="shared" si="377"/>
        <v>0</v>
      </c>
      <c r="CY38" s="20"/>
      <c r="CZ38" s="20"/>
      <c r="DA38" s="20"/>
      <c r="DB38" s="20"/>
      <c r="DC38" s="20"/>
      <c r="DD38" s="20"/>
      <c r="DE38" s="20"/>
      <c r="DF38" s="20"/>
      <c r="DG38" s="20"/>
      <c r="DH38" s="20"/>
      <c r="DI38" s="20"/>
      <c r="DJ38" s="20"/>
      <c r="DK38" s="22">
        <f t="shared" si="378"/>
        <v>0</v>
      </c>
      <c r="DM38" s="20"/>
      <c r="DN38" s="20"/>
      <c r="DO38" s="20"/>
      <c r="DP38" s="20"/>
      <c r="DQ38" s="20"/>
      <c r="DR38" s="20"/>
      <c r="DS38" s="20"/>
      <c r="DT38" s="20"/>
      <c r="DU38" s="20"/>
      <c r="DV38" s="20"/>
      <c r="DW38" s="20"/>
      <c r="DX38" s="20"/>
      <c r="DY38" s="22">
        <f t="shared" si="379"/>
        <v>0</v>
      </c>
      <c r="EA38" s="20"/>
      <c r="EB38" s="20"/>
      <c r="EC38" s="20"/>
      <c r="ED38" s="20"/>
      <c r="EE38" s="20"/>
      <c r="EF38" s="20"/>
      <c r="EG38" s="20"/>
      <c r="EH38" s="20"/>
      <c r="EI38" s="20"/>
      <c r="EJ38" s="20"/>
      <c r="EK38" s="20"/>
      <c r="EL38" s="20"/>
      <c r="EM38" s="22">
        <f t="shared" si="380"/>
        <v>0</v>
      </c>
    </row>
    <row r="39" spans="3:143" hidden="1" x14ac:dyDescent="0.2">
      <c r="C39" s="19" t="s">
        <v>61</v>
      </c>
      <c r="E39" s="20"/>
      <c r="F39" s="20"/>
      <c r="G39" s="20"/>
      <c r="H39" s="20"/>
      <c r="I39" s="20"/>
      <c r="J39" s="20"/>
      <c r="K39" s="20"/>
      <c r="L39" s="20"/>
      <c r="M39" s="20"/>
      <c r="N39" s="20"/>
      <c r="O39" s="20"/>
      <c r="P39" s="20"/>
      <c r="Q39" s="22">
        <f t="shared" ref="Q39:Q61" si="381">SUM(E39:P39)</f>
        <v>0</v>
      </c>
      <c r="S39" s="20"/>
      <c r="T39" s="20"/>
      <c r="U39" s="20"/>
      <c r="V39" s="20"/>
      <c r="W39" s="20"/>
      <c r="X39" s="20"/>
      <c r="Y39" s="20"/>
      <c r="Z39" s="20"/>
      <c r="AA39" s="20"/>
      <c r="AB39" s="20"/>
      <c r="AC39" s="20"/>
      <c r="AD39" s="20"/>
      <c r="AE39" s="22">
        <f t="shared" si="373"/>
        <v>0</v>
      </c>
      <c r="AG39" s="20"/>
      <c r="AH39" s="20"/>
      <c r="AI39" s="20"/>
      <c r="AJ39" s="20"/>
      <c r="AK39" s="20"/>
      <c r="AL39" s="20"/>
      <c r="AM39" s="20"/>
      <c r="AN39" s="20"/>
      <c r="AO39" s="20"/>
      <c r="AP39" s="20"/>
      <c r="AQ39" s="20"/>
      <c r="AR39" s="20"/>
      <c r="AS39" s="22">
        <f t="shared" ref="AS39:AS61" si="382">SUM(AG39:AR39)</f>
        <v>0</v>
      </c>
      <c r="AU39" s="20"/>
      <c r="AV39" s="20"/>
      <c r="AW39" s="20"/>
      <c r="AX39" s="20"/>
      <c r="AY39" s="20"/>
      <c r="AZ39" s="20"/>
      <c r="BA39" s="20"/>
      <c r="BB39" s="20"/>
      <c r="BC39" s="20"/>
      <c r="BD39" s="20"/>
      <c r="BE39" s="20"/>
      <c r="BF39" s="20"/>
      <c r="BG39" s="22">
        <f t="shared" si="374"/>
        <v>0</v>
      </c>
      <c r="BI39" s="20"/>
      <c r="BJ39" s="20"/>
      <c r="BK39" s="20"/>
      <c r="BL39" s="20"/>
      <c r="BM39" s="20"/>
      <c r="BN39" s="20"/>
      <c r="BO39" s="20"/>
      <c r="BP39" s="20"/>
      <c r="BQ39" s="20"/>
      <c r="BR39" s="20"/>
      <c r="BS39" s="20"/>
      <c r="BT39" s="20"/>
      <c r="BU39" s="22">
        <f t="shared" si="375"/>
        <v>0</v>
      </c>
      <c r="BW39" s="20"/>
      <c r="BX39" s="20"/>
      <c r="BY39" s="20"/>
      <c r="BZ39" s="20"/>
      <c r="CA39" s="20"/>
      <c r="CB39" s="20"/>
      <c r="CC39" s="20"/>
      <c r="CD39" s="20"/>
      <c r="CE39" s="20"/>
      <c r="CF39" s="20"/>
      <c r="CG39" s="20"/>
      <c r="CH39" s="20"/>
      <c r="CI39" s="22">
        <f t="shared" si="376"/>
        <v>0</v>
      </c>
      <c r="CK39" s="20"/>
      <c r="CL39" s="20"/>
      <c r="CM39" s="20"/>
      <c r="CN39" s="20"/>
      <c r="CO39" s="20"/>
      <c r="CP39" s="20"/>
      <c r="CQ39" s="20"/>
      <c r="CR39" s="20"/>
      <c r="CS39" s="20"/>
      <c r="CT39" s="20"/>
      <c r="CU39" s="20"/>
      <c r="CV39" s="20"/>
      <c r="CW39" s="22">
        <f t="shared" si="377"/>
        <v>0</v>
      </c>
      <c r="CY39" s="20"/>
      <c r="CZ39" s="20"/>
      <c r="DA39" s="20"/>
      <c r="DB39" s="20"/>
      <c r="DC39" s="20"/>
      <c r="DD39" s="20"/>
      <c r="DE39" s="20"/>
      <c r="DF39" s="20"/>
      <c r="DG39" s="20"/>
      <c r="DH39" s="20"/>
      <c r="DI39" s="20"/>
      <c r="DJ39" s="20"/>
      <c r="DK39" s="22">
        <f t="shared" si="378"/>
        <v>0</v>
      </c>
      <c r="DM39" s="20"/>
      <c r="DN39" s="20"/>
      <c r="DO39" s="20"/>
      <c r="DP39" s="20"/>
      <c r="DQ39" s="20"/>
      <c r="DR39" s="20"/>
      <c r="DS39" s="20"/>
      <c r="DT39" s="20"/>
      <c r="DU39" s="20"/>
      <c r="DV39" s="20"/>
      <c r="DW39" s="20"/>
      <c r="DX39" s="20"/>
      <c r="DY39" s="22">
        <f t="shared" si="379"/>
        <v>0</v>
      </c>
      <c r="EA39" s="20"/>
      <c r="EB39" s="20"/>
      <c r="EC39" s="20"/>
      <c r="ED39" s="20"/>
      <c r="EE39" s="20"/>
      <c r="EF39" s="20"/>
      <c r="EG39" s="20"/>
      <c r="EH39" s="20"/>
      <c r="EI39" s="20"/>
      <c r="EJ39" s="20"/>
      <c r="EK39" s="20"/>
      <c r="EL39" s="20"/>
      <c r="EM39" s="22">
        <f t="shared" si="380"/>
        <v>0</v>
      </c>
    </row>
    <row r="40" spans="3:143" hidden="1" x14ac:dyDescent="0.2">
      <c r="C40" s="19" t="s">
        <v>61</v>
      </c>
      <c r="E40" s="20"/>
      <c r="F40" s="20"/>
      <c r="G40" s="20"/>
      <c r="H40" s="20"/>
      <c r="I40" s="20"/>
      <c r="J40" s="20"/>
      <c r="K40" s="20"/>
      <c r="L40" s="20"/>
      <c r="M40" s="20"/>
      <c r="N40" s="20"/>
      <c r="O40" s="20"/>
      <c r="P40" s="20"/>
      <c r="Q40" s="22">
        <f t="shared" si="381"/>
        <v>0</v>
      </c>
      <c r="S40" s="20"/>
      <c r="T40" s="20"/>
      <c r="U40" s="20"/>
      <c r="V40" s="20"/>
      <c r="W40" s="20"/>
      <c r="X40" s="20"/>
      <c r="Y40" s="20"/>
      <c r="Z40" s="20"/>
      <c r="AA40" s="20"/>
      <c r="AB40" s="20"/>
      <c r="AC40" s="20"/>
      <c r="AD40" s="20"/>
      <c r="AE40" s="22">
        <f t="shared" si="373"/>
        <v>0</v>
      </c>
      <c r="AG40" s="20"/>
      <c r="AH40" s="20"/>
      <c r="AI40" s="20"/>
      <c r="AJ40" s="20"/>
      <c r="AK40" s="20"/>
      <c r="AL40" s="20"/>
      <c r="AM40" s="20"/>
      <c r="AN40" s="20"/>
      <c r="AO40" s="20"/>
      <c r="AP40" s="20"/>
      <c r="AQ40" s="20"/>
      <c r="AR40" s="20"/>
      <c r="AS40" s="22">
        <f t="shared" si="382"/>
        <v>0</v>
      </c>
      <c r="AU40" s="20"/>
      <c r="AV40" s="20"/>
      <c r="AW40" s="20"/>
      <c r="AX40" s="20"/>
      <c r="AY40" s="20"/>
      <c r="AZ40" s="20"/>
      <c r="BA40" s="20"/>
      <c r="BB40" s="20"/>
      <c r="BC40" s="20"/>
      <c r="BD40" s="20"/>
      <c r="BE40" s="20"/>
      <c r="BF40" s="20"/>
      <c r="BG40" s="22">
        <f t="shared" si="374"/>
        <v>0</v>
      </c>
      <c r="BI40" s="20"/>
      <c r="BJ40" s="20"/>
      <c r="BK40" s="20"/>
      <c r="BL40" s="20"/>
      <c r="BM40" s="20"/>
      <c r="BN40" s="20"/>
      <c r="BO40" s="20"/>
      <c r="BP40" s="20"/>
      <c r="BQ40" s="20"/>
      <c r="BR40" s="20"/>
      <c r="BS40" s="20"/>
      <c r="BT40" s="20"/>
      <c r="BU40" s="22">
        <f t="shared" si="375"/>
        <v>0</v>
      </c>
      <c r="BW40" s="20"/>
      <c r="BX40" s="20"/>
      <c r="BY40" s="20"/>
      <c r="BZ40" s="20"/>
      <c r="CA40" s="20"/>
      <c r="CB40" s="20"/>
      <c r="CC40" s="20"/>
      <c r="CD40" s="20"/>
      <c r="CE40" s="20"/>
      <c r="CF40" s="20"/>
      <c r="CG40" s="20"/>
      <c r="CH40" s="20"/>
      <c r="CI40" s="22">
        <f t="shared" si="376"/>
        <v>0</v>
      </c>
      <c r="CK40" s="20"/>
      <c r="CL40" s="20"/>
      <c r="CM40" s="20"/>
      <c r="CN40" s="20"/>
      <c r="CO40" s="20"/>
      <c r="CP40" s="20"/>
      <c r="CQ40" s="20"/>
      <c r="CR40" s="20"/>
      <c r="CS40" s="20"/>
      <c r="CT40" s="20"/>
      <c r="CU40" s="20"/>
      <c r="CV40" s="20"/>
      <c r="CW40" s="22">
        <f t="shared" si="377"/>
        <v>0</v>
      </c>
      <c r="CY40" s="20"/>
      <c r="CZ40" s="20"/>
      <c r="DA40" s="20"/>
      <c r="DB40" s="20"/>
      <c r="DC40" s="20"/>
      <c r="DD40" s="20"/>
      <c r="DE40" s="20"/>
      <c r="DF40" s="20"/>
      <c r="DG40" s="20"/>
      <c r="DH40" s="20"/>
      <c r="DI40" s="20"/>
      <c r="DJ40" s="20"/>
      <c r="DK40" s="22">
        <f t="shared" si="378"/>
        <v>0</v>
      </c>
      <c r="DM40" s="20"/>
      <c r="DN40" s="20"/>
      <c r="DO40" s="20"/>
      <c r="DP40" s="20"/>
      <c r="DQ40" s="20"/>
      <c r="DR40" s="20"/>
      <c r="DS40" s="20"/>
      <c r="DT40" s="20"/>
      <c r="DU40" s="20"/>
      <c r="DV40" s="20"/>
      <c r="DW40" s="20"/>
      <c r="DX40" s="20"/>
      <c r="DY40" s="22">
        <f t="shared" si="379"/>
        <v>0</v>
      </c>
      <c r="EA40" s="20"/>
      <c r="EB40" s="20"/>
      <c r="EC40" s="20"/>
      <c r="ED40" s="20"/>
      <c r="EE40" s="20"/>
      <c r="EF40" s="20"/>
      <c r="EG40" s="20"/>
      <c r="EH40" s="20"/>
      <c r="EI40" s="20"/>
      <c r="EJ40" s="20"/>
      <c r="EK40" s="20"/>
      <c r="EL40" s="20"/>
      <c r="EM40" s="22">
        <f t="shared" si="380"/>
        <v>0</v>
      </c>
    </row>
    <row r="41" spans="3:143" hidden="1" x14ac:dyDescent="0.2">
      <c r="C41" s="19" t="s">
        <v>61</v>
      </c>
      <c r="E41" s="20"/>
      <c r="F41" s="20"/>
      <c r="G41" s="20"/>
      <c r="H41" s="20"/>
      <c r="I41" s="20"/>
      <c r="J41" s="20"/>
      <c r="K41" s="20"/>
      <c r="L41" s="20"/>
      <c r="M41" s="20"/>
      <c r="N41" s="20"/>
      <c r="O41" s="20"/>
      <c r="P41" s="20"/>
      <c r="Q41" s="22">
        <f t="shared" si="381"/>
        <v>0</v>
      </c>
      <c r="S41" s="20"/>
      <c r="T41" s="20"/>
      <c r="U41" s="20"/>
      <c r="V41" s="20"/>
      <c r="W41" s="20"/>
      <c r="X41" s="20"/>
      <c r="Y41" s="20"/>
      <c r="Z41" s="20"/>
      <c r="AA41" s="20"/>
      <c r="AB41" s="20"/>
      <c r="AC41" s="20"/>
      <c r="AD41" s="20"/>
      <c r="AE41" s="22">
        <f t="shared" si="373"/>
        <v>0</v>
      </c>
      <c r="AG41" s="20"/>
      <c r="AH41" s="20"/>
      <c r="AI41" s="20"/>
      <c r="AJ41" s="20"/>
      <c r="AK41" s="20"/>
      <c r="AL41" s="20"/>
      <c r="AM41" s="20"/>
      <c r="AN41" s="20"/>
      <c r="AO41" s="20"/>
      <c r="AP41" s="20"/>
      <c r="AQ41" s="20"/>
      <c r="AR41" s="20"/>
      <c r="AS41" s="22">
        <f t="shared" si="382"/>
        <v>0</v>
      </c>
      <c r="AU41" s="20"/>
      <c r="AV41" s="20"/>
      <c r="AW41" s="20"/>
      <c r="AX41" s="20"/>
      <c r="AY41" s="20"/>
      <c r="AZ41" s="20"/>
      <c r="BA41" s="20"/>
      <c r="BB41" s="20"/>
      <c r="BC41" s="20"/>
      <c r="BD41" s="20"/>
      <c r="BE41" s="20"/>
      <c r="BF41" s="20"/>
      <c r="BG41" s="22">
        <f t="shared" si="374"/>
        <v>0</v>
      </c>
      <c r="BI41" s="20"/>
      <c r="BJ41" s="20"/>
      <c r="BK41" s="20"/>
      <c r="BL41" s="20"/>
      <c r="BM41" s="20"/>
      <c r="BN41" s="20"/>
      <c r="BO41" s="20"/>
      <c r="BP41" s="20"/>
      <c r="BQ41" s="20"/>
      <c r="BR41" s="20"/>
      <c r="BS41" s="20"/>
      <c r="BT41" s="20"/>
      <c r="BU41" s="22">
        <f t="shared" si="375"/>
        <v>0</v>
      </c>
      <c r="BW41" s="20"/>
      <c r="BX41" s="20"/>
      <c r="BY41" s="20"/>
      <c r="BZ41" s="20"/>
      <c r="CA41" s="20"/>
      <c r="CB41" s="20"/>
      <c r="CC41" s="20"/>
      <c r="CD41" s="20"/>
      <c r="CE41" s="20"/>
      <c r="CF41" s="20"/>
      <c r="CG41" s="20"/>
      <c r="CH41" s="20"/>
      <c r="CI41" s="22">
        <f t="shared" si="376"/>
        <v>0</v>
      </c>
      <c r="CK41" s="20"/>
      <c r="CL41" s="20"/>
      <c r="CM41" s="20"/>
      <c r="CN41" s="20"/>
      <c r="CO41" s="20"/>
      <c r="CP41" s="20"/>
      <c r="CQ41" s="20"/>
      <c r="CR41" s="20"/>
      <c r="CS41" s="20"/>
      <c r="CT41" s="20"/>
      <c r="CU41" s="20"/>
      <c r="CV41" s="20"/>
      <c r="CW41" s="22">
        <f t="shared" si="377"/>
        <v>0</v>
      </c>
      <c r="CY41" s="20"/>
      <c r="CZ41" s="20"/>
      <c r="DA41" s="20"/>
      <c r="DB41" s="20"/>
      <c r="DC41" s="20"/>
      <c r="DD41" s="20"/>
      <c r="DE41" s="20"/>
      <c r="DF41" s="20"/>
      <c r="DG41" s="20"/>
      <c r="DH41" s="20"/>
      <c r="DI41" s="20"/>
      <c r="DJ41" s="20"/>
      <c r="DK41" s="22">
        <f t="shared" si="378"/>
        <v>0</v>
      </c>
      <c r="DM41" s="20"/>
      <c r="DN41" s="20"/>
      <c r="DO41" s="20"/>
      <c r="DP41" s="20"/>
      <c r="DQ41" s="20"/>
      <c r="DR41" s="20"/>
      <c r="DS41" s="20"/>
      <c r="DT41" s="20"/>
      <c r="DU41" s="20"/>
      <c r="DV41" s="20"/>
      <c r="DW41" s="20"/>
      <c r="DX41" s="20"/>
      <c r="DY41" s="22">
        <f t="shared" si="379"/>
        <v>0</v>
      </c>
      <c r="EA41" s="20"/>
      <c r="EB41" s="20"/>
      <c r="EC41" s="20"/>
      <c r="ED41" s="20"/>
      <c r="EE41" s="20"/>
      <c r="EF41" s="20"/>
      <c r="EG41" s="20"/>
      <c r="EH41" s="20"/>
      <c r="EI41" s="20"/>
      <c r="EJ41" s="20"/>
      <c r="EK41" s="20"/>
      <c r="EL41" s="20"/>
      <c r="EM41" s="22">
        <f t="shared" si="380"/>
        <v>0</v>
      </c>
    </row>
    <row r="42" spans="3:143" hidden="1" x14ac:dyDescent="0.2">
      <c r="C42" s="19" t="s">
        <v>61</v>
      </c>
      <c r="E42" s="20"/>
      <c r="F42" s="20"/>
      <c r="G42" s="20"/>
      <c r="H42" s="20"/>
      <c r="I42" s="20"/>
      <c r="J42" s="20"/>
      <c r="K42" s="20"/>
      <c r="L42" s="20"/>
      <c r="M42" s="20"/>
      <c r="N42" s="20"/>
      <c r="O42" s="20"/>
      <c r="P42" s="20"/>
      <c r="Q42" s="22">
        <f t="shared" si="381"/>
        <v>0</v>
      </c>
      <c r="S42" s="20"/>
      <c r="T42" s="20"/>
      <c r="U42" s="20"/>
      <c r="V42" s="20"/>
      <c r="W42" s="20"/>
      <c r="X42" s="20"/>
      <c r="Y42" s="20"/>
      <c r="Z42" s="20"/>
      <c r="AA42" s="20"/>
      <c r="AB42" s="20"/>
      <c r="AC42" s="20"/>
      <c r="AD42" s="20"/>
      <c r="AE42" s="22">
        <f t="shared" si="373"/>
        <v>0</v>
      </c>
      <c r="AG42" s="20"/>
      <c r="AH42" s="20"/>
      <c r="AI42" s="20"/>
      <c r="AJ42" s="20"/>
      <c r="AK42" s="20"/>
      <c r="AL42" s="20"/>
      <c r="AM42" s="20"/>
      <c r="AN42" s="20"/>
      <c r="AO42" s="20"/>
      <c r="AP42" s="20"/>
      <c r="AQ42" s="20"/>
      <c r="AR42" s="20"/>
      <c r="AS42" s="22">
        <f t="shared" si="382"/>
        <v>0</v>
      </c>
      <c r="AU42" s="20"/>
      <c r="AV42" s="20"/>
      <c r="AW42" s="20"/>
      <c r="AX42" s="20"/>
      <c r="AY42" s="20"/>
      <c r="AZ42" s="20"/>
      <c r="BA42" s="20"/>
      <c r="BB42" s="20"/>
      <c r="BC42" s="20"/>
      <c r="BD42" s="20"/>
      <c r="BE42" s="20"/>
      <c r="BF42" s="20"/>
      <c r="BG42" s="22">
        <f t="shared" si="374"/>
        <v>0</v>
      </c>
      <c r="BI42" s="20"/>
      <c r="BJ42" s="20"/>
      <c r="BK42" s="20"/>
      <c r="BL42" s="20"/>
      <c r="BM42" s="20"/>
      <c r="BN42" s="20"/>
      <c r="BO42" s="20"/>
      <c r="BP42" s="20"/>
      <c r="BQ42" s="20"/>
      <c r="BR42" s="20"/>
      <c r="BS42" s="20"/>
      <c r="BT42" s="20"/>
      <c r="BU42" s="22">
        <f t="shared" si="375"/>
        <v>0</v>
      </c>
      <c r="BW42" s="20"/>
      <c r="BX42" s="20"/>
      <c r="BY42" s="20"/>
      <c r="BZ42" s="20"/>
      <c r="CA42" s="20"/>
      <c r="CB42" s="20"/>
      <c r="CC42" s="20"/>
      <c r="CD42" s="20"/>
      <c r="CE42" s="20"/>
      <c r="CF42" s="20"/>
      <c r="CG42" s="20"/>
      <c r="CH42" s="20"/>
      <c r="CI42" s="22">
        <f t="shared" si="376"/>
        <v>0</v>
      </c>
      <c r="CK42" s="20"/>
      <c r="CL42" s="20"/>
      <c r="CM42" s="20"/>
      <c r="CN42" s="20"/>
      <c r="CO42" s="20"/>
      <c r="CP42" s="20"/>
      <c r="CQ42" s="20"/>
      <c r="CR42" s="20"/>
      <c r="CS42" s="20"/>
      <c r="CT42" s="20"/>
      <c r="CU42" s="20"/>
      <c r="CV42" s="20"/>
      <c r="CW42" s="22">
        <f t="shared" si="377"/>
        <v>0</v>
      </c>
      <c r="CY42" s="20"/>
      <c r="CZ42" s="20"/>
      <c r="DA42" s="20"/>
      <c r="DB42" s="20"/>
      <c r="DC42" s="20"/>
      <c r="DD42" s="20"/>
      <c r="DE42" s="20"/>
      <c r="DF42" s="20"/>
      <c r="DG42" s="20"/>
      <c r="DH42" s="20"/>
      <c r="DI42" s="20"/>
      <c r="DJ42" s="20"/>
      <c r="DK42" s="22">
        <f t="shared" si="378"/>
        <v>0</v>
      </c>
      <c r="DM42" s="20"/>
      <c r="DN42" s="20"/>
      <c r="DO42" s="20"/>
      <c r="DP42" s="20"/>
      <c r="DQ42" s="20"/>
      <c r="DR42" s="20"/>
      <c r="DS42" s="20"/>
      <c r="DT42" s="20"/>
      <c r="DU42" s="20"/>
      <c r="DV42" s="20"/>
      <c r="DW42" s="20"/>
      <c r="DX42" s="20"/>
      <c r="DY42" s="22">
        <f t="shared" si="379"/>
        <v>0</v>
      </c>
      <c r="EA42" s="20"/>
      <c r="EB42" s="20"/>
      <c r="EC42" s="20"/>
      <c r="ED42" s="20"/>
      <c r="EE42" s="20"/>
      <c r="EF42" s="20"/>
      <c r="EG42" s="20"/>
      <c r="EH42" s="20"/>
      <c r="EI42" s="20"/>
      <c r="EJ42" s="20"/>
      <c r="EK42" s="20"/>
      <c r="EL42" s="20"/>
      <c r="EM42" s="22">
        <f t="shared" si="380"/>
        <v>0</v>
      </c>
    </row>
    <row r="43" spans="3:143" hidden="1" x14ac:dyDescent="0.2">
      <c r="C43" s="19" t="s">
        <v>61</v>
      </c>
      <c r="E43" s="20"/>
      <c r="F43" s="20"/>
      <c r="G43" s="20"/>
      <c r="H43" s="20"/>
      <c r="I43" s="20"/>
      <c r="J43" s="20"/>
      <c r="K43" s="20"/>
      <c r="L43" s="20"/>
      <c r="M43" s="20"/>
      <c r="N43" s="20"/>
      <c r="O43" s="20"/>
      <c r="P43" s="20"/>
      <c r="Q43" s="22">
        <f t="shared" si="381"/>
        <v>0</v>
      </c>
      <c r="S43" s="20"/>
      <c r="T43" s="20"/>
      <c r="U43" s="20"/>
      <c r="V43" s="20"/>
      <c r="W43" s="20"/>
      <c r="X43" s="20"/>
      <c r="Y43" s="20"/>
      <c r="Z43" s="20"/>
      <c r="AA43" s="20"/>
      <c r="AB43" s="20"/>
      <c r="AC43" s="20"/>
      <c r="AD43" s="20"/>
      <c r="AE43" s="22">
        <f t="shared" si="373"/>
        <v>0</v>
      </c>
      <c r="AG43" s="20"/>
      <c r="AH43" s="20"/>
      <c r="AI43" s="20"/>
      <c r="AJ43" s="20"/>
      <c r="AK43" s="20"/>
      <c r="AL43" s="20"/>
      <c r="AM43" s="20"/>
      <c r="AN43" s="20"/>
      <c r="AO43" s="20"/>
      <c r="AP43" s="20"/>
      <c r="AQ43" s="20"/>
      <c r="AR43" s="20"/>
      <c r="AS43" s="22">
        <f t="shared" si="382"/>
        <v>0</v>
      </c>
      <c r="AU43" s="20"/>
      <c r="AV43" s="20"/>
      <c r="AW43" s="20"/>
      <c r="AX43" s="20"/>
      <c r="AY43" s="20"/>
      <c r="AZ43" s="20"/>
      <c r="BA43" s="20"/>
      <c r="BB43" s="20"/>
      <c r="BC43" s="20"/>
      <c r="BD43" s="20"/>
      <c r="BE43" s="20"/>
      <c r="BF43" s="20"/>
      <c r="BG43" s="22">
        <f t="shared" si="374"/>
        <v>0</v>
      </c>
      <c r="BI43" s="20"/>
      <c r="BJ43" s="20"/>
      <c r="BK43" s="20"/>
      <c r="BL43" s="20"/>
      <c r="BM43" s="20"/>
      <c r="BN43" s="20"/>
      <c r="BO43" s="20"/>
      <c r="BP43" s="20"/>
      <c r="BQ43" s="20"/>
      <c r="BR43" s="20"/>
      <c r="BS43" s="20"/>
      <c r="BT43" s="20"/>
      <c r="BU43" s="22">
        <f t="shared" si="375"/>
        <v>0</v>
      </c>
      <c r="BW43" s="20"/>
      <c r="BX43" s="20"/>
      <c r="BY43" s="20"/>
      <c r="BZ43" s="20"/>
      <c r="CA43" s="20"/>
      <c r="CB43" s="20"/>
      <c r="CC43" s="20"/>
      <c r="CD43" s="20"/>
      <c r="CE43" s="20"/>
      <c r="CF43" s="20"/>
      <c r="CG43" s="20"/>
      <c r="CH43" s="20"/>
      <c r="CI43" s="22">
        <f t="shared" si="376"/>
        <v>0</v>
      </c>
      <c r="CK43" s="20"/>
      <c r="CL43" s="20"/>
      <c r="CM43" s="20"/>
      <c r="CN43" s="20"/>
      <c r="CO43" s="20"/>
      <c r="CP43" s="20"/>
      <c r="CQ43" s="20"/>
      <c r="CR43" s="20"/>
      <c r="CS43" s="20"/>
      <c r="CT43" s="20"/>
      <c r="CU43" s="20"/>
      <c r="CV43" s="20"/>
      <c r="CW43" s="22">
        <f t="shared" si="377"/>
        <v>0</v>
      </c>
      <c r="CY43" s="20"/>
      <c r="CZ43" s="20"/>
      <c r="DA43" s="20"/>
      <c r="DB43" s="20"/>
      <c r="DC43" s="20"/>
      <c r="DD43" s="20"/>
      <c r="DE43" s="20"/>
      <c r="DF43" s="20"/>
      <c r="DG43" s="20"/>
      <c r="DH43" s="20"/>
      <c r="DI43" s="20"/>
      <c r="DJ43" s="20"/>
      <c r="DK43" s="22">
        <f t="shared" si="378"/>
        <v>0</v>
      </c>
      <c r="DM43" s="20"/>
      <c r="DN43" s="20"/>
      <c r="DO43" s="20"/>
      <c r="DP43" s="20"/>
      <c r="DQ43" s="20"/>
      <c r="DR43" s="20"/>
      <c r="DS43" s="20"/>
      <c r="DT43" s="20"/>
      <c r="DU43" s="20"/>
      <c r="DV43" s="20"/>
      <c r="DW43" s="20"/>
      <c r="DX43" s="20"/>
      <c r="DY43" s="22">
        <f t="shared" si="379"/>
        <v>0</v>
      </c>
      <c r="EA43" s="20"/>
      <c r="EB43" s="20"/>
      <c r="EC43" s="20"/>
      <c r="ED43" s="20"/>
      <c r="EE43" s="20"/>
      <c r="EF43" s="20"/>
      <c r="EG43" s="20"/>
      <c r="EH43" s="20"/>
      <c r="EI43" s="20"/>
      <c r="EJ43" s="20"/>
      <c r="EK43" s="20"/>
      <c r="EL43" s="20"/>
      <c r="EM43" s="22">
        <f t="shared" si="380"/>
        <v>0</v>
      </c>
    </row>
    <row r="44" spans="3:143" hidden="1" x14ac:dyDescent="0.2">
      <c r="C44" s="19" t="s">
        <v>61</v>
      </c>
      <c r="E44" s="20"/>
      <c r="F44" s="20"/>
      <c r="G44" s="20"/>
      <c r="H44" s="20"/>
      <c r="I44" s="20"/>
      <c r="J44" s="20"/>
      <c r="K44" s="20"/>
      <c r="L44" s="20"/>
      <c r="M44" s="20"/>
      <c r="N44" s="20"/>
      <c r="O44" s="20"/>
      <c r="P44" s="20"/>
      <c r="Q44" s="22">
        <f t="shared" si="381"/>
        <v>0</v>
      </c>
      <c r="S44" s="20"/>
      <c r="T44" s="20"/>
      <c r="U44" s="20"/>
      <c r="V44" s="20"/>
      <c r="W44" s="20"/>
      <c r="X44" s="20"/>
      <c r="Y44" s="20"/>
      <c r="Z44" s="20"/>
      <c r="AA44" s="20"/>
      <c r="AB44" s="20"/>
      <c r="AC44" s="20"/>
      <c r="AD44" s="20"/>
      <c r="AE44" s="22">
        <f t="shared" si="373"/>
        <v>0</v>
      </c>
      <c r="AG44" s="20"/>
      <c r="AH44" s="20"/>
      <c r="AI44" s="20"/>
      <c r="AJ44" s="20"/>
      <c r="AK44" s="20"/>
      <c r="AL44" s="20"/>
      <c r="AM44" s="20"/>
      <c r="AN44" s="20"/>
      <c r="AO44" s="20"/>
      <c r="AP44" s="20"/>
      <c r="AQ44" s="20"/>
      <c r="AR44" s="20"/>
      <c r="AS44" s="22">
        <f t="shared" si="382"/>
        <v>0</v>
      </c>
      <c r="AU44" s="20"/>
      <c r="AV44" s="20"/>
      <c r="AW44" s="20"/>
      <c r="AX44" s="20"/>
      <c r="AY44" s="20"/>
      <c r="AZ44" s="20"/>
      <c r="BA44" s="20"/>
      <c r="BB44" s="20"/>
      <c r="BC44" s="20"/>
      <c r="BD44" s="20"/>
      <c r="BE44" s="20"/>
      <c r="BF44" s="20"/>
      <c r="BG44" s="22">
        <f t="shared" si="374"/>
        <v>0</v>
      </c>
      <c r="BI44" s="20"/>
      <c r="BJ44" s="20"/>
      <c r="BK44" s="20"/>
      <c r="BL44" s="20"/>
      <c r="BM44" s="20"/>
      <c r="BN44" s="20"/>
      <c r="BO44" s="20"/>
      <c r="BP44" s="20"/>
      <c r="BQ44" s="20"/>
      <c r="BR44" s="20"/>
      <c r="BS44" s="20"/>
      <c r="BT44" s="20"/>
      <c r="BU44" s="22">
        <f t="shared" si="375"/>
        <v>0</v>
      </c>
      <c r="BW44" s="20"/>
      <c r="BX44" s="20"/>
      <c r="BY44" s="20"/>
      <c r="BZ44" s="20"/>
      <c r="CA44" s="20"/>
      <c r="CB44" s="20"/>
      <c r="CC44" s="20"/>
      <c r="CD44" s="20"/>
      <c r="CE44" s="20"/>
      <c r="CF44" s="20"/>
      <c r="CG44" s="20"/>
      <c r="CH44" s="20"/>
      <c r="CI44" s="22">
        <f t="shared" si="376"/>
        <v>0</v>
      </c>
      <c r="CK44" s="20"/>
      <c r="CL44" s="20"/>
      <c r="CM44" s="20"/>
      <c r="CN44" s="20"/>
      <c r="CO44" s="20"/>
      <c r="CP44" s="20"/>
      <c r="CQ44" s="20"/>
      <c r="CR44" s="20"/>
      <c r="CS44" s="20"/>
      <c r="CT44" s="20"/>
      <c r="CU44" s="20"/>
      <c r="CV44" s="20"/>
      <c r="CW44" s="22">
        <f t="shared" si="377"/>
        <v>0</v>
      </c>
      <c r="CY44" s="20"/>
      <c r="CZ44" s="20"/>
      <c r="DA44" s="20"/>
      <c r="DB44" s="20"/>
      <c r="DC44" s="20"/>
      <c r="DD44" s="20"/>
      <c r="DE44" s="20"/>
      <c r="DF44" s="20"/>
      <c r="DG44" s="20"/>
      <c r="DH44" s="20"/>
      <c r="DI44" s="20"/>
      <c r="DJ44" s="20"/>
      <c r="DK44" s="22">
        <f t="shared" si="378"/>
        <v>0</v>
      </c>
      <c r="DM44" s="20"/>
      <c r="DN44" s="20"/>
      <c r="DO44" s="20"/>
      <c r="DP44" s="20"/>
      <c r="DQ44" s="20"/>
      <c r="DR44" s="20"/>
      <c r="DS44" s="20"/>
      <c r="DT44" s="20"/>
      <c r="DU44" s="20"/>
      <c r="DV44" s="20"/>
      <c r="DW44" s="20"/>
      <c r="DX44" s="20"/>
      <c r="DY44" s="22">
        <f t="shared" si="379"/>
        <v>0</v>
      </c>
      <c r="EA44" s="20"/>
      <c r="EB44" s="20"/>
      <c r="EC44" s="20"/>
      <c r="ED44" s="20"/>
      <c r="EE44" s="20"/>
      <c r="EF44" s="20"/>
      <c r="EG44" s="20"/>
      <c r="EH44" s="20"/>
      <c r="EI44" s="20"/>
      <c r="EJ44" s="20"/>
      <c r="EK44" s="20"/>
      <c r="EL44" s="20"/>
      <c r="EM44" s="22">
        <f t="shared" si="380"/>
        <v>0</v>
      </c>
    </row>
    <row r="45" spans="3:143" hidden="1" x14ac:dyDescent="0.2">
      <c r="C45" s="19" t="s">
        <v>61</v>
      </c>
      <c r="E45" s="20"/>
      <c r="F45" s="20"/>
      <c r="G45" s="20"/>
      <c r="H45" s="20"/>
      <c r="I45" s="20"/>
      <c r="J45" s="20"/>
      <c r="K45" s="20"/>
      <c r="L45" s="20"/>
      <c r="M45" s="20"/>
      <c r="N45" s="20"/>
      <c r="O45" s="20"/>
      <c r="P45" s="20"/>
      <c r="Q45" s="22">
        <f t="shared" si="381"/>
        <v>0</v>
      </c>
      <c r="S45" s="20"/>
      <c r="T45" s="20"/>
      <c r="U45" s="20"/>
      <c r="V45" s="20"/>
      <c r="W45" s="20"/>
      <c r="X45" s="20"/>
      <c r="Y45" s="20"/>
      <c r="Z45" s="20"/>
      <c r="AA45" s="20"/>
      <c r="AB45" s="20"/>
      <c r="AC45" s="20"/>
      <c r="AD45" s="20"/>
      <c r="AE45" s="22">
        <f t="shared" si="373"/>
        <v>0</v>
      </c>
      <c r="AG45" s="20"/>
      <c r="AH45" s="20"/>
      <c r="AI45" s="20"/>
      <c r="AJ45" s="20"/>
      <c r="AK45" s="20"/>
      <c r="AL45" s="20"/>
      <c r="AM45" s="20"/>
      <c r="AN45" s="20"/>
      <c r="AO45" s="20"/>
      <c r="AP45" s="20"/>
      <c r="AQ45" s="20"/>
      <c r="AR45" s="20"/>
      <c r="AS45" s="22">
        <f t="shared" si="382"/>
        <v>0</v>
      </c>
      <c r="AU45" s="20"/>
      <c r="AV45" s="20"/>
      <c r="AW45" s="20"/>
      <c r="AX45" s="20"/>
      <c r="AY45" s="20"/>
      <c r="AZ45" s="20"/>
      <c r="BA45" s="20"/>
      <c r="BB45" s="20"/>
      <c r="BC45" s="20"/>
      <c r="BD45" s="20"/>
      <c r="BE45" s="20"/>
      <c r="BF45" s="20"/>
      <c r="BG45" s="22">
        <f t="shared" si="374"/>
        <v>0</v>
      </c>
      <c r="BI45" s="20"/>
      <c r="BJ45" s="20"/>
      <c r="BK45" s="20"/>
      <c r="BL45" s="20"/>
      <c r="BM45" s="20"/>
      <c r="BN45" s="20"/>
      <c r="BO45" s="20"/>
      <c r="BP45" s="20"/>
      <c r="BQ45" s="20"/>
      <c r="BR45" s="20"/>
      <c r="BS45" s="20"/>
      <c r="BT45" s="20"/>
      <c r="BU45" s="22">
        <f t="shared" si="375"/>
        <v>0</v>
      </c>
      <c r="BW45" s="20"/>
      <c r="BX45" s="20"/>
      <c r="BY45" s="20"/>
      <c r="BZ45" s="20"/>
      <c r="CA45" s="20"/>
      <c r="CB45" s="20"/>
      <c r="CC45" s="20"/>
      <c r="CD45" s="20"/>
      <c r="CE45" s="20"/>
      <c r="CF45" s="20"/>
      <c r="CG45" s="20"/>
      <c r="CH45" s="20"/>
      <c r="CI45" s="22">
        <f t="shared" si="376"/>
        <v>0</v>
      </c>
      <c r="CK45" s="20"/>
      <c r="CL45" s="20"/>
      <c r="CM45" s="20"/>
      <c r="CN45" s="20"/>
      <c r="CO45" s="20"/>
      <c r="CP45" s="20"/>
      <c r="CQ45" s="20"/>
      <c r="CR45" s="20"/>
      <c r="CS45" s="20"/>
      <c r="CT45" s="20"/>
      <c r="CU45" s="20"/>
      <c r="CV45" s="20"/>
      <c r="CW45" s="22">
        <f t="shared" si="377"/>
        <v>0</v>
      </c>
      <c r="CY45" s="20"/>
      <c r="CZ45" s="20"/>
      <c r="DA45" s="20"/>
      <c r="DB45" s="20"/>
      <c r="DC45" s="20"/>
      <c r="DD45" s="20"/>
      <c r="DE45" s="20"/>
      <c r="DF45" s="20"/>
      <c r="DG45" s="20"/>
      <c r="DH45" s="20"/>
      <c r="DI45" s="20"/>
      <c r="DJ45" s="20"/>
      <c r="DK45" s="22">
        <f t="shared" si="378"/>
        <v>0</v>
      </c>
      <c r="DM45" s="20"/>
      <c r="DN45" s="20"/>
      <c r="DO45" s="20"/>
      <c r="DP45" s="20"/>
      <c r="DQ45" s="20"/>
      <c r="DR45" s="20"/>
      <c r="DS45" s="20"/>
      <c r="DT45" s="20"/>
      <c r="DU45" s="20"/>
      <c r="DV45" s="20"/>
      <c r="DW45" s="20"/>
      <c r="DX45" s="20"/>
      <c r="DY45" s="22">
        <f t="shared" si="379"/>
        <v>0</v>
      </c>
      <c r="EA45" s="20"/>
      <c r="EB45" s="20"/>
      <c r="EC45" s="20"/>
      <c r="ED45" s="20"/>
      <c r="EE45" s="20"/>
      <c r="EF45" s="20"/>
      <c r="EG45" s="20"/>
      <c r="EH45" s="20"/>
      <c r="EI45" s="20"/>
      <c r="EJ45" s="20"/>
      <c r="EK45" s="20"/>
      <c r="EL45" s="20"/>
      <c r="EM45" s="22">
        <f t="shared" si="380"/>
        <v>0</v>
      </c>
    </row>
    <row r="46" spans="3:143" hidden="1" x14ac:dyDescent="0.2">
      <c r="C46" s="19" t="s">
        <v>61</v>
      </c>
      <c r="E46" s="20"/>
      <c r="F46" s="20"/>
      <c r="G46" s="20"/>
      <c r="H46" s="20"/>
      <c r="I46" s="20"/>
      <c r="J46" s="20"/>
      <c r="K46" s="20"/>
      <c r="L46" s="20"/>
      <c r="M46" s="20"/>
      <c r="N46" s="20"/>
      <c r="O46" s="20"/>
      <c r="P46" s="20"/>
      <c r="Q46" s="22">
        <f t="shared" si="381"/>
        <v>0</v>
      </c>
      <c r="S46" s="20"/>
      <c r="T46" s="20"/>
      <c r="U46" s="20"/>
      <c r="V46" s="20"/>
      <c r="W46" s="20"/>
      <c r="X46" s="20"/>
      <c r="Y46" s="20"/>
      <c r="Z46" s="20"/>
      <c r="AA46" s="20"/>
      <c r="AB46" s="20"/>
      <c r="AC46" s="20"/>
      <c r="AD46" s="20"/>
      <c r="AE46" s="22">
        <f t="shared" si="373"/>
        <v>0</v>
      </c>
      <c r="AG46" s="20"/>
      <c r="AH46" s="20"/>
      <c r="AI46" s="20"/>
      <c r="AJ46" s="20"/>
      <c r="AK46" s="20"/>
      <c r="AL46" s="20"/>
      <c r="AM46" s="20"/>
      <c r="AN46" s="20"/>
      <c r="AO46" s="20"/>
      <c r="AP46" s="20"/>
      <c r="AQ46" s="20"/>
      <c r="AR46" s="20"/>
      <c r="AS46" s="22">
        <f t="shared" si="382"/>
        <v>0</v>
      </c>
      <c r="AU46" s="20"/>
      <c r="AV46" s="20"/>
      <c r="AW46" s="20"/>
      <c r="AX46" s="20"/>
      <c r="AY46" s="20"/>
      <c r="AZ46" s="20"/>
      <c r="BA46" s="20"/>
      <c r="BB46" s="20"/>
      <c r="BC46" s="20"/>
      <c r="BD46" s="20"/>
      <c r="BE46" s="20"/>
      <c r="BF46" s="20"/>
      <c r="BG46" s="22">
        <f t="shared" si="374"/>
        <v>0</v>
      </c>
      <c r="BI46" s="20"/>
      <c r="BJ46" s="20"/>
      <c r="BK46" s="20"/>
      <c r="BL46" s="20"/>
      <c r="BM46" s="20"/>
      <c r="BN46" s="20"/>
      <c r="BO46" s="20"/>
      <c r="BP46" s="20"/>
      <c r="BQ46" s="20"/>
      <c r="BR46" s="20"/>
      <c r="BS46" s="20"/>
      <c r="BT46" s="20"/>
      <c r="BU46" s="22">
        <f t="shared" si="375"/>
        <v>0</v>
      </c>
      <c r="BW46" s="20"/>
      <c r="BX46" s="20"/>
      <c r="BY46" s="20"/>
      <c r="BZ46" s="20"/>
      <c r="CA46" s="20"/>
      <c r="CB46" s="20"/>
      <c r="CC46" s="20"/>
      <c r="CD46" s="20"/>
      <c r="CE46" s="20"/>
      <c r="CF46" s="20"/>
      <c r="CG46" s="20"/>
      <c r="CH46" s="20"/>
      <c r="CI46" s="22">
        <f t="shared" si="376"/>
        <v>0</v>
      </c>
      <c r="CK46" s="20"/>
      <c r="CL46" s="20"/>
      <c r="CM46" s="20"/>
      <c r="CN46" s="20"/>
      <c r="CO46" s="20"/>
      <c r="CP46" s="20"/>
      <c r="CQ46" s="20"/>
      <c r="CR46" s="20"/>
      <c r="CS46" s="20"/>
      <c r="CT46" s="20"/>
      <c r="CU46" s="20"/>
      <c r="CV46" s="20"/>
      <c r="CW46" s="22">
        <f t="shared" si="377"/>
        <v>0</v>
      </c>
      <c r="CY46" s="20"/>
      <c r="CZ46" s="20"/>
      <c r="DA46" s="20"/>
      <c r="DB46" s="20"/>
      <c r="DC46" s="20"/>
      <c r="DD46" s="20"/>
      <c r="DE46" s="20"/>
      <c r="DF46" s="20"/>
      <c r="DG46" s="20"/>
      <c r="DH46" s="20"/>
      <c r="DI46" s="20"/>
      <c r="DJ46" s="20"/>
      <c r="DK46" s="22">
        <f t="shared" si="378"/>
        <v>0</v>
      </c>
      <c r="DM46" s="20"/>
      <c r="DN46" s="20"/>
      <c r="DO46" s="20"/>
      <c r="DP46" s="20"/>
      <c r="DQ46" s="20"/>
      <c r="DR46" s="20"/>
      <c r="DS46" s="20"/>
      <c r="DT46" s="20"/>
      <c r="DU46" s="20"/>
      <c r="DV46" s="20"/>
      <c r="DW46" s="20"/>
      <c r="DX46" s="20"/>
      <c r="DY46" s="22">
        <f t="shared" si="379"/>
        <v>0</v>
      </c>
      <c r="EA46" s="20"/>
      <c r="EB46" s="20"/>
      <c r="EC46" s="20"/>
      <c r="ED46" s="20"/>
      <c r="EE46" s="20"/>
      <c r="EF46" s="20"/>
      <c r="EG46" s="20"/>
      <c r="EH46" s="20"/>
      <c r="EI46" s="20"/>
      <c r="EJ46" s="20"/>
      <c r="EK46" s="20"/>
      <c r="EL46" s="20"/>
      <c r="EM46" s="22">
        <f t="shared" si="380"/>
        <v>0</v>
      </c>
    </row>
    <row r="47" spans="3:143" hidden="1" x14ac:dyDescent="0.2">
      <c r="C47" s="19" t="s">
        <v>61</v>
      </c>
      <c r="E47" s="20"/>
      <c r="F47" s="20"/>
      <c r="G47" s="20"/>
      <c r="H47" s="20"/>
      <c r="I47" s="20"/>
      <c r="J47" s="20"/>
      <c r="K47" s="20"/>
      <c r="L47" s="20"/>
      <c r="M47" s="20"/>
      <c r="N47" s="20"/>
      <c r="O47" s="20"/>
      <c r="P47" s="20"/>
      <c r="Q47" s="22">
        <f t="shared" si="381"/>
        <v>0</v>
      </c>
      <c r="S47" s="20"/>
      <c r="T47" s="20"/>
      <c r="U47" s="20"/>
      <c r="V47" s="20"/>
      <c r="W47" s="20"/>
      <c r="X47" s="20"/>
      <c r="Y47" s="20"/>
      <c r="Z47" s="20"/>
      <c r="AA47" s="20"/>
      <c r="AB47" s="20"/>
      <c r="AC47" s="20"/>
      <c r="AD47" s="20"/>
      <c r="AE47" s="22">
        <f t="shared" si="373"/>
        <v>0</v>
      </c>
      <c r="AG47" s="20"/>
      <c r="AH47" s="20"/>
      <c r="AI47" s="20"/>
      <c r="AJ47" s="20"/>
      <c r="AK47" s="20"/>
      <c r="AL47" s="20"/>
      <c r="AM47" s="20"/>
      <c r="AN47" s="20"/>
      <c r="AO47" s="20"/>
      <c r="AP47" s="20"/>
      <c r="AQ47" s="20"/>
      <c r="AR47" s="20"/>
      <c r="AS47" s="22">
        <f t="shared" si="382"/>
        <v>0</v>
      </c>
      <c r="AU47" s="20"/>
      <c r="AV47" s="20"/>
      <c r="AW47" s="20"/>
      <c r="AX47" s="20"/>
      <c r="AY47" s="20"/>
      <c r="AZ47" s="20"/>
      <c r="BA47" s="20"/>
      <c r="BB47" s="20"/>
      <c r="BC47" s="20"/>
      <c r="BD47" s="20"/>
      <c r="BE47" s="20"/>
      <c r="BF47" s="20"/>
      <c r="BG47" s="22">
        <f t="shared" si="374"/>
        <v>0</v>
      </c>
      <c r="BI47" s="20"/>
      <c r="BJ47" s="20"/>
      <c r="BK47" s="20"/>
      <c r="BL47" s="20"/>
      <c r="BM47" s="20"/>
      <c r="BN47" s="20"/>
      <c r="BO47" s="20"/>
      <c r="BP47" s="20"/>
      <c r="BQ47" s="20"/>
      <c r="BR47" s="20"/>
      <c r="BS47" s="20"/>
      <c r="BT47" s="20"/>
      <c r="BU47" s="22">
        <f t="shared" si="375"/>
        <v>0</v>
      </c>
      <c r="BW47" s="20"/>
      <c r="BX47" s="20"/>
      <c r="BY47" s="20"/>
      <c r="BZ47" s="20"/>
      <c r="CA47" s="20"/>
      <c r="CB47" s="20"/>
      <c r="CC47" s="20"/>
      <c r="CD47" s="20"/>
      <c r="CE47" s="20"/>
      <c r="CF47" s="20"/>
      <c r="CG47" s="20"/>
      <c r="CH47" s="20"/>
      <c r="CI47" s="22">
        <f t="shared" si="376"/>
        <v>0</v>
      </c>
      <c r="CK47" s="20"/>
      <c r="CL47" s="20"/>
      <c r="CM47" s="20"/>
      <c r="CN47" s="20"/>
      <c r="CO47" s="20"/>
      <c r="CP47" s="20"/>
      <c r="CQ47" s="20"/>
      <c r="CR47" s="20"/>
      <c r="CS47" s="20"/>
      <c r="CT47" s="20"/>
      <c r="CU47" s="20"/>
      <c r="CV47" s="20"/>
      <c r="CW47" s="22">
        <f t="shared" si="377"/>
        <v>0</v>
      </c>
      <c r="CY47" s="20"/>
      <c r="CZ47" s="20"/>
      <c r="DA47" s="20"/>
      <c r="DB47" s="20"/>
      <c r="DC47" s="20"/>
      <c r="DD47" s="20"/>
      <c r="DE47" s="20"/>
      <c r="DF47" s="20"/>
      <c r="DG47" s="20"/>
      <c r="DH47" s="20"/>
      <c r="DI47" s="20"/>
      <c r="DJ47" s="20"/>
      <c r="DK47" s="22">
        <f t="shared" si="378"/>
        <v>0</v>
      </c>
      <c r="DM47" s="20"/>
      <c r="DN47" s="20"/>
      <c r="DO47" s="20"/>
      <c r="DP47" s="20"/>
      <c r="DQ47" s="20"/>
      <c r="DR47" s="20"/>
      <c r="DS47" s="20"/>
      <c r="DT47" s="20"/>
      <c r="DU47" s="20"/>
      <c r="DV47" s="20"/>
      <c r="DW47" s="20"/>
      <c r="DX47" s="20"/>
      <c r="DY47" s="22">
        <f t="shared" si="379"/>
        <v>0</v>
      </c>
      <c r="EA47" s="20"/>
      <c r="EB47" s="20"/>
      <c r="EC47" s="20"/>
      <c r="ED47" s="20"/>
      <c r="EE47" s="20"/>
      <c r="EF47" s="20"/>
      <c r="EG47" s="20"/>
      <c r="EH47" s="20"/>
      <c r="EI47" s="20"/>
      <c r="EJ47" s="20"/>
      <c r="EK47" s="20"/>
      <c r="EL47" s="20"/>
      <c r="EM47" s="22">
        <f t="shared" si="380"/>
        <v>0</v>
      </c>
    </row>
    <row r="48" spans="3:143" hidden="1" x14ac:dyDescent="0.2">
      <c r="C48" s="19" t="s">
        <v>61</v>
      </c>
      <c r="E48" s="20"/>
      <c r="F48" s="20"/>
      <c r="G48" s="20"/>
      <c r="H48" s="20"/>
      <c r="I48" s="20"/>
      <c r="J48" s="20"/>
      <c r="K48" s="20"/>
      <c r="L48" s="20"/>
      <c r="M48" s="20"/>
      <c r="N48" s="20"/>
      <c r="O48" s="20"/>
      <c r="P48" s="20"/>
      <c r="Q48" s="22">
        <f t="shared" si="381"/>
        <v>0</v>
      </c>
      <c r="S48" s="20"/>
      <c r="T48" s="20"/>
      <c r="U48" s="20"/>
      <c r="V48" s="20"/>
      <c r="W48" s="20"/>
      <c r="X48" s="20"/>
      <c r="Y48" s="20"/>
      <c r="Z48" s="20"/>
      <c r="AA48" s="20"/>
      <c r="AB48" s="20"/>
      <c r="AC48" s="20"/>
      <c r="AD48" s="20"/>
      <c r="AE48" s="22">
        <f t="shared" si="373"/>
        <v>0</v>
      </c>
      <c r="AG48" s="20"/>
      <c r="AH48" s="20"/>
      <c r="AI48" s="20"/>
      <c r="AJ48" s="20"/>
      <c r="AK48" s="20"/>
      <c r="AL48" s="20"/>
      <c r="AM48" s="20"/>
      <c r="AN48" s="20"/>
      <c r="AO48" s="20"/>
      <c r="AP48" s="20"/>
      <c r="AQ48" s="20"/>
      <c r="AR48" s="20"/>
      <c r="AS48" s="22">
        <f t="shared" si="382"/>
        <v>0</v>
      </c>
      <c r="AU48" s="20"/>
      <c r="AV48" s="20"/>
      <c r="AW48" s="20"/>
      <c r="AX48" s="20"/>
      <c r="AY48" s="20"/>
      <c r="AZ48" s="20"/>
      <c r="BA48" s="20"/>
      <c r="BB48" s="20"/>
      <c r="BC48" s="20"/>
      <c r="BD48" s="20"/>
      <c r="BE48" s="20"/>
      <c r="BF48" s="20"/>
      <c r="BG48" s="22">
        <f t="shared" si="374"/>
        <v>0</v>
      </c>
      <c r="BI48" s="20"/>
      <c r="BJ48" s="20"/>
      <c r="BK48" s="20"/>
      <c r="BL48" s="20"/>
      <c r="BM48" s="20"/>
      <c r="BN48" s="20"/>
      <c r="BO48" s="20"/>
      <c r="BP48" s="20"/>
      <c r="BQ48" s="20"/>
      <c r="BR48" s="20"/>
      <c r="BS48" s="20"/>
      <c r="BT48" s="20"/>
      <c r="BU48" s="22">
        <f t="shared" si="375"/>
        <v>0</v>
      </c>
      <c r="BW48" s="20"/>
      <c r="BX48" s="20"/>
      <c r="BY48" s="20"/>
      <c r="BZ48" s="20"/>
      <c r="CA48" s="20"/>
      <c r="CB48" s="20"/>
      <c r="CC48" s="20"/>
      <c r="CD48" s="20"/>
      <c r="CE48" s="20"/>
      <c r="CF48" s="20"/>
      <c r="CG48" s="20"/>
      <c r="CH48" s="20"/>
      <c r="CI48" s="22">
        <f t="shared" si="376"/>
        <v>0</v>
      </c>
      <c r="CK48" s="20"/>
      <c r="CL48" s="20"/>
      <c r="CM48" s="20"/>
      <c r="CN48" s="20"/>
      <c r="CO48" s="20"/>
      <c r="CP48" s="20"/>
      <c r="CQ48" s="20"/>
      <c r="CR48" s="20"/>
      <c r="CS48" s="20"/>
      <c r="CT48" s="20"/>
      <c r="CU48" s="20"/>
      <c r="CV48" s="20"/>
      <c r="CW48" s="22">
        <f t="shared" si="377"/>
        <v>0</v>
      </c>
      <c r="CY48" s="20"/>
      <c r="CZ48" s="20"/>
      <c r="DA48" s="20"/>
      <c r="DB48" s="20"/>
      <c r="DC48" s="20"/>
      <c r="DD48" s="20"/>
      <c r="DE48" s="20"/>
      <c r="DF48" s="20"/>
      <c r="DG48" s="20"/>
      <c r="DH48" s="20"/>
      <c r="DI48" s="20"/>
      <c r="DJ48" s="20"/>
      <c r="DK48" s="22">
        <f t="shared" si="378"/>
        <v>0</v>
      </c>
      <c r="DM48" s="20"/>
      <c r="DN48" s="20"/>
      <c r="DO48" s="20"/>
      <c r="DP48" s="20"/>
      <c r="DQ48" s="20"/>
      <c r="DR48" s="20"/>
      <c r="DS48" s="20"/>
      <c r="DT48" s="20"/>
      <c r="DU48" s="20"/>
      <c r="DV48" s="20"/>
      <c r="DW48" s="20"/>
      <c r="DX48" s="20"/>
      <c r="DY48" s="22">
        <f t="shared" si="379"/>
        <v>0</v>
      </c>
      <c r="EA48" s="20"/>
      <c r="EB48" s="20"/>
      <c r="EC48" s="20"/>
      <c r="ED48" s="20"/>
      <c r="EE48" s="20"/>
      <c r="EF48" s="20"/>
      <c r="EG48" s="20"/>
      <c r="EH48" s="20"/>
      <c r="EI48" s="20"/>
      <c r="EJ48" s="20"/>
      <c r="EK48" s="20"/>
      <c r="EL48" s="20"/>
      <c r="EM48" s="22">
        <f t="shared" si="380"/>
        <v>0</v>
      </c>
    </row>
    <row r="49" spans="3:143" hidden="1" x14ac:dyDescent="0.2">
      <c r="C49" s="19" t="s">
        <v>61</v>
      </c>
      <c r="E49" s="20"/>
      <c r="F49" s="20"/>
      <c r="G49" s="20"/>
      <c r="H49" s="20"/>
      <c r="I49" s="20"/>
      <c r="J49" s="20"/>
      <c r="K49" s="20"/>
      <c r="L49" s="20"/>
      <c r="M49" s="20"/>
      <c r="N49" s="20"/>
      <c r="O49" s="20"/>
      <c r="P49" s="20"/>
      <c r="Q49" s="22">
        <f t="shared" si="381"/>
        <v>0</v>
      </c>
      <c r="S49" s="20"/>
      <c r="T49" s="20"/>
      <c r="U49" s="20"/>
      <c r="V49" s="20"/>
      <c r="W49" s="20"/>
      <c r="X49" s="20"/>
      <c r="Y49" s="20"/>
      <c r="Z49" s="20"/>
      <c r="AA49" s="20"/>
      <c r="AB49" s="20"/>
      <c r="AC49" s="20"/>
      <c r="AD49" s="20"/>
      <c r="AE49" s="22">
        <f t="shared" si="373"/>
        <v>0</v>
      </c>
      <c r="AG49" s="20"/>
      <c r="AH49" s="20"/>
      <c r="AI49" s="20"/>
      <c r="AJ49" s="20"/>
      <c r="AK49" s="20"/>
      <c r="AL49" s="20"/>
      <c r="AM49" s="20"/>
      <c r="AN49" s="20"/>
      <c r="AO49" s="20"/>
      <c r="AP49" s="20"/>
      <c r="AQ49" s="20"/>
      <c r="AR49" s="20"/>
      <c r="AS49" s="22">
        <f t="shared" si="382"/>
        <v>0</v>
      </c>
      <c r="AU49" s="20"/>
      <c r="AV49" s="20"/>
      <c r="AW49" s="20"/>
      <c r="AX49" s="20"/>
      <c r="AY49" s="20"/>
      <c r="AZ49" s="20"/>
      <c r="BA49" s="20"/>
      <c r="BB49" s="20"/>
      <c r="BC49" s="20"/>
      <c r="BD49" s="20"/>
      <c r="BE49" s="20"/>
      <c r="BF49" s="20"/>
      <c r="BG49" s="22">
        <f t="shared" si="374"/>
        <v>0</v>
      </c>
      <c r="BI49" s="20"/>
      <c r="BJ49" s="20"/>
      <c r="BK49" s="20"/>
      <c r="BL49" s="20"/>
      <c r="BM49" s="20"/>
      <c r="BN49" s="20"/>
      <c r="BO49" s="20"/>
      <c r="BP49" s="20"/>
      <c r="BQ49" s="20"/>
      <c r="BR49" s="20"/>
      <c r="BS49" s="20"/>
      <c r="BT49" s="20"/>
      <c r="BU49" s="22">
        <f t="shared" si="375"/>
        <v>0</v>
      </c>
      <c r="BW49" s="20"/>
      <c r="BX49" s="20"/>
      <c r="BY49" s="20"/>
      <c r="BZ49" s="20"/>
      <c r="CA49" s="20"/>
      <c r="CB49" s="20"/>
      <c r="CC49" s="20"/>
      <c r="CD49" s="20"/>
      <c r="CE49" s="20"/>
      <c r="CF49" s="20"/>
      <c r="CG49" s="20"/>
      <c r="CH49" s="20"/>
      <c r="CI49" s="22">
        <f t="shared" si="376"/>
        <v>0</v>
      </c>
      <c r="CK49" s="20"/>
      <c r="CL49" s="20"/>
      <c r="CM49" s="20"/>
      <c r="CN49" s="20"/>
      <c r="CO49" s="20"/>
      <c r="CP49" s="20"/>
      <c r="CQ49" s="20"/>
      <c r="CR49" s="20"/>
      <c r="CS49" s="20"/>
      <c r="CT49" s="20"/>
      <c r="CU49" s="20"/>
      <c r="CV49" s="20"/>
      <c r="CW49" s="22">
        <f t="shared" si="377"/>
        <v>0</v>
      </c>
      <c r="CY49" s="20"/>
      <c r="CZ49" s="20"/>
      <c r="DA49" s="20"/>
      <c r="DB49" s="20"/>
      <c r="DC49" s="20"/>
      <c r="DD49" s="20"/>
      <c r="DE49" s="20"/>
      <c r="DF49" s="20"/>
      <c r="DG49" s="20"/>
      <c r="DH49" s="20"/>
      <c r="DI49" s="20"/>
      <c r="DJ49" s="20"/>
      <c r="DK49" s="22">
        <f t="shared" si="378"/>
        <v>0</v>
      </c>
      <c r="DM49" s="20"/>
      <c r="DN49" s="20"/>
      <c r="DO49" s="20"/>
      <c r="DP49" s="20"/>
      <c r="DQ49" s="20"/>
      <c r="DR49" s="20"/>
      <c r="DS49" s="20"/>
      <c r="DT49" s="20"/>
      <c r="DU49" s="20"/>
      <c r="DV49" s="20"/>
      <c r="DW49" s="20"/>
      <c r="DX49" s="20"/>
      <c r="DY49" s="22">
        <f t="shared" si="379"/>
        <v>0</v>
      </c>
      <c r="EA49" s="20"/>
      <c r="EB49" s="20"/>
      <c r="EC49" s="20"/>
      <c r="ED49" s="20"/>
      <c r="EE49" s="20"/>
      <c r="EF49" s="20"/>
      <c r="EG49" s="20"/>
      <c r="EH49" s="20"/>
      <c r="EI49" s="20"/>
      <c r="EJ49" s="20"/>
      <c r="EK49" s="20"/>
      <c r="EL49" s="20"/>
      <c r="EM49" s="22">
        <f t="shared" si="380"/>
        <v>0</v>
      </c>
    </row>
    <row r="50" spans="3:143" hidden="1" x14ac:dyDescent="0.2">
      <c r="C50" s="19" t="s">
        <v>61</v>
      </c>
      <c r="E50" s="20"/>
      <c r="F50" s="20"/>
      <c r="G50" s="20"/>
      <c r="H50" s="20"/>
      <c r="I50" s="20"/>
      <c r="J50" s="20"/>
      <c r="K50" s="20"/>
      <c r="L50" s="20"/>
      <c r="M50" s="20"/>
      <c r="N50" s="20"/>
      <c r="O50" s="20"/>
      <c r="P50" s="20"/>
      <c r="Q50" s="22">
        <f t="shared" si="381"/>
        <v>0</v>
      </c>
      <c r="S50" s="20"/>
      <c r="T50" s="20"/>
      <c r="U50" s="20"/>
      <c r="V50" s="20"/>
      <c r="W50" s="20"/>
      <c r="X50" s="20"/>
      <c r="Y50" s="20"/>
      <c r="Z50" s="20"/>
      <c r="AA50" s="20"/>
      <c r="AB50" s="20"/>
      <c r="AC50" s="20"/>
      <c r="AD50" s="20"/>
      <c r="AE50" s="22">
        <f t="shared" si="373"/>
        <v>0</v>
      </c>
      <c r="AG50" s="20"/>
      <c r="AH50" s="20"/>
      <c r="AI50" s="20"/>
      <c r="AJ50" s="20"/>
      <c r="AK50" s="20"/>
      <c r="AL50" s="20"/>
      <c r="AM50" s="20"/>
      <c r="AN50" s="20"/>
      <c r="AO50" s="20"/>
      <c r="AP50" s="20"/>
      <c r="AQ50" s="20"/>
      <c r="AR50" s="20"/>
      <c r="AS50" s="22">
        <f t="shared" si="382"/>
        <v>0</v>
      </c>
      <c r="AU50" s="20"/>
      <c r="AV50" s="20"/>
      <c r="AW50" s="20"/>
      <c r="AX50" s="20"/>
      <c r="AY50" s="20"/>
      <c r="AZ50" s="20"/>
      <c r="BA50" s="20"/>
      <c r="BB50" s="20"/>
      <c r="BC50" s="20"/>
      <c r="BD50" s="20"/>
      <c r="BE50" s="20"/>
      <c r="BF50" s="20"/>
      <c r="BG50" s="22">
        <f t="shared" si="374"/>
        <v>0</v>
      </c>
      <c r="BI50" s="20"/>
      <c r="BJ50" s="20"/>
      <c r="BK50" s="20"/>
      <c r="BL50" s="20"/>
      <c r="BM50" s="20"/>
      <c r="BN50" s="20"/>
      <c r="BO50" s="20"/>
      <c r="BP50" s="20"/>
      <c r="BQ50" s="20"/>
      <c r="BR50" s="20"/>
      <c r="BS50" s="20"/>
      <c r="BT50" s="20"/>
      <c r="BU50" s="22">
        <f t="shared" si="375"/>
        <v>0</v>
      </c>
      <c r="BW50" s="20"/>
      <c r="BX50" s="20"/>
      <c r="BY50" s="20"/>
      <c r="BZ50" s="20"/>
      <c r="CA50" s="20"/>
      <c r="CB50" s="20"/>
      <c r="CC50" s="20"/>
      <c r="CD50" s="20"/>
      <c r="CE50" s="20"/>
      <c r="CF50" s="20"/>
      <c r="CG50" s="20"/>
      <c r="CH50" s="20"/>
      <c r="CI50" s="22">
        <f t="shared" si="376"/>
        <v>0</v>
      </c>
      <c r="CK50" s="20"/>
      <c r="CL50" s="20"/>
      <c r="CM50" s="20"/>
      <c r="CN50" s="20"/>
      <c r="CO50" s="20"/>
      <c r="CP50" s="20"/>
      <c r="CQ50" s="20"/>
      <c r="CR50" s="20"/>
      <c r="CS50" s="20"/>
      <c r="CT50" s="20"/>
      <c r="CU50" s="20"/>
      <c r="CV50" s="20"/>
      <c r="CW50" s="22">
        <f t="shared" si="377"/>
        <v>0</v>
      </c>
      <c r="CY50" s="20"/>
      <c r="CZ50" s="20"/>
      <c r="DA50" s="20"/>
      <c r="DB50" s="20"/>
      <c r="DC50" s="20"/>
      <c r="DD50" s="20"/>
      <c r="DE50" s="20"/>
      <c r="DF50" s="20"/>
      <c r="DG50" s="20"/>
      <c r="DH50" s="20"/>
      <c r="DI50" s="20"/>
      <c r="DJ50" s="20"/>
      <c r="DK50" s="22">
        <f t="shared" si="378"/>
        <v>0</v>
      </c>
      <c r="DM50" s="20"/>
      <c r="DN50" s="20"/>
      <c r="DO50" s="20"/>
      <c r="DP50" s="20"/>
      <c r="DQ50" s="20"/>
      <c r="DR50" s="20"/>
      <c r="DS50" s="20"/>
      <c r="DT50" s="20"/>
      <c r="DU50" s="20"/>
      <c r="DV50" s="20"/>
      <c r="DW50" s="20"/>
      <c r="DX50" s="20"/>
      <c r="DY50" s="22">
        <f t="shared" si="379"/>
        <v>0</v>
      </c>
      <c r="EA50" s="20"/>
      <c r="EB50" s="20"/>
      <c r="EC50" s="20"/>
      <c r="ED50" s="20"/>
      <c r="EE50" s="20"/>
      <c r="EF50" s="20"/>
      <c r="EG50" s="20"/>
      <c r="EH50" s="20"/>
      <c r="EI50" s="20"/>
      <c r="EJ50" s="20"/>
      <c r="EK50" s="20"/>
      <c r="EL50" s="20"/>
      <c r="EM50" s="22">
        <f t="shared" si="380"/>
        <v>0</v>
      </c>
    </row>
    <row r="51" spans="3:143" hidden="1" x14ac:dyDescent="0.2">
      <c r="C51" s="19" t="s">
        <v>61</v>
      </c>
      <c r="E51" s="20"/>
      <c r="F51" s="20"/>
      <c r="G51" s="20"/>
      <c r="H51" s="20"/>
      <c r="I51" s="20"/>
      <c r="J51" s="20"/>
      <c r="K51" s="20"/>
      <c r="L51" s="20"/>
      <c r="M51" s="20"/>
      <c r="N51" s="20"/>
      <c r="O51" s="20"/>
      <c r="P51" s="20"/>
      <c r="Q51" s="22">
        <f t="shared" si="381"/>
        <v>0</v>
      </c>
      <c r="S51" s="20"/>
      <c r="T51" s="20"/>
      <c r="U51" s="20"/>
      <c r="V51" s="20"/>
      <c r="W51" s="20"/>
      <c r="X51" s="20"/>
      <c r="Y51" s="20"/>
      <c r="Z51" s="20"/>
      <c r="AA51" s="20"/>
      <c r="AB51" s="20"/>
      <c r="AC51" s="20"/>
      <c r="AD51" s="20"/>
      <c r="AE51" s="22">
        <f t="shared" si="373"/>
        <v>0</v>
      </c>
      <c r="AG51" s="20"/>
      <c r="AH51" s="20"/>
      <c r="AI51" s="20"/>
      <c r="AJ51" s="20"/>
      <c r="AK51" s="20"/>
      <c r="AL51" s="20"/>
      <c r="AM51" s="20"/>
      <c r="AN51" s="20"/>
      <c r="AO51" s="20"/>
      <c r="AP51" s="20"/>
      <c r="AQ51" s="20"/>
      <c r="AR51" s="20"/>
      <c r="AS51" s="22">
        <f t="shared" si="382"/>
        <v>0</v>
      </c>
      <c r="AU51" s="20"/>
      <c r="AV51" s="20"/>
      <c r="AW51" s="20"/>
      <c r="AX51" s="20"/>
      <c r="AY51" s="20"/>
      <c r="AZ51" s="20"/>
      <c r="BA51" s="20"/>
      <c r="BB51" s="20"/>
      <c r="BC51" s="20"/>
      <c r="BD51" s="20"/>
      <c r="BE51" s="20"/>
      <c r="BF51" s="20"/>
      <c r="BG51" s="22">
        <f t="shared" si="374"/>
        <v>0</v>
      </c>
      <c r="BI51" s="20"/>
      <c r="BJ51" s="20"/>
      <c r="BK51" s="20"/>
      <c r="BL51" s="20"/>
      <c r="BM51" s="20"/>
      <c r="BN51" s="20"/>
      <c r="BO51" s="20"/>
      <c r="BP51" s="20"/>
      <c r="BQ51" s="20"/>
      <c r="BR51" s="20"/>
      <c r="BS51" s="20"/>
      <c r="BT51" s="20"/>
      <c r="BU51" s="22">
        <f t="shared" si="375"/>
        <v>0</v>
      </c>
      <c r="BW51" s="20"/>
      <c r="BX51" s="20"/>
      <c r="BY51" s="20"/>
      <c r="BZ51" s="20"/>
      <c r="CA51" s="20"/>
      <c r="CB51" s="20"/>
      <c r="CC51" s="20"/>
      <c r="CD51" s="20"/>
      <c r="CE51" s="20"/>
      <c r="CF51" s="20"/>
      <c r="CG51" s="20"/>
      <c r="CH51" s="20"/>
      <c r="CI51" s="22">
        <f t="shared" si="376"/>
        <v>0</v>
      </c>
      <c r="CK51" s="20"/>
      <c r="CL51" s="20"/>
      <c r="CM51" s="20"/>
      <c r="CN51" s="20"/>
      <c r="CO51" s="20"/>
      <c r="CP51" s="20"/>
      <c r="CQ51" s="20"/>
      <c r="CR51" s="20"/>
      <c r="CS51" s="20"/>
      <c r="CT51" s="20"/>
      <c r="CU51" s="20"/>
      <c r="CV51" s="20"/>
      <c r="CW51" s="22">
        <f t="shared" si="377"/>
        <v>0</v>
      </c>
      <c r="CY51" s="20"/>
      <c r="CZ51" s="20"/>
      <c r="DA51" s="20"/>
      <c r="DB51" s="20"/>
      <c r="DC51" s="20"/>
      <c r="DD51" s="20"/>
      <c r="DE51" s="20"/>
      <c r="DF51" s="20"/>
      <c r="DG51" s="20"/>
      <c r="DH51" s="20"/>
      <c r="DI51" s="20"/>
      <c r="DJ51" s="20"/>
      <c r="DK51" s="22">
        <f t="shared" si="378"/>
        <v>0</v>
      </c>
      <c r="DM51" s="20"/>
      <c r="DN51" s="20"/>
      <c r="DO51" s="20"/>
      <c r="DP51" s="20"/>
      <c r="DQ51" s="20"/>
      <c r="DR51" s="20"/>
      <c r="DS51" s="20"/>
      <c r="DT51" s="20"/>
      <c r="DU51" s="20"/>
      <c r="DV51" s="20"/>
      <c r="DW51" s="20"/>
      <c r="DX51" s="20"/>
      <c r="DY51" s="22">
        <f t="shared" si="379"/>
        <v>0</v>
      </c>
      <c r="EA51" s="20"/>
      <c r="EB51" s="20"/>
      <c r="EC51" s="20"/>
      <c r="ED51" s="20"/>
      <c r="EE51" s="20"/>
      <c r="EF51" s="20"/>
      <c r="EG51" s="20"/>
      <c r="EH51" s="20"/>
      <c r="EI51" s="20"/>
      <c r="EJ51" s="20"/>
      <c r="EK51" s="20"/>
      <c r="EL51" s="20"/>
      <c r="EM51" s="22">
        <f t="shared" si="380"/>
        <v>0</v>
      </c>
    </row>
    <row r="52" spans="3:143" hidden="1" x14ac:dyDescent="0.2">
      <c r="C52" s="19" t="s">
        <v>61</v>
      </c>
      <c r="E52" s="20"/>
      <c r="F52" s="20"/>
      <c r="G52" s="20"/>
      <c r="H52" s="20"/>
      <c r="I52" s="20"/>
      <c r="J52" s="20"/>
      <c r="K52" s="20"/>
      <c r="L52" s="20"/>
      <c r="M52" s="20"/>
      <c r="N52" s="20"/>
      <c r="O52" s="20"/>
      <c r="P52" s="20"/>
      <c r="Q52" s="22">
        <f t="shared" si="381"/>
        <v>0</v>
      </c>
      <c r="S52" s="20"/>
      <c r="T52" s="20"/>
      <c r="U52" s="20"/>
      <c r="V52" s="20"/>
      <c r="W52" s="20"/>
      <c r="X52" s="20"/>
      <c r="Y52" s="20"/>
      <c r="Z52" s="20"/>
      <c r="AA52" s="20"/>
      <c r="AB52" s="20"/>
      <c r="AC52" s="20"/>
      <c r="AD52" s="20"/>
      <c r="AE52" s="22">
        <f t="shared" si="373"/>
        <v>0</v>
      </c>
      <c r="AG52" s="20"/>
      <c r="AH52" s="20"/>
      <c r="AI52" s="20"/>
      <c r="AJ52" s="20"/>
      <c r="AK52" s="20"/>
      <c r="AL52" s="20"/>
      <c r="AM52" s="20"/>
      <c r="AN52" s="20"/>
      <c r="AO52" s="20"/>
      <c r="AP52" s="20"/>
      <c r="AQ52" s="20"/>
      <c r="AR52" s="20"/>
      <c r="AS52" s="22">
        <f t="shared" si="382"/>
        <v>0</v>
      </c>
      <c r="AU52" s="20"/>
      <c r="AV52" s="20"/>
      <c r="AW52" s="20"/>
      <c r="AX52" s="20"/>
      <c r="AY52" s="20"/>
      <c r="AZ52" s="20"/>
      <c r="BA52" s="20"/>
      <c r="BB52" s="20"/>
      <c r="BC52" s="20"/>
      <c r="BD52" s="20"/>
      <c r="BE52" s="20"/>
      <c r="BF52" s="20"/>
      <c r="BG52" s="22">
        <f t="shared" si="374"/>
        <v>0</v>
      </c>
      <c r="BI52" s="20"/>
      <c r="BJ52" s="20"/>
      <c r="BK52" s="20"/>
      <c r="BL52" s="20"/>
      <c r="BM52" s="20"/>
      <c r="BN52" s="20"/>
      <c r="BO52" s="20"/>
      <c r="BP52" s="20"/>
      <c r="BQ52" s="20"/>
      <c r="BR52" s="20"/>
      <c r="BS52" s="20"/>
      <c r="BT52" s="20"/>
      <c r="BU52" s="22">
        <f t="shared" si="375"/>
        <v>0</v>
      </c>
      <c r="BW52" s="20"/>
      <c r="BX52" s="20"/>
      <c r="BY52" s="20"/>
      <c r="BZ52" s="20"/>
      <c r="CA52" s="20"/>
      <c r="CB52" s="20"/>
      <c r="CC52" s="20"/>
      <c r="CD52" s="20"/>
      <c r="CE52" s="20"/>
      <c r="CF52" s="20"/>
      <c r="CG52" s="20"/>
      <c r="CH52" s="20"/>
      <c r="CI52" s="22">
        <f t="shared" si="376"/>
        <v>0</v>
      </c>
      <c r="CK52" s="20"/>
      <c r="CL52" s="20"/>
      <c r="CM52" s="20"/>
      <c r="CN52" s="20"/>
      <c r="CO52" s="20"/>
      <c r="CP52" s="20"/>
      <c r="CQ52" s="20"/>
      <c r="CR52" s="20"/>
      <c r="CS52" s="20"/>
      <c r="CT52" s="20"/>
      <c r="CU52" s="20"/>
      <c r="CV52" s="20"/>
      <c r="CW52" s="22">
        <f t="shared" si="377"/>
        <v>0</v>
      </c>
      <c r="CY52" s="20"/>
      <c r="CZ52" s="20"/>
      <c r="DA52" s="20"/>
      <c r="DB52" s="20"/>
      <c r="DC52" s="20"/>
      <c r="DD52" s="20"/>
      <c r="DE52" s="20"/>
      <c r="DF52" s="20"/>
      <c r="DG52" s="20"/>
      <c r="DH52" s="20"/>
      <c r="DI52" s="20"/>
      <c r="DJ52" s="20"/>
      <c r="DK52" s="22">
        <f t="shared" si="378"/>
        <v>0</v>
      </c>
      <c r="DM52" s="20"/>
      <c r="DN52" s="20"/>
      <c r="DO52" s="20"/>
      <c r="DP52" s="20"/>
      <c r="DQ52" s="20"/>
      <c r="DR52" s="20"/>
      <c r="DS52" s="20"/>
      <c r="DT52" s="20"/>
      <c r="DU52" s="20"/>
      <c r="DV52" s="20"/>
      <c r="DW52" s="20"/>
      <c r="DX52" s="20"/>
      <c r="DY52" s="22">
        <f t="shared" si="379"/>
        <v>0</v>
      </c>
      <c r="EA52" s="20"/>
      <c r="EB52" s="20"/>
      <c r="EC52" s="20"/>
      <c r="ED52" s="20"/>
      <c r="EE52" s="20"/>
      <c r="EF52" s="20"/>
      <c r="EG52" s="20"/>
      <c r="EH52" s="20"/>
      <c r="EI52" s="20"/>
      <c r="EJ52" s="20"/>
      <c r="EK52" s="20"/>
      <c r="EL52" s="20"/>
      <c r="EM52" s="22">
        <f t="shared" si="380"/>
        <v>0</v>
      </c>
    </row>
    <row r="53" spans="3:143" hidden="1" x14ac:dyDescent="0.2">
      <c r="C53" s="19" t="s">
        <v>61</v>
      </c>
      <c r="E53" s="20"/>
      <c r="F53" s="20"/>
      <c r="G53" s="20"/>
      <c r="H53" s="20"/>
      <c r="I53" s="20"/>
      <c r="J53" s="20"/>
      <c r="K53" s="20"/>
      <c r="L53" s="20"/>
      <c r="M53" s="20"/>
      <c r="N53" s="20"/>
      <c r="O53" s="20"/>
      <c r="P53" s="20"/>
      <c r="Q53" s="22">
        <f t="shared" si="381"/>
        <v>0</v>
      </c>
      <c r="S53" s="20"/>
      <c r="T53" s="20"/>
      <c r="U53" s="20"/>
      <c r="V53" s="20"/>
      <c r="W53" s="20"/>
      <c r="X53" s="20"/>
      <c r="Y53" s="20"/>
      <c r="Z53" s="20"/>
      <c r="AA53" s="20"/>
      <c r="AB53" s="20"/>
      <c r="AC53" s="20"/>
      <c r="AD53" s="20"/>
      <c r="AE53" s="22">
        <f t="shared" si="373"/>
        <v>0</v>
      </c>
      <c r="AG53" s="20"/>
      <c r="AH53" s="20"/>
      <c r="AI53" s="20"/>
      <c r="AJ53" s="20"/>
      <c r="AK53" s="20"/>
      <c r="AL53" s="20"/>
      <c r="AM53" s="20"/>
      <c r="AN53" s="20"/>
      <c r="AO53" s="20"/>
      <c r="AP53" s="20"/>
      <c r="AQ53" s="20"/>
      <c r="AR53" s="20"/>
      <c r="AS53" s="22">
        <f t="shared" si="382"/>
        <v>0</v>
      </c>
      <c r="AU53" s="20"/>
      <c r="AV53" s="20"/>
      <c r="AW53" s="20"/>
      <c r="AX53" s="20"/>
      <c r="AY53" s="20"/>
      <c r="AZ53" s="20"/>
      <c r="BA53" s="20"/>
      <c r="BB53" s="20"/>
      <c r="BC53" s="20"/>
      <c r="BD53" s="20"/>
      <c r="BE53" s="20"/>
      <c r="BF53" s="20"/>
      <c r="BG53" s="22">
        <f t="shared" si="374"/>
        <v>0</v>
      </c>
      <c r="BI53" s="20"/>
      <c r="BJ53" s="20"/>
      <c r="BK53" s="20"/>
      <c r="BL53" s="20"/>
      <c r="BM53" s="20"/>
      <c r="BN53" s="20"/>
      <c r="BO53" s="20"/>
      <c r="BP53" s="20"/>
      <c r="BQ53" s="20"/>
      <c r="BR53" s="20"/>
      <c r="BS53" s="20"/>
      <c r="BT53" s="20"/>
      <c r="BU53" s="22">
        <f t="shared" si="375"/>
        <v>0</v>
      </c>
      <c r="BW53" s="20"/>
      <c r="BX53" s="20"/>
      <c r="BY53" s="20"/>
      <c r="BZ53" s="20"/>
      <c r="CA53" s="20"/>
      <c r="CB53" s="20"/>
      <c r="CC53" s="20"/>
      <c r="CD53" s="20"/>
      <c r="CE53" s="20"/>
      <c r="CF53" s="20"/>
      <c r="CG53" s="20"/>
      <c r="CH53" s="20"/>
      <c r="CI53" s="22">
        <f t="shared" si="376"/>
        <v>0</v>
      </c>
      <c r="CK53" s="20"/>
      <c r="CL53" s="20"/>
      <c r="CM53" s="20"/>
      <c r="CN53" s="20"/>
      <c r="CO53" s="20"/>
      <c r="CP53" s="20"/>
      <c r="CQ53" s="20"/>
      <c r="CR53" s="20"/>
      <c r="CS53" s="20"/>
      <c r="CT53" s="20"/>
      <c r="CU53" s="20"/>
      <c r="CV53" s="20"/>
      <c r="CW53" s="22">
        <f t="shared" si="377"/>
        <v>0</v>
      </c>
      <c r="CY53" s="20"/>
      <c r="CZ53" s="20"/>
      <c r="DA53" s="20"/>
      <c r="DB53" s="20"/>
      <c r="DC53" s="20"/>
      <c r="DD53" s="20"/>
      <c r="DE53" s="20"/>
      <c r="DF53" s="20"/>
      <c r="DG53" s="20"/>
      <c r="DH53" s="20"/>
      <c r="DI53" s="20"/>
      <c r="DJ53" s="20"/>
      <c r="DK53" s="22">
        <f t="shared" si="378"/>
        <v>0</v>
      </c>
      <c r="DM53" s="20"/>
      <c r="DN53" s="20"/>
      <c r="DO53" s="20"/>
      <c r="DP53" s="20"/>
      <c r="DQ53" s="20"/>
      <c r="DR53" s="20"/>
      <c r="DS53" s="20"/>
      <c r="DT53" s="20"/>
      <c r="DU53" s="20"/>
      <c r="DV53" s="20"/>
      <c r="DW53" s="20"/>
      <c r="DX53" s="20"/>
      <c r="DY53" s="22">
        <f t="shared" si="379"/>
        <v>0</v>
      </c>
      <c r="EA53" s="20"/>
      <c r="EB53" s="20"/>
      <c r="EC53" s="20"/>
      <c r="ED53" s="20"/>
      <c r="EE53" s="20"/>
      <c r="EF53" s="20"/>
      <c r="EG53" s="20"/>
      <c r="EH53" s="20"/>
      <c r="EI53" s="20"/>
      <c r="EJ53" s="20"/>
      <c r="EK53" s="20"/>
      <c r="EL53" s="20"/>
      <c r="EM53" s="22">
        <f t="shared" si="380"/>
        <v>0</v>
      </c>
    </row>
    <row r="54" spans="3:143" hidden="1" x14ac:dyDescent="0.2">
      <c r="C54" s="19" t="s">
        <v>61</v>
      </c>
      <c r="E54" s="20"/>
      <c r="F54" s="20"/>
      <c r="G54" s="20"/>
      <c r="H54" s="20"/>
      <c r="I54" s="20"/>
      <c r="J54" s="20"/>
      <c r="K54" s="20"/>
      <c r="L54" s="20"/>
      <c r="M54" s="20"/>
      <c r="N54" s="20"/>
      <c r="O54" s="20"/>
      <c r="P54" s="20"/>
      <c r="Q54" s="22">
        <f t="shared" si="381"/>
        <v>0</v>
      </c>
      <c r="S54" s="20"/>
      <c r="T54" s="20"/>
      <c r="U54" s="20"/>
      <c r="V54" s="20"/>
      <c r="W54" s="20"/>
      <c r="X54" s="20"/>
      <c r="Y54" s="20"/>
      <c r="Z54" s="20"/>
      <c r="AA54" s="20"/>
      <c r="AB54" s="20"/>
      <c r="AC54" s="20"/>
      <c r="AD54" s="20"/>
      <c r="AE54" s="22">
        <f t="shared" si="373"/>
        <v>0</v>
      </c>
      <c r="AG54" s="20"/>
      <c r="AH54" s="20"/>
      <c r="AI54" s="20"/>
      <c r="AJ54" s="20"/>
      <c r="AK54" s="20"/>
      <c r="AL54" s="20"/>
      <c r="AM54" s="20"/>
      <c r="AN54" s="20"/>
      <c r="AO54" s="20"/>
      <c r="AP54" s="20"/>
      <c r="AQ54" s="20"/>
      <c r="AR54" s="20"/>
      <c r="AS54" s="22">
        <f t="shared" si="382"/>
        <v>0</v>
      </c>
      <c r="AU54" s="20"/>
      <c r="AV54" s="20"/>
      <c r="AW54" s="20"/>
      <c r="AX54" s="20"/>
      <c r="AY54" s="20"/>
      <c r="AZ54" s="20"/>
      <c r="BA54" s="20"/>
      <c r="BB54" s="20"/>
      <c r="BC54" s="20"/>
      <c r="BD54" s="20"/>
      <c r="BE54" s="20"/>
      <c r="BF54" s="20"/>
      <c r="BG54" s="22">
        <f t="shared" si="374"/>
        <v>0</v>
      </c>
      <c r="BI54" s="20"/>
      <c r="BJ54" s="20"/>
      <c r="BK54" s="20"/>
      <c r="BL54" s="20"/>
      <c r="BM54" s="20"/>
      <c r="BN54" s="20"/>
      <c r="BO54" s="20"/>
      <c r="BP54" s="20"/>
      <c r="BQ54" s="20"/>
      <c r="BR54" s="20"/>
      <c r="BS54" s="20"/>
      <c r="BT54" s="20"/>
      <c r="BU54" s="22">
        <f t="shared" si="375"/>
        <v>0</v>
      </c>
      <c r="BW54" s="20"/>
      <c r="BX54" s="20"/>
      <c r="BY54" s="20"/>
      <c r="BZ54" s="20"/>
      <c r="CA54" s="20"/>
      <c r="CB54" s="20"/>
      <c r="CC54" s="20"/>
      <c r="CD54" s="20"/>
      <c r="CE54" s="20"/>
      <c r="CF54" s="20"/>
      <c r="CG54" s="20"/>
      <c r="CH54" s="20"/>
      <c r="CI54" s="22">
        <f t="shared" si="376"/>
        <v>0</v>
      </c>
      <c r="CK54" s="20"/>
      <c r="CL54" s="20"/>
      <c r="CM54" s="20"/>
      <c r="CN54" s="20"/>
      <c r="CO54" s="20"/>
      <c r="CP54" s="20"/>
      <c r="CQ54" s="20"/>
      <c r="CR54" s="20"/>
      <c r="CS54" s="20"/>
      <c r="CT54" s="20"/>
      <c r="CU54" s="20"/>
      <c r="CV54" s="20"/>
      <c r="CW54" s="22">
        <f t="shared" si="377"/>
        <v>0</v>
      </c>
      <c r="CY54" s="20"/>
      <c r="CZ54" s="20"/>
      <c r="DA54" s="20"/>
      <c r="DB54" s="20"/>
      <c r="DC54" s="20"/>
      <c r="DD54" s="20"/>
      <c r="DE54" s="20"/>
      <c r="DF54" s="20"/>
      <c r="DG54" s="20"/>
      <c r="DH54" s="20"/>
      <c r="DI54" s="20"/>
      <c r="DJ54" s="20"/>
      <c r="DK54" s="22">
        <f t="shared" si="378"/>
        <v>0</v>
      </c>
      <c r="DM54" s="20"/>
      <c r="DN54" s="20"/>
      <c r="DO54" s="20"/>
      <c r="DP54" s="20"/>
      <c r="DQ54" s="20"/>
      <c r="DR54" s="20"/>
      <c r="DS54" s="20"/>
      <c r="DT54" s="20"/>
      <c r="DU54" s="20"/>
      <c r="DV54" s="20"/>
      <c r="DW54" s="20"/>
      <c r="DX54" s="20"/>
      <c r="DY54" s="22">
        <f t="shared" si="379"/>
        <v>0</v>
      </c>
      <c r="EA54" s="20"/>
      <c r="EB54" s="20"/>
      <c r="EC54" s="20"/>
      <c r="ED54" s="20"/>
      <c r="EE54" s="20"/>
      <c r="EF54" s="20"/>
      <c r="EG54" s="20"/>
      <c r="EH54" s="20"/>
      <c r="EI54" s="20"/>
      <c r="EJ54" s="20"/>
      <c r="EK54" s="20"/>
      <c r="EL54" s="20"/>
      <c r="EM54" s="22">
        <f t="shared" si="380"/>
        <v>0</v>
      </c>
    </row>
    <row r="55" spans="3:143" hidden="1" x14ac:dyDescent="0.2">
      <c r="C55" s="19" t="s">
        <v>61</v>
      </c>
      <c r="E55" s="20"/>
      <c r="F55" s="20"/>
      <c r="G55" s="20"/>
      <c r="H55" s="20"/>
      <c r="I55" s="20"/>
      <c r="J55" s="20"/>
      <c r="K55" s="20"/>
      <c r="L55" s="20"/>
      <c r="M55" s="20"/>
      <c r="N55" s="20"/>
      <c r="O55" s="20"/>
      <c r="P55" s="20"/>
      <c r="Q55" s="22">
        <f t="shared" si="381"/>
        <v>0</v>
      </c>
      <c r="S55" s="20"/>
      <c r="T55" s="20"/>
      <c r="U55" s="20"/>
      <c r="V55" s="20"/>
      <c r="W55" s="20"/>
      <c r="X55" s="20"/>
      <c r="Y55" s="20"/>
      <c r="Z55" s="20"/>
      <c r="AA55" s="20"/>
      <c r="AB55" s="20"/>
      <c r="AC55" s="20"/>
      <c r="AD55" s="20"/>
      <c r="AE55" s="22">
        <f t="shared" si="373"/>
        <v>0</v>
      </c>
      <c r="AG55" s="20"/>
      <c r="AH55" s="20"/>
      <c r="AI55" s="20"/>
      <c r="AJ55" s="20"/>
      <c r="AK55" s="20"/>
      <c r="AL55" s="20"/>
      <c r="AM55" s="20"/>
      <c r="AN55" s="20"/>
      <c r="AO55" s="20"/>
      <c r="AP55" s="20"/>
      <c r="AQ55" s="20"/>
      <c r="AR55" s="20"/>
      <c r="AS55" s="22">
        <f t="shared" si="382"/>
        <v>0</v>
      </c>
      <c r="AU55" s="20"/>
      <c r="AV55" s="20"/>
      <c r="AW55" s="20"/>
      <c r="AX55" s="20"/>
      <c r="AY55" s="20"/>
      <c r="AZ55" s="20"/>
      <c r="BA55" s="20"/>
      <c r="BB55" s="20"/>
      <c r="BC55" s="20"/>
      <c r="BD55" s="20"/>
      <c r="BE55" s="20"/>
      <c r="BF55" s="20"/>
      <c r="BG55" s="22">
        <f t="shared" si="374"/>
        <v>0</v>
      </c>
      <c r="BI55" s="20"/>
      <c r="BJ55" s="20"/>
      <c r="BK55" s="20"/>
      <c r="BL55" s="20"/>
      <c r="BM55" s="20"/>
      <c r="BN55" s="20"/>
      <c r="BO55" s="20"/>
      <c r="BP55" s="20"/>
      <c r="BQ55" s="20"/>
      <c r="BR55" s="20"/>
      <c r="BS55" s="20"/>
      <c r="BT55" s="20"/>
      <c r="BU55" s="22">
        <f t="shared" si="375"/>
        <v>0</v>
      </c>
      <c r="BW55" s="20"/>
      <c r="BX55" s="20"/>
      <c r="BY55" s="20"/>
      <c r="BZ55" s="20"/>
      <c r="CA55" s="20"/>
      <c r="CB55" s="20"/>
      <c r="CC55" s="20"/>
      <c r="CD55" s="20"/>
      <c r="CE55" s="20"/>
      <c r="CF55" s="20"/>
      <c r="CG55" s="20"/>
      <c r="CH55" s="20"/>
      <c r="CI55" s="22">
        <f t="shared" si="376"/>
        <v>0</v>
      </c>
      <c r="CK55" s="20"/>
      <c r="CL55" s="20"/>
      <c r="CM55" s="20"/>
      <c r="CN55" s="20"/>
      <c r="CO55" s="20"/>
      <c r="CP55" s="20"/>
      <c r="CQ55" s="20"/>
      <c r="CR55" s="20"/>
      <c r="CS55" s="20"/>
      <c r="CT55" s="20"/>
      <c r="CU55" s="20"/>
      <c r="CV55" s="20"/>
      <c r="CW55" s="22">
        <f t="shared" si="377"/>
        <v>0</v>
      </c>
      <c r="CY55" s="20"/>
      <c r="CZ55" s="20"/>
      <c r="DA55" s="20"/>
      <c r="DB55" s="20"/>
      <c r="DC55" s="20"/>
      <c r="DD55" s="20"/>
      <c r="DE55" s="20"/>
      <c r="DF55" s="20"/>
      <c r="DG55" s="20"/>
      <c r="DH55" s="20"/>
      <c r="DI55" s="20"/>
      <c r="DJ55" s="20"/>
      <c r="DK55" s="22">
        <f t="shared" si="378"/>
        <v>0</v>
      </c>
      <c r="DM55" s="20"/>
      <c r="DN55" s="20"/>
      <c r="DO55" s="20"/>
      <c r="DP55" s="20"/>
      <c r="DQ55" s="20"/>
      <c r="DR55" s="20"/>
      <c r="DS55" s="20"/>
      <c r="DT55" s="20"/>
      <c r="DU55" s="20"/>
      <c r="DV55" s="20"/>
      <c r="DW55" s="20"/>
      <c r="DX55" s="20"/>
      <c r="DY55" s="22">
        <f t="shared" si="379"/>
        <v>0</v>
      </c>
      <c r="EA55" s="20"/>
      <c r="EB55" s="20"/>
      <c r="EC55" s="20"/>
      <c r="ED55" s="20"/>
      <c r="EE55" s="20"/>
      <c r="EF55" s="20"/>
      <c r="EG55" s="20"/>
      <c r="EH55" s="20"/>
      <c r="EI55" s="20"/>
      <c r="EJ55" s="20"/>
      <c r="EK55" s="20"/>
      <c r="EL55" s="20"/>
      <c r="EM55" s="22">
        <f t="shared" si="380"/>
        <v>0</v>
      </c>
    </row>
    <row r="56" spans="3:143" hidden="1" x14ac:dyDescent="0.2">
      <c r="C56" s="19" t="s">
        <v>61</v>
      </c>
      <c r="E56" s="20"/>
      <c r="F56" s="20"/>
      <c r="G56" s="20"/>
      <c r="H56" s="20"/>
      <c r="I56" s="20"/>
      <c r="J56" s="20"/>
      <c r="K56" s="20"/>
      <c r="L56" s="20"/>
      <c r="M56" s="20"/>
      <c r="N56" s="20"/>
      <c r="O56" s="20"/>
      <c r="P56" s="20"/>
      <c r="Q56" s="22">
        <f t="shared" si="381"/>
        <v>0</v>
      </c>
      <c r="S56" s="20"/>
      <c r="T56" s="20"/>
      <c r="U56" s="20"/>
      <c r="V56" s="20"/>
      <c r="W56" s="20"/>
      <c r="X56" s="20"/>
      <c r="Y56" s="20"/>
      <c r="Z56" s="20"/>
      <c r="AA56" s="20"/>
      <c r="AB56" s="20"/>
      <c r="AC56" s="20"/>
      <c r="AD56" s="20"/>
      <c r="AE56" s="22">
        <f t="shared" si="373"/>
        <v>0</v>
      </c>
      <c r="AG56" s="20"/>
      <c r="AH56" s="20"/>
      <c r="AI56" s="20"/>
      <c r="AJ56" s="20"/>
      <c r="AK56" s="20"/>
      <c r="AL56" s="20"/>
      <c r="AM56" s="20"/>
      <c r="AN56" s="20"/>
      <c r="AO56" s="20"/>
      <c r="AP56" s="20"/>
      <c r="AQ56" s="20"/>
      <c r="AR56" s="20"/>
      <c r="AS56" s="22">
        <f t="shared" si="382"/>
        <v>0</v>
      </c>
      <c r="AU56" s="20"/>
      <c r="AV56" s="20"/>
      <c r="AW56" s="20"/>
      <c r="AX56" s="20"/>
      <c r="AY56" s="20"/>
      <c r="AZ56" s="20"/>
      <c r="BA56" s="20"/>
      <c r="BB56" s="20"/>
      <c r="BC56" s="20"/>
      <c r="BD56" s="20"/>
      <c r="BE56" s="20"/>
      <c r="BF56" s="20"/>
      <c r="BG56" s="22">
        <f t="shared" si="374"/>
        <v>0</v>
      </c>
      <c r="BI56" s="20"/>
      <c r="BJ56" s="20"/>
      <c r="BK56" s="20"/>
      <c r="BL56" s="20"/>
      <c r="BM56" s="20"/>
      <c r="BN56" s="20"/>
      <c r="BO56" s="20"/>
      <c r="BP56" s="20"/>
      <c r="BQ56" s="20"/>
      <c r="BR56" s="20"/>
      <c r="BS56" s="20"/>
      <c r="BT56" s="20"/>
      <c r="BU56" s="22">
        <f t="shared" si="375"/>
        <v>0</v>
      </c>
      <c r="BW56" s="20"/>
      <c r="BX56" s="20"/>
      <c r="BY56" s="20"/>
      <c r="BZ56" s="20"/>
      <c r="CA56" s="20"/>
      <c r="CB56" s="20"/>
      <c r="CC56" s="20"/>
      <c r="CD56" s="20"/>
      <c r="CE56" s="20"/>
      <c r="CF56" s="20"/>
      <c r="CG56" s="20"/>
      <c r="CH56" s="20"/>
      <c r="CI56" s="22">
        <f t="shared" si="376"/>
        <v>0</v>
      </c>
      <c r="CK56" s="20"/>
      <c r="CL56" s="20"/>
      <c r="CM56" s="20"/>
      <c r="CN56" s="20"/>
      <c r="CO56" s="20"/>
      <c r="CP56" s="20"/>
      <c r="CQ56" s="20"/>
      <c r="CR56" s="20"/>
      <c r="CS56" s="20"/>
      <c r="CT56" s="20"/>
      <c r="CU56" s="20"/>
      <c r="CV56" s="20"/>
      <c r="CW56" s="22">
        <f t="shared" si="377"/>
        <v>0</v>
      </c>
      <c r="CY56" s="20"/>
      <c r="CZ56" s="20"/>
      <c r="DA56" s="20"/>
      <c r="DB56" s="20"/>
      <c r="DC56" s="20"/>
      <c r="DD56" s="20"/>
      <c r="DE56" s="20"/>
      <c r="DF56" s="20"/>
      <c r="DG56" s="20"/>
      <c r="DH56" s="20"/>
      <c r="DI56" s="20"/>
      <c r="DJ56" s="20"/>
      <c r="DK56" s="22">
        <f t="shared" si="378"/>
        <v>0</v>
      </c>
      <c r="DM56" s="20"/>
      <c r="DN56" s="20"/>
      <c r="DO56" s="20"/>
      <c r="DP56" s="20"/>
      <c r="DQ56" s="20"/>
      <c r="DR56" s="20"/>
      <c r="DS56" s="20"/>
      <c r="DT56" s="20"/>
      <c r="DU56" s="20"/>
      <c r="DV56" s="20"/>
      <c r="DW56" s="20"/>
      <c r="DX56" s="20"/>
      <c r="DY56" s="22">
        <f t="shared" si="379"/>
        <v>0</v>
      </c>
      <c r="EA56" s="20"/>
      <c r="EB56" s="20"/>
      <c r="EC56" s="20"/>
      <c r="ED56" s="20"/>
      <c r="EE56" s="20"/>
      <c r="EF56" s="20"/>
      <c r="EG56" s="20"/>
      <c r="EH56" s="20"/>
      <c r="EI56" s="20"/>
      <c r="EJ56" s="20"/>
      <c r="EK56" s="20"/>
      <c r="EL56" s="20"/>
      <c r="EM56" s="22">
        <f t="shared" si="380"/>
        <v>0</v>
      </c>
    </row>
    <row r="57" spans="3:143" hidden="1" x14ac:dyDescent="0.2">
      <c r="C57" s="19" t="s">
        <v>61</v>
      </c>
      <c r="E57" s="20"/>
      <c r="F57" s="20"/>
      <c r="G57" s="20"/>
      <c r="H57" s="20"/>
      <c r="I57" s="20"/>
      <c r="J57" s="20"/>
      <c r="K57" s="20"/>
      <c r="L57" s="20"/>
      <c r="M57" s="20"/>
      <c r="N57" s="20"/>
      <c r="O57" s="20"/>
      <c r="P57" s="20"/>
      <c r="Q57" s="22">
        <f t="shared" si="381"/>
        <v>0</v>
      </c>
      <c r="S57" s="20"/>
      <c r="T57" s="20"/>
      <c r="U57" s="20"/>
      <c r="V57" s="20"/>
      <c r="W57" s="20"/>
      <c r="X57" s="20"/>
      <c r="Y57" s="20"/>
      <c r="Z57" s="20"/>
      <c r="AA57" s="20"/>
      <c r="AB57" s="20"/>
      <c r="AC57" s="20"/>
      <c r="AD57" s="20"/>
      <c r="AE57" s="22">
        <f t="shared" si="373"/>
        <v>0</v>
      </c>
      <c r="AG57" s="20"/>
      <c r="AH57" s="20"/>
      <c r="AI57" s="20"/>
      <c r="AJ57" s="20"/>
      <c r="AK57" s="20"/>
      <c r="AL57" s="20"/>
      <c r="AM57" s="20"/>
      <c r="AN57" s="20"/>
      <c r="AO57" s="20"/>
      <c r="AP57" s="20"/>
      <c r="AQ57" s="20"/>
      <c r="AR57" s="20"/>
      <c r="AS57" s="22">
        <f t="shared" si="382"/>
        <v>0</v>
      </c>
      <c r="AU57" s="20"/>
      <c r="AV57" s="20"/>
      <c r="AW57" s="20"/>
      <c r="AX57" s="20"/>
      <c r="AY57" s="20"/>
      <c r="AZ57" s="20"/>
      <c r="BA57" s="20"/>
      <c r="BB57" s="20"/>
      <c r="BC57" s="20"/>
      <c r="BD57" s="20"/>
      <c r="BE57" s="20"/>
      <c r="BF57" s="20"/>
      <c r="BG57" s="22">
        <f t="shared" si="374"/>
        <v>0</v>
      </c>
      <c r="BI57" s="20"/>
      <c r="BJ57" s="20"/>
      <c r="BK57" s="20"/>
      <c r="BL57" s="20"/>
      <c r="BM57" s="20"/>
      <c r="BN57" s="20"/>
      <c r="BO57" s="20"/>
      <c r="BP57" s="20"/>
      <c r="BQ57" s="20"/>
      <c r="BR57" s="20"/>
      <c r="BS57" s="20"/>
      <c r="BT57" s="20"/>
      <c r="BU57" s="22">
        <f t="shared" si="375"/>
        <v>0</v>
      </c>
      <c r="BW57" s="20"/>
      <c r="BX57" s="20"/>
      <c r="BY57" s="20"/>
      <c r="BZ57" s="20"/>
      <c r="CA57" s="20"/>
      <c r="CB57" s="20"/>
      <c r="CC57" s="20"/>
      <c r="CD57" s="20"/>
      <c r="CE57" s="20"/>
      <c r="CF57" s="20"/>
      <c r="CG57" s="20"/>
      <c r="CH57" s="20"/>
      <c r="CI57" s="22">
        <f t="shared" si="376"/>
        <v>0</v>
      </c>
      <c r="CK57" s="20"/>
      <c r="CL57" s="20"/>
      <c r="CM57" s="20"/>
      <c r="CN57" s="20"/>
      <c r="CO57" s="20"/>
      <c r="CP57" s="20"/>
      <c r="CQ57" s="20"/>
      <c r="CR57" s="20"/>
      <c r="CS57" s="20"/>
      <c r="CT57" s="20"/>
      <c r="CU57" s="20"/>
      <c r="CV57" s="20"/>
      <c r="CW57" s="22">
        <f t="shared" si="377"/>
        <v>0</v>
      </c>
      <c r="CY57" s="20"/>
      <c r="CZ57" s="20"/>
      <c r="DA57" s="20"/>
      <c r="DB57" s="20"/>
      <c r="DC57" s="20"/>
      <c r="DD57" s="20"/>
      <c r="DE57" s="20"/>
      <c r="DF57" s="20"/>
      <c r="DG57" s="20"/>
      <c r="DH57" s="20"/>
      <c r="DI57" s="20"/>
      <c r="DJ57" s="20"/>
      <c r="DK57" s="22">
        <f t="shared" si="378"/>
        <v>0</v>
      </c>
      <c r="DM57" s="20"/>
      <c r="DN57" s="20"/>
      <c r="DO57" s="20"/>
      <c r="DP57" s="20"/>
      <c r="DQ57" s="20"/>
      <c r="DR57" s="20"/>
      <c r="DS57" s="20"/>
      <c r="DT57" s="20"/>
      <c r="DU57" s="20"/>
      <c r="DV57" s="20"/>
      <c r="DW57" s="20"/>
      <c r="DX57" s="20"/>
      <c r="DY57" s="22">
        <f t="shared" si="379"/>
        <v>0</v>
      </c>
      <c r="EA57" s="20"/>
      <c r="EB57" s="20"/>
      <c r="EC57" s="20"/>
      <c r="ED57" s="20"/>
      <c r="EE57" s="20"/>
      <c r="EF57" s="20"/>
      <c r="EG57" s="20"/>
      <c r="EH57" s="20"/>
      <c r="EI57" s="20"/>
      <c r="EJ57" s="20"/>
      <c r="EK57" s="20"/>
      <c r="EL57" s="20"/>
      <c r="EM57" s="22">
        <f t="shared" si="380"/>
        <v>0</v>
      </c>
    </row>
    <row r="58" spans="3:143" hidden="1" x14ac:dyDescent="0.2">
      <c r="C58" s="19" t="s">
        <v>61</v>
      </c>
      <c r="E58" s="20"/>
      <c r="F58" s="20"/>
      <c r="G58" s="20"/>
      <c r="H58" s="20"/>
      <c r="I58" s="20"/>
      <c r="J58" s="20"/>
      <c r="K58" s="20"/>
      <c r="L58" s="20"/>
      <c r="M58" s="20"/>
      <c r="N58" s="20"/>
      <c r="O58" s="20"/>
      <c r="P58" s="20"/>
      <c r="Q58" s="22">
        <f t="shared" si="381"/>
        <v>0</v>
      </c>
      <c r="S58" s="20"/>
      <c r="T58" s="20"/>
      <c r="U58" s="20"/>
      <c r="V58" s="20"/>
      <c r="W58" s="20"/>
      <c r="X58" s="20"/>
      <c r="Y58" s="20"/>
      <c r="Z58" s="20"/>
      <c r="AA58" s="20"/>
      <c r="AB58" s="20"/>
      <c r="AC58" s="20"/>
      <c r="AD58" s="20"/>
      <c r="AE58" s="22">
        <f t="shared" si="373"/>
        <v>0</v>
      </c>
      <c r="AG58" s="20"/>
      <c r="AH58" s="20"/>
      <c r="AI58" s="20"/>
      <c r="AJ58" s="20"/>
      <c r="AK58" s="20"/>
      <c r="AL58" s="20"/>
      <c r="AM58" s="20"/>
      <c r="AN58" s="20"/>
      <c r="AO58" s="20"/>
      <c r="AP58" s="20"/>
      <c r="AQ58" s="20"/>
      <c r="AR58" s="20"/>
      <c r="AS58" s="22">
        <f t="shared" si="382"/>
        <v>0</v>
      </c>
      <c r="AU58" s="20"/>
      <c r="AV58" s="20"/>
      <c r="AW58" s="20"/>
      <c r="AX58" s="20"/>
      <c r="AY58" s="20"/>
      <c r="AZ58" s="20"/>
      <c r="BA58" s="20"/>
      <c r="BB58" s="20"/>
      <c r="BC58" s="20"/>
      <c r="BD58" s="20"/>
      <c r="BE58" s="20"/>
      <c r="BF58" s="20"/>
      <c r="BG58" s="22">
        <f t="shared" si="374"/>
        <v>0</v>
      </c>
      <c r="BI58" s="20"/>
      <c r="BJ58" s="20"/>
      <c r="BK58" s="20"/>
      <c r="BL58" s="20"/>
      <c r="BM58" s="20"/>
      <c r="BN58" s="20"/>
      <c r="BO58" s="20"/>
      <c r="BP58" s="20"/>
      <c r="BQ58" s="20"/>
      <c r="BR58" s="20"/>
      <c r="BS58" s="20"/>
      <c r="BT58" s="20"/>
      <c r="BU58" s="22">
        <f t="shared" si="375"/>
        <v>0</v>
      </c>
      <c r="BW58" s="20"/>
      <c r="BX58" s="20"/>
      <c r="BY58" s="20"/>
      <c r="BZ58" s="20"/>
      <c r="CA58" s="20"/>
      <c r="CB58" s="20"/>
      <c r="CC58" s="20"/>
      <c r="CD58" s="20"/>
      <c r="CE58" s="20"/>
      <c r="CF58" s="20"/>
      <c r="CG58" s="20"/>
      <c r="CH58" s="20"/>
      <c r="CI58" s="22">
        <f t="shared" si="376"/>
        <v>0</v>
      </c>
      <c r="CK58" s="20"/>
      <c r="CL58" s="20"/>
      <c r="CM58" s="20"/>
      <c r="CN58" s="20"/>
      <c r="CO58" s="20"/>
      <c r="CP58" s="20"/>
      <c r="CQ58" s="20"/>
      <c r="CR58" s="20"/>
      <c r="CS58" s="20"/>
      <c r="CT58" s="20"/>
      <c r="CU58" s="20"/>
      <c r="CV58" s="20"/>
      <c r="CW58" s="22">
        <f t="shared" si="377"/>
        <v>0</v>
      </c>
      <c r="CY58" s="20"/>
      <c r="CZ58" s="20"/>
      <c r="DA58" s="20"/>
      <c r="DB58" s="20"/>
      <c r="DC58" s="20"/>
      <c r="DD58" s="20"/>
      <c r="DE58" s="20"/>
      <c r="DF58" s="20"/>
      <c r="DG58" s="20"/>
      <c r="DH58" s="20"/>
      <c r="DI58" s="20"/>
      <c r="DJ58" s="20"/>
      <c r="DK58" s="22">
        <f t="shared" si="378"/>
        <v>0</v>
      </c>
      <c r="DM58" s="20"/>
      <c r="DN58" s="20"/>
      <c r="DO58" s="20"/>
      <c r="DP58" s="20"/>
      <c r="DQ58" s="20"/>
      <c r="DR58" s="20"/>
      <c r="DS58" s="20"/>
      <c r="DT58" s="20"/>
      <c r="DU58" s="20"/>
      <c r="DV58" s="20"/>
      <c r="DW58" s="20"/>
      <c r="DX58" s="20"/>
      <c r="DY58" s="22">
        <f t="shared" si="379"/>
        <v>0</v>
      </c>
      <c r="EA58" s="20"/>
      <c r="EB58" s="20"/>
      <c r="EC58" s="20"/>
      <c r="ED58" s="20"/>
      <c r="EE58" s="20"/>
      <c r="EF58" s="20"/>
      <c r="EG58" s="20"/>
      <c r="EH58" s="20"/>
      <c r="EI58" s="20"/>
      <c r="EJ58" s="20"/>
      <c r="EK58" s="20"/>
      <c r="EL58" s="20"/>
      <c r="EM58" s="22">
        <f t="shared" si="380"/>
        <v>0</v>
      </c>
    </row>
    <row r="59" spans="3:143" hidden="1" x14ac:dyDescent="0.2">
      <c r="C59" s="19" t="s">
        <v>61</v>
      </c>
      <c r="E59" s="20"/>
      <c r="F59" s="20"/>
      <c r="G59" s="20"/>
      <c r="H59" s="20"/>
      <c r="I59" s="20"/>
      <c r="J59" s="20"/>
      <c r="K59" s="20"/>
      <c r="L59" s="20"/>
      <c r="M59" s="20"/>
      <c r="N59" s="20"/>
      <c r="O59" s="20"/>
      <c r="P59" s="20"/>
      <c r="Q59" s="22">
        <f t="shared" si="381"/>
        <v>0</v>
      </c>
      <c r="S59" s="20"/>
      <c r="T59" s="20"/>
      <c r="U59" s="20"/>
      <c r="V59" s="20"/>
      <c r="W59" s="20"/>
      <c r="X59" s="20"/>
      <c r="Y59" s="20"/>
      <c r="Z59" s="20"/>
      <c r="AA59" s="20"/>
      <c r="AB59" s="20"/>
      <c r="AC59" s="20"/>
      <c r="AD59" s="20"/>
      <c r="AE59" s="22">
        <f t="shared" si="373"/>
        <v>0</v>
      </c>
      <c r="AG59" s="20"/>
      <c r="AH59" s="20"/>
      <c r="AI59" s="20"/>
      <c r="AJ59" s="20"/>
      <c r="AK59" s="20"/>
      <c r="AL59" s="20"/>
      <c r="AM59" s="20"/>
      <c r="AN59" s="20"/>
      <c r="AO59" s="20"/>
      <c r="AP59" s="20"/>
      <c r="AQ59" s="20"/>
      <c r="AR59" s="20"/>
      <c r="AS59" s="22">
        <f t="shared" si="382"/>
        <v>0</v>
      </c>
      <c r="AU59" s="20"/>
      <c r="AV59" s="20"/>
      <c r="AW59" s="20"/>
      <c r="AX59" s="20"/>
      <c r="AY59" s="20"/>
      <c r="AZ59" s="20"/>
      <c r="BA59" s="20"/>
      <c r="BB59" s="20"/>
      <c r="BC59" s="20"/>
      <c r="BD59" s="20"/>
      <c r="BE59" s="20"/>
      <c r="BF59" s="20"/>
      <c r="BG59" s="22">
        <f t="shared" si="374"/>
        <v>0</v>
      </c>
      <c r="BI59" s="20"/>
      <c r="BJ59" s="20"/>
      <c r="BK59" s="20"/>
      <c r="BL59" s="20"/>
      <c r="BM59" s="20"/>
      <c r="BN59" s="20"/>
      <c r="BO59" s="20"/>
      <c r="BP59" s="20"/>
      <c r="BQ59" s="20"/>
      <c r="BR59" s="20"/>
      <c r="BS59" s="20"/>
      <c r="BT59" s="20"/>
      <c r="BU59" s="22">
        <f t="shared" si="375"/>
        <v>0</v>
      </c>
      <c r="BW59" s="20"/>
      <c r="BX59" s="20"/>
      <c r="BY59" s="20"/>
      <c r="BZ59" s="20"/>
      <c r="CA59" s="20"/>
      <c r="CB59" s="20"/>
      <c r="CC59" s="20"/>
      <c r="CD59" s="20"/>
      <c r="CE59" s="20"/>
      <c r="CF59" s="20"/>
      <c r="CG59" s="20"/>
      <c r="CH59" s="20"/>
      <c r="CI59" s="22">
        <f t="shared" si="376"/>
        <v>0</v>
      </c>
      <c r="CK59" s="20"/>
      <c r="CL59" s="20"/>
      <c r="CM59" s="20"/>
      <c r="CN59" s="20"/>
      <c r="CO59" s="20"/>
      <c r="CP59" s="20"/>
      <c r="CQ59" s="20"/>
      <c r="CR59" s="20"/>
      <c r="CS59" s="20"/>
      <c r="CT59" s="20"/>
      <c r="CU59" s="20"/>
      <c r="CV59" s="20"/>
      <c r="CW59" s="22">
        <f t="shared" si="377"/>
        <v>0</v>
      </c>
      <c r="CY59" s="20"/>
      <c r="CZ59" s="20"/>
      <c r="DA59" s="20"/>
      <c r="DB59" s="20"/>
      <c r="DC59" s="20"/>
      <c r="DD59" s="20"/>
      <c r="DE59" s="20"/>
      <c r="DF59" s="20"/>
      <c r="DG59" s="20"/>
      <c r="DH59" s="20"/>
      <c r="DI59" s="20"/>
      <c r="DJ59" s="20"/>
      <c r="DK59" s="22">
        <f t="shared" si="378"/>
        <v>0</v>
      </c>
      <c r="DM59" s="20"/>
      <c r="DN59" s="20"/>
      <c r="DO59" s="20"/>
      <c r="DP59" s="20"/>
      <c r="DQ59" s="20"/>
      <c r="DR59" s="20"/>
      <c r="DS59" s="20"/>
      <c r="DT59" s="20"/>
      <c r="DU59" s="20"/>
      <c r="DV59" s="20"/>
      <c r="DW59" s="20"/>
      <c r="DX59" s="20"/>
      <c r="DY59" s="22">
        <f t="shared" si="379"/>
        <v>0</v>
      </c>
      <c r="EA59" s="20"/>
      <c r="EB59" s="20"/>
      <c r="EC59" s="20"/>
      <c r="ED59" s="20"/>
      <c r="EE59" s="20"/>
      <c r="EF59" s="20"/>
      <c r="EG59" s="20"/>
      <c r="EH59" s="20"/>
      <c r="EI59" s="20"/>
      <c r="EJ59" s="20"/>
      <c r="EK59" s="20"/>
      <c r="EL59" s="20"/>
      <c r="EM59" s="22">
        <f t="shared" si="380"/>
        <v>0</v>
      </c>
    </row>
    <row r="60" spans="3:143" hidden="1" x14ac:dyDescent="0.2">
      <c r="C60" s="19" t="s">
        <v>61</v>
      </c>
      <c r="E60" s="20"/>
      <c r="F60" s="20"/>
      <c r="G60" s="20"/>
      <c r="H60" s="20"/>
      <c r="I60" s="20"/>
      <c r="J60" s="20"/>
      <c r="K60" s="20"/>
      <c r="L60" s="20"/>
      <c r="M60" s="20"/>
      <c r="N60" s="20"/>
      <c r="O60" s="20"/>
      <c r="P60" s="20"/>
      <c r="Q60" s="22">
        <f t="shared" si="381"/>
        <v>0</v>
      </c>
      <c r="S60" s="20"/>
      <c r="T60" s="20"/>
      <c r="U60" s="20"/>
      <c r="V60" s="20"/>
      <c r="W60" s="20"/>
      <c r="X60" s="20"/>
      <c r="Y60" s="20"/>
      <c r="Z60" s="20"/>
      <c r="AA60" s="20"/>
      <c r="AB60" s="20"/>
      <c r="AC60" s="20"/>
      <c r="AD60" s="20"/>
      <c r="AE60" s="22">
        <f t="shared" si="373"/>
        <v>0</v>
      </c>
      <c r="AG60" s="20"/>
      <c r="AH60" s="20"/>
      <c r="AI60" s="20"/>
      <c r="AJ60" s="20"/>
      <c r="AK60" s="20"/>
      <c r="AL60" s="20"/>
      <c r="AM60" s="20"/>
      <c r="AN60" s="20"/>
      <c r="AO60" s="20"/>
      <c r="AP60" s="20"/>
      <c r="AQ60" s="20"/>
      <c r="AR60" s="20"/>
      <c r="AS60" s="22">
        <f t="shared" si="382"/>
        <v>0</v>
      </c>
      <c r="AU60" s="20"/>
      <c r="AV60" s="20"/>
      <c r="AW60" s="20"/>
      <c r="AX60" s="20"/>
      <c r="AY60" s="20"/>
      <c r="AZ60" s="20"/>
      <c r="BA60" s="20"/>
      <c r="BB60" s="20"/>
      <c r="BC60" s="20"/>
      <c r="BD60" s="20"/>
      <c r="BE60" s="20"/>
      <c r="BF60" s="20"/>
      <c r="BG60" s="22">
        <f t="shared" si="374"/>
        <v>0</v>
      </c>
      <c r="BI60" s="20"/>
      <c r="BJ60" s="20"/>
      <c r="BK60" s="20"/>
      <c r="BL60" s="20"/>
      <c r="BM60" s="20"/>
      <c r="BN60" s="20"/>
      <c r="BO60" s="20"/>
      <c r="BP60" s="20"/>
      <c r="BQ60" s="20"/>
      <c r="BR60" s="20"/>
      <c r="BS60" s="20"/>
      <c r="BT60" s="20"/>
      <c r="BU60" s="22">
        <f t="shared" si="375"/>
        <v>0</v>
      </c>
      <c r="BW60" s="20"/>
      <c r="BX60" s="20"/>
      <c r="BY60" s="20"/>
      <c r="BZ60" s="20"/>
      <c r="CA60" s="20"/>
      <c r="CB60" s="20"/>
      <c r="CC60" s="20"/>
      <c r="CD60" s="20"/>
      <c r="CE60" s="20"/>
      <c r="CF60" s="20"/>
      <c r="CG60" s="20"/>
      <c r="CH60" s="20"/>
      <c r="CI60" s="22">
        <f t="shared" si="376"/>
        <v>0</v>
      </c>
      <c r="CK60" s="20"/>
      <c r="CL60" s="20"/>
      <c r="CM60" s="20"/>
      <c r="CN60" s="20"/>
      <c r="CO60" s="20"/>
      <c r="CP60" s="20"/>
      <c r="CQ60" s="20"/>
      <c r="CR60" s="20"/>
      <c r="CS60" s="20"/>
      <c r="CT60" s="20"/>
      <c r="CU60" s="20"/>
      <c r="CV60" s="20"/>
      <c r="CW60" s="22">
        <f t="shared" si="377"/>
        <v>0</v>
      </c>
      <c r="CY60" s="20"/>
      <c r="CZ60" s="20"/>
      <c r="DA60" s="20"/>
      <c r="DB60" s="20"/>
      <c r="DC60" s="20"/>
      <c r="DD60" s="20"/>
      <c r="DE60" s="20"/>
      <c r="DF60" s="20"/>
      <c r="DG60" s="20"/>
      <c r="DH60" s="20"/>
      <c r="DI60" s="20"/>
      <c r="DJ60" s="20"/>
      <c r="DK60" s="22">
        <f t="shared" si="378"/>
        <v>0</v>
      </c>
      <c r="DM60" s="20"/>
      <c r="DN60" s="20"/>
      <c r="DO60" s="20"/>
      <c r="DP60" s="20"/>
      <c r="DQ60" s="20"/>
      <c r="DR60" s="20"/>
      <c r="DS60" s="20"/>
      <c r="DT60" s="20"/>
      <c r="DU60" s="20"/>
      <c r="DV60" s="20"/>
      <c r="DW60" s="20"/>
      <c r="DX60" s="20"/>
      <c r="DY60" s="22">
        <f t="shared" si="379"/>
        <v>0</v>
      </c>
      <c r="EA60" s="20"/>
      <c r="EB60" s="20"/>
      <c r="EC60" s="20"/>
      <c r="ED60" s="20"/>
      <c r="EE60" s="20"/>
      <c r="EF60" s="20"/>
      <c r="EG60" s="20"/>
      <c r="EH60" s="20"/>
      <c r="EI60" s="20"/>
      <c r="EJ60" s="20"/>
      <c r="EK60" s="20"/>
      <c r="EL60" s="20"/>
      <c r="EM60" s="22">
        <f t="shared" si="380"/>
        <v>0</v>
      </c>
    </row>
    <row r="61" spans="3:143" hidden="1" x14ac:dyDescent="0.2">
      <c r="C61" s="19" t="s">
        <v>61</v>
      </c>
      <c r="E61" s="20"/>
      <c r="F61" s="20"/>
      <c r="G61" s="20"/>
      <c r="H61" s="20"/>
      <c r="I61" s="20"/>
      <c r="J61" s="20"/>
      <c r="K61" s="20"/>
      <c r="L61" s="20"/>
      <c r="M61" s="20"/>
      <c r="N61" s="20"/>
      <c r="O61" s="20"/>
      <c r="P61" s="20"/>
      <c r="Q61" s="22">
        <f t="shared" si="381"/>
        <v>0</v>
      </c>
      <c r="S61" s="20"/>
      <c r="T61" s="20"/>
      <c r="U61" s="20"/>
      <c r="V61" s="20"/>
      <c r="W61" s="20"/>
      <c r="X61" s="20"/>
      <c r="Y61" s="20"/>
      <c r="Z61" s="20"/>
      <c r="AA61" s="20"/>
      <c r="AB61" s="20"/>
      <c r="AC61" s="20"/>
      <c r="AD61" s="20"/>
      <c r="AE61" s="22">
        <f t="shared" si="373"/>
        <v>0</v>
      </c>
      <c r="AG61" s="20"/>
      <c r="AH61" s="20"/>
      <c r="AI61" s="20"/>
      <c r="AJ61" s="20"/>
      <c r="AK61" s="20"/>
      <c r="AL61" s="20"/>
      <c r="AM61" s="20"/>
      <c r="AN61" s="20"/>
      <c r="AO61" s="20"/>
      <c r="AP61" s="20"/>
      <c r="AQ61" s="20"/>
      <c r="AR61" s="20"/>
      <c r="AS61" s="22">
        <f t="shared" si="382"/>
        <v>0</v>
      </c>
      <c r="AU61" s="20"/>
      <c r="AV61" s="20"/>
      <c r="AW61" s="20"/>
      <c r="AX61" s="20"/>
      <c r="AY61" s="20"/>
      <c r="AZ61" s="20"/>
      <c r="BA61" s="20"/>
      <c r="BB61" s="20"/>
      <c r="BC61" s="20"/>
      <c r="BD61" s="20"/>
      <c r="BE61" s="20"/>
      <c r="BF61" s="20"/>
      <c r="BG61" s="22">
        <f t="shared" si="374"/>
        <v>0</v>
      </c>
      <c r="BI61" s="20"/>
      <c r="BJ61" s="20"/>
      <c r="BK61" s="20"/>
      <c r="BL61" s="20"/>
      <c r="BM61" s="20"/>
      <c r="BN61" s="20"/>
      <c r="BO61" s="20"/>
      <c r="BP61" s="20"/>
      <c r="BQ61" s="20"/>
      <c r="BR61" s="20"/>
      <c r="BS61" s="20"/>
      <c r="BT61" s="20"/>
      <c r="BU61" s="22">
        <f t="shared" si="375"/>
        <v>0</v>
      </c>
      <c r="BW61" s="20"/>
      <c r="BX61" s="20"/>
      <c r="BY61" s="20"/>
      <c r="BZ61" s="20"/>
      <c r="CA61" s="20"/>
      <c r="CB61" s="20"/>
      <c r="CC61" s="20"/>
      <c r="CD61" s="20"/>
      <c r="CE61" s="20"/>
      <c r="CF61" s="20"/>
      <c r="CG61" s="20"/>
      <c r="CH61" s="20"/>
      <c r="CI61" s="22">
        <f t="shared" si="376"/>
        <v>0</v>
      </c>
      <c r="CK61" s="20"/>
      <c r="CL61" s="20"/>
      <c r="CM61" s="20"/>
      <c r="CN61" s="20"/>
      <c r="CO61" s="20"/>
      <c r="CP61" s="20"/>
      <c r="CQ61" s="20"/>
      <c r="CR61" s="20"/>
      <c r="CS61" s="20"/>
      <c r="CT61" s="20"/>
      <c r="CU61" s="20"/>
      <c r="CV61" s="20"/>
      <c r="CW61" s="22">
        <f t="shared" si="377"/>
        <v>0</v>
      </c>
      <c r="CY61" s="20"/>
      <c r="CZ61" s="20"/>
      <c r="DA61" s="20"/>
      <c r="DB61" s="20"/>
      <c r="DC61" s="20"/>
      <c r="DD61" s="20"/>
      <c r="DE61" s="20"/>
      <c r="DF61" s="20"/>
      <c r="DG61" s="20"/>
      <c r="DH61" s="20"/>
      <c r="DI61" s="20"/>
      <c r="DJ61" s="20"/>
      <c r="DK61" s="22">
        <f t="shared" si="378"/>
        <v>0</v>
      </c>
      <c r="DM61" s="20"/>
      <c r="DN61" s="20"/>
      <c r="DO61" s="20"/>
      <c r="DP61" s="20"/>
      <c r="DQ61" s="20"/>
      <c r="DR61" s="20"/>
      <c r="DS61" s="20"/>
      <c r="DT61" s="20"/>
      <c r="DU61" s="20"/>
      <c r="DV61" s="20"/>
      <c r="DW61" s="20"/>
      <c r="DX61" s="20"/>
      <c r="DY61" s="22">
        <f t="shared" si="379"/>
        <v>0</v>
      </c>
      <c r="EA61" s="20"/>
      <c r="EB61" s="20"/>
      <c r="EC61" s="20"/>
      <c r="ED61" s="20"/>
      <c r="EE61" s="20"/>
      <c r="EF61" s="20"/>
      <c r="EG61" s="20"/>
      <c r="EH61" s="20"/>
      <c r="EI61" s="20"/>
      <c r="EJ61" s="20"/>
      <c r="EK61" s="20"/>
      <c r="EL61" s="20"/>
      <c r="EM61" s="22">
        <f t="shared" si="380"/>
        <v>0</v>
      </c>
    </row>
    <row r="62" spans="3:143" hidden="1" x14ac:dyDescent="0.2">
      <c r="C62" s="19" t="s">
        <v>61</v>
      </c>
      <c r="E62" s="20"/>
      <c r="F62" s="20"/>
      <c r="G62" s="20"/>
      <c r="H62" s="20"/>
      <c r="I62" s="20"/>
      <c r="J62" s="20"/>
      <c r="K62" s="20"/>
      <c r="L62" s="20"/>
      <c r="M62" s="20"/>
      <c r="N62" s="20"/>
      <c r="O62" s="20"/>
      <c r="P62" s="20"/>
      <c r="Q62" s="22">
        <f t="shared" ref="Q62:Q90" si="383">SUM(E62:P62)</f>
        <v>0</v>
      </c>
      <c r="S62" s="20"/>
      <c r="T62" s="20"/>
      <c r="U62" s="20"/>
      <c r="V62" s="20"/>
      <c r="W62" s="20"/>
      <c r="X62" s="20"/>
      <c r="Y62" s="20"/>
      <c r="Z62" s="20"/>
      <c r="AA62" s="20"/>
      <c r="AB62" s="20"/>
      <c r="AC62" s="20"/>
      <c r="AD62" s="20"/>
      <c r="AE62" s="22">
        <f t="shared" si="365"/>
        <v>0</v>
      </c>
      <c r="AG62" s="20"/>
      <c r="AH62" s="20"/>
      <c r="AI62" s="20"/>
      <c r="AJ62" s="20"/>
      <c r="AK62" s="20"/>
      <c r="AL62" s="20"/>
      <c r="AM62" s="20"/>
      <c r="AN62" s="20"/>
      <c r="AO62" s="20"/>
      <c r="AP62" s="20"/>
      <c r="AQ62" s="20"/>
      <c r="AR62" s="20"/>
      <c r="AS62" s="22">
        <f t="shared" ref="AS62:AS90" si="384">SUM(AG62:AR62)</f>
        <v>0</v>
      </c>
      <c r="AU62" s="20"/>
      <c r="AV62" s="20"/>
      <c r="AW62" s="20"/>
      <c r="AX62" s="20"/>
      <c r="AY62" s="20"/>
      <c r="AZ62" s="20"/>
      <c r="BA62" s="20"/>
      <c r="BB62" s="20"/>
      <c r="BC62" s="20"/>
      <c r="BD62" s="20"/>
      <c r="BE62" s="20"/>
      <c r="BF62" s="20"/>
      <c r="BG62" s="22">
        <f t="shared" si="366"/>
        <v>0</v>
      </c>
      <c r="BI62" s="20"/>
      <c r="BJ62" s="20"/>
      <c r="BK62" s="20"/>
      <c r="BL62" s="20"/>
      <c r="BM62" s="20"/>
      <c r="BN62" s="20"/>
      <c r="BO62" s="20"/>
      <c r="BP62" s="20"/>
      <c r="BQ62" s="20"/>
      <c r="BR62" s="20"/>
      <c r="BS62" s="20"/>
      <c r="BT62" s="20"/>
      <c r="BU62" s="22">
        <f t="shared" si="367"/>
        <v>0</v>
      </c>
      <c r="BW62" s="20"/>
      <c r="BX62" s="20"/>
      <c r="BY62" s="20"/>
      <c r="BZ62" s="20"/>
      <c r="CA62" s="20"/>
      <c r="CB62" s="20"/>
      <c r="CC62" s="20"/>
      <c r="CD62" s="20"/>
      <c r="CE62" s="20"/>
      <c r="CF62" s="20"/>
      <c r="CG62" s="20"/>
      <c r="CH62" s="20"/>
      <c r="CI62" s="22">
        <f t="shared" si="368"/>
        <v>0</v>
      </c>
      <c r="CK62" s="20"/>
      <c r="CL62" s="20"/>
      <c r="CM62" s="20"/>
      <c r="CN62" s="20"/>
      <c r="CO62" s="20"/>
      <c r="CP62" s="20"/>
      <c r="CQ62" s="20"/>
      <c r="CR62" s="20"/>
      <c r="CS62" s="20"/>
      <c r="CT62" s="20"/>
      <c r="CU62" s="20"/>
      <c r="CV62" s="20"/>
      <c r="CW62" s="22">
        <f t="shared" si="369"/>
        <v>0</v>
      </c>
      <c r="CY62" s="20"/>
      <c r="CZ62" s="20"/>
      <c r="DA62" s="20"/>
      <c r="DB62" s="20"/>
      <c r="DC62" s="20"/>
      <c r="DD62" s="20"/>
      <c r="DE62" s="20"/>
      <c r="DF62" s="20"/>
      <c r="DG62" s="20"/>
      <c r="DH62" s="20"/>
      <c r="DI62" s="20"/>
      <c r="DJ62" s="20"/>
      <c r="DK62" s="22">
        <f t="shared" si="370"/>
        <v>0</v>
      </c>
      <c r="DM62" s="20"/>
      <c r="DN62" s="20"/>
      <c r="DO62" s="20"/>
      <c r="DP62" s="20"/>
      <c r="DQ62" s="20"/>
      <c r="DR62" s="20"/>
      <c r="DS62" s="20"/>
      <c r="DT62" s="20"/>
      <c r="DU62" s="20"/>
      <c r="DV62" s="20"/>
      <c r="DW62" s="20"/>
      <c r="DX62" s="20"/>
      <c r="DY62" s="22">
        <f t="shared" si="371"/>
        <v>0</v>
      </c>
      <c r="EA62" s="20"/>
      <c r="EB62" s="20"/>
      <c r="EC62" s="20"/>
      <c r="ED62" s="20"/>
      <c r="EE62" s="20"/>
      <c r="EF62" s="20"/>
      <c r="EG62" s="20"/>
      <c r="EH62" s="20"/>
      <c r="EI62" s="20"/>
      <c r="EJ62" s="20"/>
      <c r="EK62" s="20"/>
      <c r="EL62" s="20"/>
      <c r="EM62" s="22">
        <f t="shared" si="372"/>
        <v>0</v>
      </c>
    </row>
    <row r="63" spans="3:143" hidden="1" x14ac:dyDescent="0.2">
      <c r="C63" s="19" t="s">
        <v>61</v>
      </c>
      <c r="E63" s="20"/>
      <c r="F63" s="20"/>
      <c r="G63" s="20"/>
      <c r="H63" s="20"/>
      <c r="I63" s="20"/>
      <c r="J63" s="20"/>
      <c r="K63" s="20"/>
      <c r="L63" s="20"/>
      <c r="M63" s="20"/>
      <c r="N63" s="20"/>
      <c r="O63" s="20"/>
      <c r="P63" s="20"/>
      <c r="Q63" s="22">
        <f t="shared" ref="Q63:Q87" si="385">SUM(E63:P63)</f>
        <v>0</v>
      </c>
      <c r="S63" s="20"/>
      <c r="T63" s="20"/>
      <c r="U63" s="20"/>
      <c r="V63" s="20"/>
      <c r="W63" s="20"/>
      <c r="X63" s="20"/>
      <c r="Y63" s="20"/>
      <c r="Z63" s="20"/>
      <c r="AA63" s="20"/>
      <c r="AB63" s="20"/>
      <c r="AC63" s="20"/>
      <c r="AD63" s="20"/>
      <c r="AE63" s="22">
        <f t="shared" ref="AE63:AE87" si="386">SUM(S63:AD63)</f>
        <v>0</v>
      </c>
      <c r="AG63" s="20"/>
      <c r="AH63" s="20"/>
      <c r="AI63" s="20"/>
      <c r="AJ63" s="20"/>
      <c r="AK63" s="20"/>
      <c r="AL63" s="20"/>
      <c r="AM63" s="20"/>
      <c r="AN63" s="20"/>
      <c r="AO63" s="20"/>
      <c r="AP63" s="20"/>
      <c r="AQ63" s="20"/>
      <c r="AR63" s="20"/>
      <c r="AS63" s="22">
        <f t="shared" ref="AS63:AS87" si="387">SUM(AG63:AR63)</f>
        <v>0</v>
      </c>
      <c r="AU63" s="20"/>
      <c r="AV63" s="20"/>
      <c r="AW63" s="20"/>
      <c r="AX63" s="20"/>
      <c r="AY63" s="20"/>
      <c r="AZ63" s="20"/>
      <c r="BA63" s="20"/>
      <c r="BB63" s="20"/>
      <c r="BC63" s="20"/>
      <c r="BD63" s="20"/>
      <c r="BE63" s="20"/>
      <c r="BF63" s="20"/>
      <c r="BG63" s="22">
        <f t="shared" ref="BG63:BG87" si="388">SUM(AU63:BF63)</f>
        <v>0</v>
      </c>
      <c r="BI63" s="20"/>
      <c r="BJ63" s="20"/>
      <c r="BK63" s="20"/>
      <c r="BL63" s="20"/>
      <c r="BM63" s="20"/>
      <c r="BN63" s="20"/>
      <c r="BO63" s="20"/>
      <c r="BP63" s="20"/>
      <c r="BQ63" s="20"/>
      <c r="BR63" s="20"/>
      <c r="BS63" s="20"/>
      <c r="BT63" s="20"/>
      <c r="BU63" s="22">
        <f t="shared" ref="BU63:BU87" si="389">SUM(BI63:BT63)</f>
        <v>0</v>
      </c>
      <c r="BW63" s="20"/>
      <c r="BX63" s="20"/>
      <c r="BY63" s="20"/>
      <c r="BZ63" s="20"/>
      <c r="CA63" s="20"/>
      <c r="CB63" s="20"/>
      <c r="CC63" s="20"/>
      <c r="CD63" s="20"/>
      <c r="CE63" s="20"/>
      <c r="CF63" s="20"/>
      <c r="CG63" s="20"/>
      <c r="CH63" s="20"/>
      <c r="CI63" s="22">
        <f t="shared" ref="CI63:CI87" si="390">SUM(BW63:CH63)</f>
        <v>0</v>
      </c>
      <c r="CK63" s="20"/>
      <c r="CL63" s="20"/>
      <c r="CM63" s="20"/>
      <c r="CN63" s="20"/>
      <c r="CO63" s="20"/>
      <c r="CP63" s="20"/>
      <c r="CQ63" s="20"/>
      <c r="CR63" s="20"/>
      <c r="CS63" s="20"/>
      <c r="CT63" s="20"/>
      <c r="CU63" s="20"/>
      <c r="CV63" s="20"/>
      <c r="CW63" s="22">
        <f t="shared" ref="CW63:CW87" si="391">SUM(CK63:CV63)</f>
        <v>0</v>
      </c>
      <c r="CY63" s="20"/>
      <c r="CZ63" s="20"/>
      <c r="DA63" s="20"/>
      <c r="DB63" s="20"/>
      <c r="DC63" s="20"/>
      <c r="DD63" s="20"/>
      <c r="DE63" s="20"/>
      <c r="DF63" s="20"/>
      <c r="DG63" s="20"/>
      <c r="DH63" s="20"/>
      <c r="DI63" s="20"/>
      <c r="DJ63" s="20"/>
      <c r="DK63" s="22">
        <f t="shared" ref="DK63:DK87" si="392">SUM(CY63:DJ63)</f>
        <v>0</v>
      </c>
      <c r="DM63" s="20"/>
      <c r="DN63" s="20"/>
      <c r="DO63" s="20"/>
      <c r="DP63" s="20"/>
      <c r="DQ63" s="20"/>
      <c r="DR63" s="20"/>
      <c r="DS63" s="20"/>
      <c r="DT63" s="20"/>
      <c r="DU63" s="20"/>
      <c r="DV63" s="20"/>
      <c r="DW63" s="20"/>
      <c r="DX63" s="20"/>
      <c r="DY63" s="22">
        <f t="shared" ref="DY63:DY87" si="393">SUM(DM63:DX63)</f>
        <v>0</v>
      </c>
      <c r="EA63" s="20"/>
      <c r="EB63" s="20"/>
      <c r="EC63" s="20"/>
      <c r="ED63" s="20"/>
      <c r="EE63" s="20"/>
      <c r="EF63" s="20"/>
      <c r="EG63" s="20"/>
      <c r="EH63" s="20"/>
      <c r="EI63" s="20"/>
      <c r="EJ63" s="20"/>
      <c r="EK63" s="20"/>
      <c r="EL63" s="20"/>
      <c r="EM63" s="22">
        <f t="shared" ref="EM63:EM87" si="394">SUM(EA63:EL63)</f>
        <v>0</v>
      </c>
    </row>
    <row r="64" spans="3:143" hidden="1" x14ac:dyDescent="0.2">
      <c r="C64" s="19" t="s">
        <v>61</v>
      </c>
      <c r="E64" s="20"/>
      <c r="F64" s="20"/>
      <c r="G64" s="20"/>
      <c r="H64" s="20"/>
      <c r="I64" s="20"/>
      <c r="J64" s="20"/>
      <c r="K64" s="20"/>
      <c r="L64" s="20"/>
      <c r="M64" s="20"/>
      <c r="N64" s="20"/>
      <c r="O64" s="20"/>
      <c r="P64" s="20"/>
      <c r="Q64" s="22">
        <f t="shared" si="385"/>
        <v>0</v>
      </c>
      <c r="S64" s="20"/>
      <c r="T64" s="20"/>
      <c r="U64" s="20"/>
      <c r="V64" s="20"/>
      <c r="W64" s="20"/>
      <c r="X64" s="20"/>
      <c r="Y64" s="20"/>
      <c r="Z64" s="20"/>
      <c r="AA64" s="20"/>
      <c r="AB64" s="20"/>
      <c r="AC64" s="20"/>
      <c r="AD64" s="20"/>
      <c r="AE64" s="22">
        <f t="shared" si="386"/>
        <v>0</v>
      </c>
      <c r="AG64" s="20"/>
      <c r="AH64" s="20"/>
      <c r="AI64" s="20"/>
      <c r="AJ64" s="20"/>
      <c r="AK64" s="20"/>
      <c r="AL64" s="20"/>
      <c r="AM64" s="20"/>
      <c r="AN64" s="20"/>
      <c r="AO64" s="20"/>
      <c r="AP64" s="20"/>
      <c r="AQ64" s="20"/>
      <c r="AR64" s="20"/>
      <c r="AS64" s="22">
        <f t="shared" si="387"/>
        <v>0</v>
      </c>
      <c r="AU64" s="20"/>
      <c r="AV64" s="20"/>
      <c r="AW64" s="20"/>
      <c r="AX64" s="20"/>
      <c r="AY64" s="20"/>
      <c r="AZ64" s="20"/>
      <c r="BA64" s="20"/>
      <c r="BB64" s="20"/>
      <c r="BC64" s="20"/>
      <c r="BD64" s="20"/>
      <c r="BE64" s="20"/>
      <c r="BF64" s="20"/>
      <c r="BG64" s="22">
        <f t="shared" si="388"/>
        <v>0</v>
      </c>
      <c r="BI64" s="20"/>
      <c r="BJ64" s="20"/>
      <c r="BK64" s="20"/>
      <c r="BL64" s="20"/>
      <c r="BM64" s="20"/>
      <c r="BN64" s="20"/>
      <c r="BO64" s="20"/>
      <c r="BP64" s="20"/>
      <c r="BQ64" s="20"/>
      <c r="BR64" s="20"/>
      <c r="BS64" s="20"/>
      <c r="BT64" s="20"/>
      <c r="BU64" s="22">
        <f t="shared" si="389"/>
        <v>0</v>
      </c>
      <c r="BW64" s="20"/>
      <c r="BX64" s="20"/>
      <c r="BY64" s="20"/>
      <c r="BZ64" s="20"/>
      <c r="CA64" s="20"/>
      <c r="CB64" s="20"/>
      <c r="CC64" s="20"/>
      <c r="CD64" s="20"/>
      <c r="CE64" s="20"/>
      <c r="CF64" s="20"/>
      <c r="CG64" s="20"/>
      <c r="CH64" s="20"/>
      <c r="CI64" s="22">
        <f t="shared" si="390"/>
        <v>0</v>
      </c>
      <c r="CK64" s="20"/>
      <c r="CL64" s="20"/>
      <c r="CM64" s="20"/>
      <c r="CN64" s="20"/>
      <c r="CO64" s="20"/>
      <c r="CP64" s="20"/>
      <c r="CQ64" s="20"/>
      <c r="CR64" s="20"/>
      <c r="CS64" s="20"/>
      <c r="CT64" s="20"/>
      <c r="CU64" s="20"/>
      <c r="CV64" s="20"/>
      <c r="CW64" s="22">
        <f t="shared" si="391"/>
        <v>0</v>
      </c>
      <c r="CY64" s="20"/>
      <c r="CZ64" s="20"/>
      <c r="DA64" s="20"/>
      <c r="DB64" s="20"/>
      <c r="DC64" s="20"/>
      <c r="DD64" s="20"/>
      <c r="DE64" s="20"/>
      <c r="DF64" s="20"/>
      <c r="DG64" s="20"/>
      <c r="DH64" s="20"/>
      <c r="DI64" s="20"/>
      <c r="DJ64" s="20"/>
      <c r="DK64" s="22">
        <f t="shared" si="392"/>
        <v>0</v>
      </c>
      <c r="DM64" s="20"/>
      <c r="DN64" s="20"/>
      <c r="DO64" s="20"/>
      <c r="DP64" s="20"/>
      <c r="DQ64" s="20"/>
      <c r="DR64" s="20"/>
      <c r="DS64" s="20"/>
      <c r="DT64" s="20"/>
      <c r="DU64" s="20"/>
      <c r="DV64" s="20"/>
      <c r="DW64" s="20"/>
      <c r="DX64" s="20"/>
      <c r="DY64" s="22">
        <f t="shared" si="393"/>
        <v>0</v>
      </c>
      <c r="EA64" s="20"/>
      <c r="EB64" s="20"/>
      <c r="EC64" s="20"/>
      <c r="ED64" s="20"/>
      <c r="EE64" s="20"/>
      <c r="EF64" s="20"/>
      <c r="EG64" s="20"/>
      <c r="EH64" s="20"/>
      <c r="EI64" s="20"/>
      <c r="EJ64" s="20"/>
      <c r="EK64" s="20"/>
      <c r="EL64" s="20"/>
      <c r="EM64" s="22">
        <f t="shared" si="394"/>
        <v>0</v>
      </c>
    </row>
    <row r="65" spans="3:143" hidden="1" x14ac:dyDescent="0.2">
      <c r="C65" s="19" t="s">
        <v>61</v>
      </c>
      <c r="E65" s="20"/>
      <c r="F65" s="20"/>
      <c r="G65" s="20"/>
      <c r="H65" s="20"/>
      <c r="I65" s="20"/>
      <c r="J65" s="20"/>
      <c r="K65" s="20"/>
      <c r="L65" s="20"/>
      <c r="M65" s="20"/>
      <c r="N65" s="20"/>
      <c r="O65" s="20"/>
      <c r="P65" s="20"/>
      <c r="Q65" s="22">
        <f t="shared" ref="Q65:Q79" si="395">SUM(E65:P65)</f>
        <v>0</v>
      </c>
      <c r="S65" s="20"/>
      <c r="T65" s="20"/>
      <c r="U65" s="20"/>
      <c r="V65" s="20"/>
      <c r="W65" s="20"/>
      <c r="X65" s="20"/>
      <c r="Y65" s="20"/>
      <c r="Z65" s="20"/>
      <c r="AA65" s="20"/>
      <c r="AB65" s="20"/>
      <c r="AC65" s="20"/>
      <c r="AD65" s="20"/>
      <c r="AE65" s="22">
        <f t="shared" ref="AE65:AE79" si="396">SUM(S65:AD65)</f>
        <v>0</v>
      </c>
      <c r="AG65" s="20"/>
      <c r="AH65" s="20"/>
      <c r="AI65" s="20"/>
      <c r="AJ65" s="20"/>
      <c r="AK65" s="20"/>
      <c r="AL65" s="20"/>
      <c r="AM65" s="20"/>
      <c r="AN65" s="20"/>
      <c r="AO65" s="20"/>
      <c r="AP65" s="20"/>
      <c r="AQ65" s="20"/>
      <c r="AR65" s="20"/>
      <c r="AS65" s="22">
        <f t="shared" ref="AS65:AS79" si="397">SUM(AG65:AR65)</f>
        <v>0</v>
      </c>
      <c r="AU65" s="20"/>
      <c r="AV65" s="20"/>
      <c r="AW65" s="20"/>
      <c r="AX65" s="20"/>
      <c r="AY65" s="20"/>
      <c r="AZ65" s="20"/>
      <c r="BA65" s="20"/>
      <c r="BB65" s="20"/>
      <c r="BC65" s="20"/>
      <c r="BD65" s="20"/>
      <c r="BE65" s="20"/>
      <c r="BF65" s="20"/>
      <c r="BG65" s="22">
        <f t="shared" ref="BG65:BG79" si="398">SUM(AU65:BF65)</f>
        <v>0</v>
      </c>
      <c r="BI65" s="20"/>
      <c r="BJ65" s="20"/>
      <c r="BK65" s="20"/>
      <c r="BL65" s="20"/>
      <c r="BM65" s="20"/>
      <c r="BN65" s="20"/>
      <c r="BO65" s="20"/>
      <c r="BP65" s="20"/>
      <c r="BQ65" s="20"/>
      <c r="BR65" s="20"/>
      <c r="BS65" s="20"/>
      <c r="BT65" s="20"/>
      <c r="BU65" s="22">
        <f t="shared" ref="BU65:BU79" si="399">SUM(BI65:BT65)</f>
        <v>0</v>
      </c>
      <c r="BW65" s="20"/>
      <c r="BX65" s="20"/>
      <c r="BY65" s="20"/>
      <c r="BZ65" s="20"/>
      <c r="CA65" s="20"/>
      <c r="CB65" s="20"/>
      <c r="CC65" s="20"/>
      <c r="CD65" s="20"/>
      <c r="CE65" s="20"/>
      <c r="CF65" s="20"/>
      <c r="CG65" s="20"/>
      <c r="CH65" s="20"/>
      <c r="CI65" s="22">
        <f t="shared" ref="CI65:CI79" si="400">SUM(BW65:CH65)</f>
        <v>0</v>
      </c>
      <c r="CK65" s="20"/>
      <c r="CL65" s="20"/>
      <c r="CM65" s="20"/>
      <c r="CN65" s="20"/>
      <c r="CO65" s="20"/>
      <c r="CP65" s="20"/>
      <c r="CQ65" s="20"/>
      <c r="CR65" s="20"/>
      <c r="CS65" s="20"/>
      <c r="CT65" s="20"/>
      <c r="CU65" s="20"/>
      <c r="CV65" s="20"/>
      <c r="CW65" s="22">
        <f t="shared" ref="CW65:CW79" si="401">SUM(CK65:CV65)</f>
        <v>0</v>
      </c>
      <c r="CY65" s="20"/>
      <c r="CZ65" s="20"/>
      <c r="DA65" s="20"/>
      <c r="DB65" s="20"/>
      <c r="DC65" s="20"/>
      <c r="DD65" s="20"/>
      <c r="DE65" s="20"/>
      <c r="DF65" s="20"/>
      <c r="DG65" s="20"/>
      <c r="DH65" s="20"/>
      <c r="DI65" s="20"/>
      <c r="DJ65" s="20"/>
      <c r="DK65" s="22">
        <f t="shared" ref="DK65:DK79" si="402">SUM(CY65:DJ65)</f>
        <v>0</v>
      </c>
      <c r="DM65" s="20"/>
      <c r="DN65" s="20"/>
      <c r="DO65" s="20"/>
      <c r="DP65" s="20"/>
      <c r="DQ65" s="20"/>
      <c r="DR65" s="20"/>
      <c r="DS65" s="20"/>
      <c r="DT65" s="20"/>
      <c r="DU65" s="20"/>
      <c r="DV65" s="20"/>
      <c r="DW65" s="20"/>
      <c r="DX65" s="20"/>
      <c r="DY65" s="22">
        <f t="shared" ref="DY65:DY79" si="403">SUM(DM65:DX65)</f>
        <v>0</v>
      </c>
      <c r="EA65" s="20"/>
      <c r="EB65" s="20"/>
      <c r="EC65" s="20"/>
      <c r="ED65" s="20"/>
      <c r="EE65" s="20"/>
      <c r="EF65" s="20"/>
      <c r="EG65" s="20"/>
      <c r="EH65" s="20"/>
      <c r="EI65" s="20"/>
      <c r="EJ65" s="20"/>
      <c r="EK65" s="20"/>
      <c r="EL65" s="20"/>
      <c r="EM65" s="22">
        <f t="shared" ref="EM65:EM79" si="404">SUM(EA65:EL65)</f>
        <v>0</v>
      </c>
    </row>
    <row r="66" spans="3:143" hidden="1" x14ac:dyDescent="0.2">
      <c r="C66" s="19" t="s">
        <v>61</v>
      </c>
      <c r="E66" s="20"/>
      <c r="F66" s="20"/>
      <c r="G66" s="20"/>
      <c r="H66" s="20"/>
      <c r="I66" s="20"/>
      <c r="J66" s="20"/>
      <c r="K66" s="20"/>
      <c r="L66" s="20"/>
      <c r="M66" s="20"/>
      <c r="N66" s="20"/>
      <c r="O66" s="20"/>
      <c r="P66" s="20"/>
      <c r="Q66" s="22">
        <f t="shared" si="395"/>
        <v>0</v>
      </c>
      <c r="S66" s="20"/>
      <c r="T66" s="20"/>
      <c r="U66" s="20"/>
      <c r="V66" s="20"/>
      <c r="W66" s="20"/>
      <c r="X66" s="20"/>
      <c r="Y66" s="20"/>
      <c r="Z66" s="20"/>
      <c r="AA66" s="20"/>
      <c r="AB66" s="20"/>
      <c r="AC66" s="20"/>
      <c r="AD66" s="20"/>
      <c r="AE66" s="22">
        <f t="shared" si="396"/>
        <v>0</v>
      </c>
      <c r="AG66" s="20"/>
      <c r="AH66" s="20"/>
      <c r="AI66" s="20"/>
      <c r="AJ66" s="20"/>
      <c r="AK66" s="20"/>
      <c r="AL66" s="20"/>
      <c r="AM66" s="20"/>
      <c r="AN66" s="20"/>
      <c r="AO66" s="20"/>
      <c r="AP66" s="20"/>
      <c r="AQ66" s="20"/>
      <c r="AR66" s="20"/>
      <c r="AS66" s="22">
        <f t="shared" si="397"/>
        <v>0</v>
      </c>
      <c r="AU66" s="20"/>
      <c r="AV66" s="20"/>
      <c r="AW66" s="20"/>
      <c r="AX66" s="20"/>
      <c r="AY66" s="20"/>
      <c r="AZ66" s="20"/>
      <c r="BA66" s="20"/>
      <c r="BB66" s="20"/>
      <c r="BC66" s="20"/>
      <c r="BD66" s="20"/>
      <c r="BE66" s="20"/>
      <c r="BF66" s="20"/>
      <c r="BG66" s="22">
        <f t="shared" si="398"/>
        <v>0</v>
      </c>
      <c r="BI66" s="20"/>
      <c r="BJ66" s="20"/>
      <c r="BK66" s="20"/>
      <c r="BL66" s="20"/>
      <c r="BM66" s="20"/>
      <c r="BN66" s="20"/>
      <c r="BO66" s="20"/>
      <c r="BP66" s="20"/>
      <c r="BQ66" s="20"/>
      <c r="BR66" s="20"/>
      <c r="BS66" s="20"/>
      <c r="BT66" s="20"/>
      <c r="BU66" s="22">
        <f t="shared" si="399"/>
        <v>0</v>
      </c>
      <c r="BW66" s="20"/>
      <c r="BX66" s="20"/>
      <c r="BY66" s="20"/>
      <c r="BZ66" s="20"/>
      <c r="CA66" s="20"/>
      <c r="CB66" s="20"/>
      <c r="CC66" s="20"/>
      <c r="CD66" s="20"/>
      <c r="CE66" s="20"/>
      <c r="CF66" s="20"/>
      <c r="CG66" s="20"/>
      <c r="CH66" s="20"/>
      <c r="CI66" s="22">
        <f t="shared" si="400"/>
        <v>0</v>
      </c>
      <c r="CK66" s="20"/>
      <c r="CL66" s="20"/>
      <c r="CM66" s="20"/>
      <c r="CN66" s="20"/>
      <c r="CO66" s="20"/>
      <c r="CP66" s="20"/>
      <c r="CQ66" s="20"/>
      <c r="CR66" s="20"/>
      <c r="CS66" s="20"/>
      <c r="CT66" s="20"/>
      <c r="CU66" s="20"/>
      <c r="CV66" s="20"/>
      <c r="CW66" s="22">
        <f t="shared" si="401"/>
        <v>0</v>
      </c>
      <c r="CY66" s="20"/>
      <c r="CZ66" s="20"/>
      <c r="DA66" s="20"/>
      <c r="DB66" s="20"/>
      <c r="DC66" s="20"/>
      <c r="DD66" s="20"/>
      <c r="DE66" s="20"/>
      <c r="DF66" s="20"/>
      <c r="DG66" s="20"/>
      <c r="DH66" s="20"/>
      <c r="DI66" s="20"/>
      <c r="DJ66" s="20"/>
      <c r="DK66" s="22">
        <f t="shared" si="402"/>
        <v>0</v>
      </c>
      <c r="DM66" s="20"/>
      <c r="DN66" s="20"/>
      <c r="DO66" s="20"/>
      <c r="DP66" s="20"/>
      <c r="DQ66" s="20"/>
      <c r="DR66" s="20"/>
      <c r="DS66" s="20"/>
      <c r="DT66" s="20"/>
      <c r="DU66" s="20"/>
      <c r="DV66" s="20"/>
      <c r="DW66" s="20"/>
      <c r="DX66" s="20"/>
      <c r="DY66" s="22">
        <f t="shared" si="403"/>
        <v>0</v>
      </c>
      <c r="EA66" s="20"/>
      <c r="EB66" s="20"/>
      <c r="EC66" s="20"/>
      <c r="ED66" s="20"/>
      <c r="EE66" s="20"/>
      <c r="EF66" s="20"/>
      <c r="EG66" s="20"/>
      <c r="EH66" s="20"/>
      <c r="EI66" s="20"/>
      <c r="EJ66" s="20"/>
      <c r="EK66" s="20"/>
      <c r="EL66" s="20"/>
      <c r="EM66" s="22">
        <f t="shared" si="404"/>
        <v>0</v>
      </c>
    </row>
    <row r="67" spans="3:143" hidden="1" x14ac:dyDescent="0.2">
      <c r="C67" s="19" t="s">
        <v>61</v>
      </c>
      <c r="E67" s="20"/>
      <c r="F67" s="20"/>
      <c r="G67" s="20"/>
      <c r="H67" s="20"/>
      <c r="I67" s="20"/>
      <c r="J67" s="20"/>
      <c r="K67" s="20"/>
      <c r="L67" s="20"/>
      <c r="M67" s="20"/>
      <c r="N67" s="20"/>
      <c r="O67" s="20"/>
      <c r="P67" s="20"/>
      <c r="Q67" s="22">
        <f t="shared" si="395"/>
        <v>0</v>
      </c>
      <c r="S67" s="20"/>
      <c r="T67" s="20"/>
      <c r="U67" s="20"/>
      <c r="V67" s="20"/>
      <c r="W67" s="20"/>
      <c r="X67" s="20"/>
      <c r="Y67" s="20"/>
      <c r="Z67" s="20"/>
      <c r="AA67" s="20"/>
      <c r="AB67" s="20"/>
      <c r="AC67" s="20"/>
      <c r="AD67" s="20"/>
      <c r="AE67" s="22">
        <f t="shared" si="396"/>
        <v>0</v>
      </c>
      <c r="AG67" s="20"/>
      <c r="AH67" s="20"/>
      <c r="AI67" s="20"/>
      <c r="AJ67" s="20"/>
      <c r="AK67" s="20"/>
      <c r="AL67" s="20"/>
      <c r="AM67" s="20"/>
      <c r="AN67" s="20"/>
      <c r="AO67" s="20"/>
      <c r="AP67" s="20"/>
      <c r="AQ67" s="20"/>
      <c r="AR67" s="20"/>
      <c r="AS67" s="22">
        <f t="shared" si="397"/>
        <v>0</v>
      </c>
      <c r="AU67" s="20"/>
      <c r="AV67" s="20"/>
      <c r="AW67" s="20"/>
      <c r="AX67" s="20"/>
      <c r="AY67" s="20"/>
      <c r="AZ67" s="20"/>
      <c r="BA67" s="20"/>
      <c r="BB67" s="20"/>
      <c r="BC67" s="20"/>
      <c r="BD67" s="20"/>
      <c r="BE67" s="20"/>
      <c r="BF67" s="20"/>
      <c r="BG67" s="22">
        <f t="shared" si="398"/>
        <v>0</v>
      </c>
      <c r="BI67" s="20"/>
      <c r="BJ67" s="20"/>
      <c r="BK67" s="20"/>
      <c r="BL67" s="20"/>
      <c r="BM67" s="20"/>
      <c r="BN67" s="20"/>
      <c r="BO67" s="20"/>
      <c r="BP67" s="20"/>
      <c r="BQ67" s="20"/>
      <c r="BR67" s="20"/>
      <c r="BS67" s="20"/>
      <c r="BT67" s="20"/>
      <c r="BU67" s="22">
        <f t="shared" si="399"/>
        <v>0</v>
      </c>
      <c r="BW67" s="20"/>
      <c r="BX67" s="20"/>
      <c r="BY67" s="20"/>
      <c r="BZ67" s="20"/>
      <c r="CA67" s="20"/>
      <c r="CB67" s="20"/>
      <c r="CC67" s="20"/>
      <c r="CD67" s="20"/>
      <c r="CE67" s="20"/>
      <c r="CF67" s="20"/>
      <c r="CG67" s="20"/>
      <c r="CH67" s="20"/>
      <c r="CI67" s="22">
        <f t="shared" si="400"/>
        <v>0</v>
      </c>
      <c r="CK67" s="20"/>
      <c r="CL67" s="20"/>
      <c r="CM67" s="20"/>
      <c r="CN67" s="20"/>
      <c r="CO67" s="20"/>
      <c r="CP67" s="20"/>
      <c r="CQ67" s="20"/>
      <c r="CR67" s="20"/>
      <c r="CS67" s="20"/>
      <c r="CT67" s="20"/>
      <c r="CU67" s="20"/>
      <c r="CV67" s="20"/>
      <c r="CW67" s="22">
        <f t="shared" si="401"/>
        <v>0</v>
      </c>
      <c r="CY67" s="20"/>
      <c r="CZ67" s="20"/>
      <c r="DA67" s="20"/>
      <c r="DB67" s="20"/>
      <c r="DC67" s="20"/>
      <c r="DD67" s="20"/>
      <c r="DE67" s="20"/>
      <c r="DF67" s="20"/>
      <c r="DG67" s="20"/>
      <c r="DH67" s="20"/>
      <c r="DI67" s="20"/>
      <c r="DJ67" s="20"/>
      <c r="DK67" s="22">
        <f t="shared" si="402"/>
        <v>0</v>
      </c>
      <c r="DM67" s="20"/>
      <c r="DN67" s="20"/>
      <c r="DO67" s="20"/>
      <c r="DP67" s="20"/>
      <c r="DQ67" s="20"/>
      <c r="DR67" s="20"/>
      <c r="DS67" s="20"/>
      <c r="DT67" s="20"/>
      <c r="DU67" s="20"/>
      <c r="DV67" s="20"/>
      <c r="DW67" s="20"/>
      <c r="DX67" s="20"/>
      <c r="DY67" s="22">
        <f t="shared" si="403"/>
        <v>0</v>
      </c>
      <c r="EA67" s="20"/>
      <c r="EB67" s="20"/>
      <c r="EC67" s="20"/>
      <c r="ED67" s="20"/>
      <c r="EE67" s="20"/>
      <c r="EF67" s="20"/>
      <c r="EG67" s="20"/>
      <c r="EH67" s="20"/>
      <c r="EI67" s="20"/>
      <c r="EJ67" s="20"/>
      <c r="EK67" s="20"/>
      <c r="EL67" s="20"/>
      <c r="EM67" s="22">
        <f t="shared" si="404"/>
        <v>0</v>
      </c>
    </row>
    <row r="68" spans="3:143" hidden="1" x14ac:dyDescent="0.2">
      <c r="C68" s="19" t="s">
        <v>61</v>
      </c>
      <c r="E68" s="20"/>
      <c r="F68" s="20"/>
      <c r="G68" s="20"/>
      <c r="H68" s="20"/>
      <c r="I68" s="20"/>
      <c r="J68" s="20"/>
      <c r="K68" s="20"/>
      <c r="L68" s="20"/>
      <c r="M68" s="20"/>
      <c r="N68" s="20"/>
      <c r="O68" s="20"/>
      <c r="P68" s="20"/>
      <c r="Q68" s="22">
        <f t="shared" si="395"/>
        <v>0</v>
      </c>
      <c r="S68" s="20"/>
      <c r="T68" s="20"/>
      <c r="U68" s="20"/>
      <c r="V68" s="20"/>
      <c r="W68" s="20"/>
      <c r="X68" s="20"/>
      <c r="Y68" s="20"/>
      <c r="Z68" s="20"/>
      <c r="AA68" s="20"/>
      <c r="AB68" s="20"/>
      <c r="AC68" s="20"/>
      <c r="AD68" s="20"/>
      <c r="AE68" s="22">
        <f t="shared" si="396"/>
        <v>0</v>
      </c>
      <c r="AG68" s="20"/>
      <c r="AH68" s="20"/>
      <c r="AI68" s="20"/>
      <c r="AJ68" s="20"/>
      <c r="AK68" s="20"/>
      <c r="AL68" s="20"/>
      <c r="AM68" s="20"/>
      <c r="AN68" s="20"/>
      <c r="AO68" s="20"/>
      <c r="AP68" s="20"/>
      <c r="AQ68" s="20"/>
      <c r="AR68" s="20"/>
      <c r="AS68" s="22">
        <f t="shared" si="397"/>
        <v>0</v>
      </c>
      <c r="AU68" s="20"/>
      <c r="AV68" s="20"/>
      <c r="AW68" s="20"/>
      <c r="AX68" s="20"/>
      <c r="AY68" s="20"/>
      <c r="AZ68" s="20"/>
      <c r="BA68" s="20"/>
      <c r="BB68" s="20"/>
      <c r="BC68" s="20"/>
      <c r="BD68" s="20"/>
      <c r="BE68" s="20"/>
      <c r="BF68" s="20"/>
      <c r="BG68" s="22">
        <f t="shared" si="398"/>
        <v>0</v>
      </c>
      <c r="BI68" s="20"/>
      <c r="BJ68" s="20"/>
      <c r="BK68" s="20"/>
      <c r="BL68" s="20"/>
      <c r="BM68" s="20"/>
      <c r="BN68" s="20"/>
      <c r="BO68" s="20"/>
      <c r="BP68" s="20"/>
      <c r="BQ68" s="20"/>
      <c r="BR68" s="20"/>
      <c r="BS68" s="20"/>
      <c r="BT68" s="20"/>
      <c r="BU68" s="22">
        <f t="shared" si="399"/>
        <v>0</v>
      </c>
      <c r="BW68" s="20"/>
      <c r="BX68" s="20"/>
      <c r="BY68" s="20"/>
      <c r="BZ68" s="20"/>
      <c r="CA68" s="20"/>
      <c r="CB68" s="20"/>
      <c r="CC68" s="20"/>
      <c r="CD68" s="20"/>
      <c r="CE68" s="20"/>
      <c r="CF68" s="20"/>
      <c r="CG68" s="20"/>
      <c r="CH68" s="20"/>
      <c r="CI68" s="22">
        <f t="shared" si="400"/>
        <v>0</v>
      </c>
      <c r="CK68" s="20"/>
      <c r="CL68" s="20"/>
      <c r="CM68" s="20"/>
      <c r="CN68" s="20"/>
      <c r="CO68" s="20"/>
      <c r="CP68" s="20"/>
      <c r="CQ68" s="20"/>
      <c r="CR68" s="20"/>
      <c r="CS68" s="20"/>
      <c r="CT68" s="20"/>
      <c r="CU68" s="20"/>
      <c r="CV68" s="20"/>
      <c r="CW68" s="22">
        <f t="shared" si="401"/>
        <v>0</v>
      </c>
      <c r="CY68" s="20"/>
      <c r="CZ68" s="20"/>
      <c r="DA68" s="20"/>
      <c r="DB68" s="20"/>
      <c r="DC68" s="20"/>
      <c r="DD68" s="20"/>
      <c r="DE68" s="20"/>
      <c r="DF68" s="20"/>
      <c r="DG68" s="20"/>
      <c r="DH68" s="20"/>
      <c r="DI68" s="20"/>
      <c r="DJ68" s="20"/>
      <c r="DK68" s="22">
        <f t="shared" si="402"/>
        <v>0</v>
      </c>
      <c r="DM68" s="20"/>
      <c r="DN68" s="20"/>
      <c r="DO68" s="20"/>
      <c r="DP68" s="20"/>
      <c r="DQ68" s="20"/>
      <c r="DR68" s="20"/>
      <c r="DS68" s="20"/>
      <c r="DT68" s="20"/>
      <c r="DU68" s="20"/>
      <c r="DV68" s="20"/>
      <c r="DW68" s="20"/>
      <c r="DX68" s="20"/>
      <c r="DY68" s="22">
        <f t="shared" si="403"/>
        <v>0</v>
      </c>
      <c r="EA68" s="20"/>
      <c r="EB68" s="20"/>
      <c r="EC68" s="20"/>
      <c r="ED68" s="20"/>
      <c r="EE68" s="20"/>
      <c r="EF68" s="20"/>
      <c r="EG68" s="20"/>
      <c r="EH68" s="20"/>
      <c r="EI68" s="20"/>
      <c r="EJ68" s="20"/>
      <c r="EK68" s="20"/>
      <c r="EL68" s="20"/>
      <c r="EM68" s="22">
        <f t="shared" si="404"/>
        <v>0</v>
      </c>
    </row>
    <row r="69" spans="3:143" hidden="1" x14ac:dyDescent="0.2">
      <c r="C69" s="19" t="s">
        <v>61</v>
      </c>
      <c r="E69" s="20"/>
      <c r="F69" s="20"/>
      <c r="G69" s="20"/>
      <c r="H69" s="20"/>
      <c r="I69" s="20"/>
      <c r="J69" s="20"/>
      <c r="K69" s="20"/>
      <c r="L69" s="20"/>
      <c r="M69" s="20"/>
      <c r="N69" s="20"/>
      <c r="O69" s="20"/>
      <c r="P69" s="20"/>
      <c r="Q69" s="22">
        <f t="shared" si="395"/>
        <v>0</v>
      </c>
      <c r="S69" s="20"/>
      <c r="T69" s="20"/>
      <c r="U69" s="20"/>
      <c r="V69" s="20"/>
      <c r="W69" s="20"/>
      <c r="X69" s="20"/>
      <c r="Y69" s="20"/>
      <c r="Z69" s="20"/>
      <c r="AA69" s="20"/>
      <c r="AB69" s="20"/>
      <c r="AC69" s="20"/>
      <c r="AD69" s="20"/>
      <c r="AE69" s="22">
        <f t="shared" si="396"/>
        <v>0</v>
      </c>
      <c r="AG69" s="20"/>
      <c r="AH69" s="20"/>
      <c r="AI69" s="20"/>
      <c r="AJ69" s="20"/>
      <c r="AK69" s="20"/>
      <c r="AL69" s="20"/>
      <c r="AM69" s="20"/>
      <c r="AN69" s="20"/>
      <c r="AO69" s="20"/>
      <c r="AP69" s="20"/>
      <c r="AQ69" s="20"/>
      <c r="AR69" s="20"/>
      <c r="AS69" s="22">
        <f t="shared" si="397"/>
        <v>0</v>
      </c>
      <c r="AU69" s="20"/>
      <c r="AV69" s="20"/>
      <c r="AW69" s="20"/>
      <c r="AX69" s="20"/>
      <c r="AY69" s="20"/>
      <c r="AZ69" s="20"/>
      <c r="BA69" s="20"/>
      <c r="BB69" s="20"/>
      <c r="BC69" s="20"/>
      <c r="BD69" s="20"/>
      <c r="BE69" s="20"/>
      <c r="BF69" s="20"/>
      <c r="BG69" s="22">
        <f t="shared" si="398"/>
        <v>0</v>
      </c>
      <c r="BI69" s="20"/>
      <c r="BJ69" s="20"/>
      <c r="BK69" s="20"/>
      <c r="BL69" s="20"/>
      <c r="BM69" s="20"/>
      <c r="BN69" s="20"/>
      <c r="BO69" s="20"/>
      <c r="BP69" s="20"/>
      <c r="BQ69" s="20"/>
      <c r="BR69" s="20"/>
      <c r="BS69" s="20"/>
      <c r="BT69" s="20"/>
      <c r="BU69" s="22">
        <f t="shared" si="399"/>
        <v>0</v>
      </c>
      <c r="BW69" s="20"/>
      <c r="BX69" s="20"/>
      <c r="BY69" s="20"/>
      <c r="BZ69" s="20"/>
      <c r="CA69" s="20"/>
      <c r="CB69" s="20"/>
      <c r="CC69" s="20"/>
      <c r="CD69" s="20"/>
      <c r="CE69" s="20"/>
      <c r="CF69" s="20"/>
      <c r="CG69" s="20"/>
      <c r="CH69" s="20"/>
      <c r="CI69" s="22">
        <f t="shared" si="400"/>
        <v>0</v>
      </c>
      <c r="CK69" s="20"/>
      <c r="CL69" s="20"/>
      <c r="CM69" s="20"/>
      <c r="CN69" s="20"/>
      <c r="CO69" s="20"/>
      <c r="CP69" s="20"/>
      <c r="CQ69" s="20"/>
      <c r="CR69" s="20"/>
      <c r="CS69" s="20"/>
      <c r="CT69" s="20"/>
      <c r="CU69" s="20"/>
      <c r="CV69" s="20"/>
      <c r="CW69" s="22">
        <f t="shared" si="401"/>
        <v>0</v>
      </c>
      <c r="CY69" s="20"/>
      <c r="CZ69" s="20"/>
      <c r="DA69" s="20"/>
      <c r="DB69" s="20"/>
      <c r="DC69" s="20"/>
      <c r="DD69" s="20"/>
      <c r="DE69" s="20"/>
      <c r="DF69" s="20"/>
      <c r="DG69" s="20"/>
      <c r="DH69" s="20"/>
      <c r="DI69" s="20"/>
      <c r="DJ69" s="20"/>
      <c r="DK69" s="22">
        <f t="shared" si="402"/>
        <v>0</v>
      </c>
      <c r="DM69" s="20"/>
      <c r="DN69" s="20"/>
      <c r="DO69" s="20"/>
      <c r="DP69" s="20"/>
      <c r="DQ69" s="20"/>
      <c r="DR69" s="20"/>
      <c r="DS69" s="20"/>
      <c r="DT69" s="20"/>
      <c r="DU69" s="20"/>
      <c r="DV69" s="20"/>
      <c r="DW69" s="20"/>
      <c r="DX69" s="20"/>
      <c r="DY69" s="22">
        <f t="shared" si="403"/>
        <v>0</v>
      </c>
      <c r="EA69" s="20"/>
      <c r="EB69" s="20"/>
      <c r="EC69" s="20"/>
      <c r="ED69" s="20"/>
      <c r="EE69" s="20"/>
      <c r="EF69" s="20"/>
      <c r="EG69" s="20"/>
      <c r="EH69" s="20"/>
      <c r="EI69" s="20"/>
      <c r="EJ69" s="20"/>
      <c r="EK69" s="20"/>
      <c r="EL69" s="20"/>
      <c r="EM69" s="22">
        <f t="shared" si="404"/>
        <v>0</v>
      </c>
    </row>
    <row r="70" spans="3:143" hidden="1" x14ac:dyDescent="0.2">
      <c r="C70" s="19" t="s">
        <v>61</v>
      </c>
      <c r="E70" s="20"/>
      <c r="F70" s="20"/>
      <c r="G70" s="20"/>
      <c r="H70" s="20"/>
      <c r="I70" s="20"/>
      <c r="J70" s="20"/>
      <c r="K70" s="20"/>
      <c r="L70" s="20"/>
      <c r="M70" s="20"/>
      <c r="N70" s="20"/>
      <c r="O70" s="20"/>
      <c r="P70" s="20"/>
      <c r="Q70" s="22">
        <f t="shared" si="395"/>
        <v>0</v>
      </c>
      <c r="S70" s="20"/>
      <c r="T70" s="20"/>
      <c r="U70" s="20"/>
      <c r="V70" s="20"/>
      <c r="W70" s="20"/>
      <c r="X70" s="20"/>
      <c r="Y70" s="20"/>
      <c r="Z70" s="20"/>
      <c r="AA70" s="20"/>
      <c r="AB70" s="20"/>
      <c r="AC70" s="20"/>
      <c r="AD70" s="20"/>
      <c r="AE70" s="22">
        <f t="shared" si="396"/>
        <v>0</v>
      </c>
      <c r="AG70" s="20"/>
      <c r="AH70" s="20"/>
      <c r="AI70" s="20"/>
      <c r="AJ70" s="20"/>
      <c r="AK70" s="20"/>
      <c r="AL70" s="20"/>
      <c r="AM70" s="20"/>
      <c r="AN70" s="20"/>
      <c r="AO70" s="20"/>
      <c r="AP70" s="20"/>
      <c r="AQ70" s="20"/>
      <c r="AR70" s="20"/>
      <c r="AS70" s="22">
        <f t="shared" si="397"/>
        <v>0</v>
      </c>
      <c r="AU70" s="20"/>
      <c r="AV70" s="20"/>
      <c r="AW70" s="20"/>
      <c r="AX70" s="20"/>
      <c r="AY70" s="20"/>
      <c r="AZ70" s="20"/>
      <c r="BA70" s="20"/>
      <c r="BB70" s="20"/>
      <c r="BC70" s="20"/>
      <c r="BD70" s="20"/>
      <c r="BE70" s="20"/>
      <c r="BF70" s="20"/>
      <c r="BG70" s="22">
        <f t="shared" si="398"/>
        <v>0</v>
      </c>
      <c r="BI70" s="20"/>
      <c r="BJ70" s="20"/>
      <c r="BK70" s="20"/>
      <c r="BL70" s="20"/>
      <c r="BM70" s="20"/>
      <c r="BN70" s="20"/>
      <c r="BO70" s="20"/>
      <c r="BP70" s="20"/>
      <c r="BQ70" s="20"/>
      <c r="BR70" s="20"/>
      <c r="BS70" s="20"/>
      <c r="BT70" s="20"/>
      <c r="BU70" s="22">
        <f t="shared" si="399"/>
        <v>0</v>
      </c>
      <c r="BW70" s="20"/>
      <c r="BX70" s="20"/>
      <c r="BY70" s="20"/>
      <c r="BZ70" s="20"/>
      <c r="CA70" s="20"/>
      <c r="CB70" s="20"/>
      <c r="CC70" s="20"/>
      <c r="CD70" s="20"/>
      <c r="CE70" s="20"/>
      <c r="CF70" s="20"/>
      <c r="CG70" s="20"/>
      <c r="CH70" s="20"/>
      <c r="CI70" s="22">
        <f t="shared" si="400"/>
        <v>0</v>
      </c>
      <c r="CK70" s="20"/>
      <c r="CL70" s="20"/>
      <c r="CM70" s="20"/>
      <c r="CN70" s="20"/>
      <c r="CO70" s="20"/>
      <c r="CP70" s="20"/>
      <c r="CQ70" s="20"/>
      <c r="CR70" s="20"/>
      <c r="CS70" s="20"/>
      <c r="CT70" s="20"/>
      <c r="CU70" s="20"/>
      <c r="CV70" s="20"/>
      <c r="CW70" s="22">
        <f t="shared" si="401"/>
        <v>0</v>
      </c>
      <c r="CY70" s="20"/>
      <c r="CZ70" s="20"/>
      <c r="DA70" s="20"/>
      <c r="DB70" s="20"/>
      <c r="DC70" s="20"/>
      <c r="DD70" s="20"/>
      <c r="DE70" s="20"/>
      <c r="DF70" s="20"/>
      <c r="DG70" s="20"/>
      <c r="DH70" s="20"/>
      <c r="DI70" s="20"/>
      <c r="DJ70" s="20"/>
      <c r="DK70" s="22">
        <f t="shared" si="402"/>
        <v>0</v>
      </c>
      <c r="DM70" s="20"/>
      <c r="DN70" s="20"/>
      <c r="DO70" s="20"/>
      <c r="DP70" s="20"/>
      <c r="DQ70" s="20"/>
      <c r="DR70" s="20"/>
      <c r="DS70" s="20"/>
      <c r="DT70" s="20"/>
      <c r="DU70" s="20"/>
      <c r="DV70" s="20"/>
      <c r="DW70" s="20"/>
      <c r="DX70" s="20"/>
      <c r="DY70" s="22">
        <f t="shared" si="403"/>
        <v>0</v>
      </c>
      <c r="EA70" s="20"/>
      <c r="EB70" s="20"/>
      <c r="EC70" s="20"/>
      <c r="ED70" s="20"/>
      <c r="EE70" s="20"/>
      <c r="EF70" s="20"/>
      <c r="EG70" s="20"/>
      <c r="EH70" s="20"/>
      <c r="EI70" s="20"/>
      <c r="EJ70" s="20"/>
      <c r="EK70" s="20"/>
      <c r="EL70" s="20"/>
      <c r="EM70" s="22">
        <f t="shared" si="404"/>
        <v>0</v>
      </c>
    </row>
    <row r="71" spans="3:143" hidden="1" x14ac:dyDescent="0.2">
      <c r="C71" s="19" t="s">
        <v>61</v>
      </c>
      <c r="E71" s="20"/>
      <c r="F71" s="20"/>
      <c r="G71" s="20"/>
      <c r="H71" s="20"/>
      <c r="I71" s="20"/>
      <c r="J71" s="20"/>
      <c r="K71" s="20"/>
      <c r="L71" s="20"/>
      <c r="M71" s="20"/>
      <c r="N71" s="20"/>
      <c r="O71" s="20"/>
      <c r="P71" s="20"/>
      <c r="Q71" s="22">
        <f t="shared" si="395"/>
        <v>0</v>
      </c>
      <c r="S71" s="20"/>
      <c r="T71" s="20"/>
      <c r="U71" s="20"/>
      <c r="V71" s="20"/>
      <c r="W71" s="20"/>
      <c r="X71" s="20"/>
      <c r="Y71" s="20"/>
      <c r="Z71" s="20"/>
      <c r="AA71" s="20"/>
      <c r="AB71" s="20"/>
      <c r="AC71" s="20"/>
      <c r="AD71" s="20"/>
      <c r="AE71" s="22">
        <f t="shared" si="396"/>
        <v>0</v>
      </c>
      <c r="AG71" s="20"/>
      <c r="AH71" s="20"/>
      <c r="AI71" s="20"/>
      <c r="AJ71" s="20"/>
      <c r="AK71" s="20"/>
      <c r="AL71" s="20"/>
      <c r="AM71" s="20"/>
      <c r="AN71" s="20"/>
      <c r="AO71" s="20"/>
      <c r="AP71" s="20"/>
      <c r="AQ71" s="20"/>
      <c r="AR71" s="20"/>
      <c r="AS71" s="22">
        <f t="shared" si="397"/>
        <v>0</v>
      </c>
      <c r="AU71" s="20"/>
      <c r="AV71" s="20"/>
      <c r="AW71" s="20"/>
      <c r="AX71" s="20"/>
      <c r="AY71" s="20"/>
      <c r="AZ71" s="20"/>
      <c r="BA71" s="20"/>
      <c r="BB71" s="20"/>
      <c r="BC71" s="20"/>
      <c r="BD71" s="20"/>
      <c r="BE71" s="20"/>
      <c r="BF71" s="20"/>
      <c r="BG71" s="22">
        <f t="shared" si="398"/>
        <v>0</v>
      </c>
      <c r="BI71" s="20"/>
      <c r="BJ71" s="20"/>
      <c r="BK71" s="20"/>
      <c r="BL71" s="20"/>
      <c r="BM71" s="20"/>
      <c r="BN71" s="20"/>
      <c r="BO71" s="20"/>
      <c r="BP71" s="20"/>
      <c r="BQ71" s="20"/>
      <c r="BR71" s="20"/>
      <c r="BS71" s="20"/>
      <c r="BT71" s="20"/>
      <c r="BU71" s="22">
        <f t="shared" si="399"/>
        <v>0</v>
      </c>
      <c r="BW71" s="20"/>
      <c r="BX71" s="20"/>
      <c r="BY71" s="20"/>
      <c r="BZ71" s="20"/>
      <c r="CA71" s="20"/>
      <c r="CB71" s="20"/>
      <c r="CC71" s="20"/>
      <c r="CD71" s="20"/>
      <c r="CE71" s="20"/>
      <c r="CF71" s="20"/>
      <c r="CG71" s="20"/>
      <c r="CH71" s="20"/>
      <c r="CI71" s="22">
        <f t="shared" si="400"/>
        <v>0</v>
      </c>
      <c r="CK71" s="20"/>
      <c r="CL71" s="20"/>
      <c r="CM71" s="20"/>
      <c r="CN71" s="20"/>
      <c r="CO71" s="20"/>
      <c r="CP71" s="20"/>
      <c r="CQ71" s="20"/>
      <c r="CR71" s="20"/>
      <c r="CS71" s="20"/>
      <c r="CT71" s="20"/>
      <c r="CU71" s="20"/>
      <c r="CV71" s="20"/>
      <c r="CW71" s="22">
        <f t="shared" si="401"/>
        <v>0</v>
      </c>
      <c r="CY71" s="20"/>
      <c r="CZ71" s="20"/>
      <c r="DA71" s="20"/>
      <c r="DB71" s="20"/>
      <c r="DC71" s="20"/>
      <c r="DD71" s="20"/>
      <c r="DE71" s="20"/>
      <c r="DF71" s="20"/>
      <c r="DG71" s="20"/>
      <c r="DH71" s="20"/>
      <c r="DI71" s="20"/>
      <c r="DJ71" s="20"/>
      <c r="DK71" s="22">
        <f t="shared" si="402"/>
        <v>0</v>
      </c>
      <c r="DM71" s="20"/>
      <c r="DN71" s="20"/>
      <c r="DO71" s="20"/>
      <c r="DP71" s="20"/>
      <c r="DQ71" s="20"/>
      <c r="DR71" s="20"/>
      <c r="DS71" s="20"/>
      <c r="DT71" s="20"/>
      <c r="DU71" s="20"/>
      <c r="DV71" s="20"/>
      <c r="DW71" s="20"/>
      <c r="DX71" s="20"/>
      <c r="DY71" s="22">
        <f t="shared" si="403"/>
        <v>0</v>
      </c>
      <c r="EA71" s="20"/>
      <c r="EB71" s="20"/>
      <c r="EC71" s="20"/>
      <c r="ED71" s="20"/>
      <c r="EE71" s="20"/>
      <c r="EF71" s="20"/>
      <c r="EG71" s="20"/>
      <c r="EH71" s="20"/>
      <c r="EI71" s="20"/>
      <c r="EJ71" s="20"/>
      <c r="EK71" s="20"/>
      <c r="EL71" s="20"/>
      <c r="EM71" s="22">
        <f t="shared" si="404"/>
        <v>0</v>
      </c>
    </row>
    <row r="72" spans="3:143" hidden="1" x14ac:dyDescent="0.2">
      <c r="C72" s="19" t="s">
        <v>61</v>
      </c>
      <c r="E72" s="20"/>
      <c r="F72" s="20"/>
      <c r="G72" s="20"/>
      <c r="H72" s="20"/>
      <c r="I72" s="20"/>
      <c r="J72" s="20"/>
      <c r="K72" s="20"/>
      <c r="L72" s="20"/>
      <c r="M72" s="20"/>
      <c r="N72" s="20"/>
      <c r="O72" s="20"/>
      <c r="P72" s="20"/>
      <c r="Q72" s="22">
        <f t="shared" si="395"/>
        <v>0</v>
      </c>
      <c r="S72" s="20"/>
      <c r="T72" s="20"/>
      <c r="U72" s="20"/>
      <c r="V72" s="20"/>
      <c r="W72" s="20"/>
      <c r="X72" s="20"/>
      <c r="Y72" s="20"/>
      <c r="Z72" s="20"/>
      <c r="AA72" s="20"/>
      <c r="AB72" s="20"/>
      <c r="AC72" s="20"/>
      <c r="AD72" s="20"/>
      <c r="AE72" s="22">
        <f t="shared" si="396"/>
        <v>0</v>
      </c>
      <c r="AG72" s="20"/>
      <c r="AH72" s="20"/>
      <c r="AI72" s="20"/>
      <c r="AJ72" s="20"/>
      <c r="AK72" s="20"/>
      <c r="AL72" s="20"/>
      <c r="AM72" s="20"/>
      <c r="AN72" s="20"/>
      <c r="AO72" s="20"/>
      <c r="AP72" s="20"/>
      <c r="AQ72" s="20"/>
      <c r="AR72" s="20"/>
      <c r="AS72" s="22">
        <f t="shared" si="397"/>
        <v>0</v>
      </c>
      <c r="AU72" s="20"/>
      <c r="AV72" s="20"/>
      <c r="AW72" s="20"/>
      <c r="AX72" s="20"/>
      <c r="AY72" s="20"/>
      <c r="AZ72" s="20"/>
      <c r="BA72" s="20"/>
      <c r="BB72" s="20"/>
      <c r="BC72" s="20"/>
      <c r="BD72" s="20"/>
      <c r="BE72" s="20"/>
      <c r="BF72" s="20"/>
      <c r="BG72" s="22">
        <f t="shared" si="398"/>
        <v>0</v>
      </c>
      <c r="BI72" s="20"/>
      <c r="BJ72" s="20"/>
      <c r="BK72" s="20"/>
      <c r="BL72" s="20"/>
      <c r="BM72" s="20"/>
      <c r="BN72" s="20"/>
      <c r="BO72" s="20"/>
      <c r="BP72" s="20"/>
      <c r="BQ72" s="20"/>
      <c r="BR72" s="20"/>
      <c r="BS72" s="20"/>
      <c r="BT72" s="20"/>
      <c r="BU72" s="22">
        <f t="shared" si="399"/>
        <v>0</v>
      </c>
      <c r="BW72" s="20"/>
      <c r="BX72" s="20"/>
      <c r="BY72" s="20"/>
      <c r="BZ72" s="20"/>
      <c r="CA72" s="20"/>
      <c r="CB72" s="20"/>
      <c r="CC72" s="20"/>
      <c r="CD72" s="20"/>
      <c r="CE72" s="20"/>
      <c r="CF72" s="20"/>
      <c r="CG72" s="20"/>
      <c r="CH72" s="20"/>
      <c r="CI72" s="22">
        <f t="shared" si="400"/>
        <v>0</v>
      </c>
      <c r="CK72" s="20"/>
      <c r="CL72" s="20"/>
      <c r="CM72" s="20"/>
      <c r="CN72" s="20"/>
      <c r="CO72" s="20"/>
      <c r="CP72" s="20"/>
      <c r="CQ72" s="20"/>
      <c r="CR72" s="20"/>
      <c r="CS72" s="20"/>
      <c r="CT72" s="20"/>
      <c r="CU72" s="20"/>
      <c r="CV72" s="20"/>
      <c r="CW72" s="22">
        <f t="shared" si="401"/>
        <v>0</v>
      </c>
      <c r="CY72" s="20"/>
      <c r="CZ72" s="20"/>
      <c r="DA72" s="20"/>
      <c r="DB72" s="20"/>
      <c r="DC72" s="20"/>
      <c r="DD72" s="20"/>
      <c r="DE72" s="20"/>
      <c r="DF72" s="20"/>
      <c r="DG72" s="20"/>
      <c r="DH72" s="20"/>
      <c r="DI72" s="20"/>
      <c r="DJ72" s="20"/>
      <c r="DK72" s="22">
        <f t="shared" si="402"/>
        <v>0</v>
      </c>
      <c r="DM72" s="20"/>
      <c r="DN72" s="20"/>
      <c r="DO72" s="20"/>
      <c r="DP72" s="20"/>
      <c r="DQ72" s="20"/>
      <c r="DR72" s="20"/>
      <c r="DS72" s="20"/>
      <c r="DT72" s="20"/>
      <c r="DU72" s="20"/>
      <c r="DV72" s="20"/>
      <c r="DW72" s="20"/>
      <c r="DX72" s="20"/>
      <c r="DY72" s="22">
        <f t="shared" si="403"/>
        <v>0</v>
      </c>
      <c r="EA72" s="20"/>
      <c r="EB72" s="20"/>
      <c r="EC72" s="20"/>
      <c r="ED72" s="20"/>
      <c r="EE72" s="20"/>
      <c r="EF72" s="20"/>
      <c r="EG72" s="20"/>
      <c r="EH72" s="20"/>
      <c r="EI72" s="20"/>
      <c r="EJ72" s="20"/>
      <c r="EK72" s="20"/>
      <c r="EL72" s="20"/>
      <c r="EM72" s="22">
        <f t="shared" si="404"/>
        <v>0</v>
      </c>
    </row>
    <row r="73" spans="3:143" hidden="1" x14ac:dyDescent="0.2">
      <c r="C73" s="19" t="s">
        <v>61</v>
      </c>
      <c r="E73" s="20"/>
      <c r="F73" s="20"/>
      <c r="G73" s="20"/>
      <c r="H73" s="20"/>
      <c r="I73" s="20"/>
      <c r="J73" s="20"/>
      <c r="K73" s="20"/>
      <c r="L73" s="20"/>
      <c r="M73" s="20"/>
      <c r="N73" s="20"/>
      <c r="O73" s="20"/>
      <c r="P73" s="20"/>
      <c r="Q73" s="22">
        <f t="shared" si="395"/>
        <v>0</v>
      </c>
      <c r="S73" s="20"/>
      <c r="T73" s="20"/>
      <c r="U73" s="20"/>
      <c r="V73" s="20"/>
      <c r="W73" s="20"/>
      <c r="X73" s="20"/>
      <c r="Y73" s="20"/>
      <c r="Z73" s="20"/>
      <c r="AA73" s="20"/>
      <c r="AB73" s="20"/>
      <c r="AC73" s="20"/>
      <c r="AD73" s="20"/>
      <c r="AE73" s="22">
        <f t="shared" si="396"/>
        <v>0</v>
      </c>
      <c r="AG73" s="20"/>
      <c r="AH73" s="20"/>
      <c r="AI73" s="20"/>
      <c r="AJ73" s="20"/>
      <c r="AK73" s="20"/>
      <c r="AL73" s="20"/>
      <c r="AM73" s="20"/>
      <c r="AN73" s="20"/>
      <c r="AO73" s="20"/>
      <c r="AP73" s="20"/>
      <c r="AQ73" s="20"/>
      <c r="AR73" s="20"/>
      <c r="AS73" s="22">
        <f t="shared" si="397"/>
        <v>0</v>
      </c>
      <c r="AU73" s="20"/>
      <c r="AV73" s="20"/>
      <c r="AW73" s="20"/>
      <c r="AX73" s="20"/>
      <c r="AY73" s="20"/>
      <c r="AZ73" s="20"/>
      <c r="BA73" s="20"/>
      <c r="BB73" s="20"/>
      <c r="BC73" s="20"/>
      <c r="BD73" s="20"/>
      <c r="BE73" s="20"/>
      <c r="BF73" s="20"/>
      <c r="BG73" s="22">
        <f t="shared" si="398"/>
        <v>0</v>
      </c>
      <c r="BI73" s="20"/>
      <c r="BJ73" s="20"/>
      <c r="BK73" s="20"/>
      <c r="BL73" s="20"/>
      <c r="BM73" s="20"/>
      <c r="BN73" s="20"/>
      <c r="BO73" s="20"/>
      <c r="BP73" s="20"/>
      <c r="BQ73" s="20"/>
      <c r="BR73" s="20"/>
      <c r="BS73" s="20"/>
      <c r="BT73" s="20"/>
      <c r="BU73" s="22">
        <f t="shared" si="399"/>
        <v>0</v>
      </c>
      <c r="BW73" s="20"/>
      <c r="BX73" s="20"/>
      <c r="BY73" s="20"/>
      <c r="BZ73" s="20"/>
      <c r="CA73" s="20"/>
      <c r="CB73" s="20"/>
      <c r="CC73" s="20"/>
      <c r="CD73" s="20"/>
      <c r="CE73" s="20"/>
      <c r="CF73" s="20"/>
      <c r="CG73" s="20"/>
      <c r="CH73" s="20"/>
      <c r="CI73" s="22">
        <f t="shared" si="400"/>
        <v>0</v>
      </c>
      <c r="CK73" s="20"/>
      <c r="CL73" s="20"/>
      <c r="CM73" s="20"/>
      <c r="CN73" s="20"/>
      <c r="CO73" s="20"/>
      <c r="CP73" s="20"/>
      <c r="CQ73" s="20"/>
      <c r="CR73" s="20"/>
      <c r="CS73" s="20"/>
      <c r="CT73" s="20"/>
      <c r="CU73" s="20"/>
      <c r="CV73" s="20"/>
      <c r="CW73" s="22">
        <f t="shared" si="401"/>
        <v>0</v>
      </c>
      <c r="CY73" s="20"/>
      <c r="CZ73" s="20"/>
      <c r="DA73" s="20"/>
      <c r="DB73" s="20"/>
      <c r="DC73" s="20"/>
      <c r="DD73" s="20"/>
      <c r="DE73" s="20"/>
      <c r="DF73" s="20"/>
      <c r="DG73" s="20"/>
      <c r="DH73" s="20"/>
      <c r="DI73" s="20"/>
      <c r="DJ73" s="20"/>
      <c r="DK73" s="22">
        <f t="shared" si="402"/>
        <v>0</v>
      </c>
      <c r="DM73" s="20"/>
      <c r="DN73" s="20"/>
      <c r="DO73" s="20"/>
      <c r="DP73" s="20"/>
      <c r="DQ73" s="20"/>
      <c r="DR73" s="20"/>
      <c r="DS73" s="20"/>
      <c r="DT73" s="20"/>
      <c r="DU73" s="20"/>
      <c r="DV73" s="20"/>
      <c r="DW73" s="20"/>
      <c r="DX73" s="20"/>
      <c r="DY73" s="22">
        <f t="shared" si="403"/>
        <v>0</v>
      </c>
      <c r="EA73" s="20"/>
      <c r="EB73" s="20"/>
      <c r="EC73" s="20"/>
      <c r="ED73" s="20"/>
      <c r="EE73" s="20"/>
      <c r="EF73" s="20"/>
      <c r="EG73" s="20"/>
      <c r="EH73" s="20"/>
      <c r="EI73" s="20"/>
      <c r="EJ73" s="20"/>
      <c r="EK73" s="20"/>
      <c r="EL73" s="20"/>
      <c r="EM73" s="22">
        <f t="shared" si="404"/>
        <v>0</v>
      </c>
    </row>
    <row r="74" spans="3:143" hidden="1" x14ac:dyDescent="0.2">
      <c r="C74" s="19" t="s">
        <v>61</v>
      </c>
      <c r="E74" s="20"/>
      <c r="F74" s="20"/>
      <c r="G74" s="20"/>
      <c r="H74" s="20"/>
      <c r="I74" s="20"/>
      <c r="J74" s="20"/>
      <c r="K74" s="20"/>
      <c r="L74" s="20"/>
      <c r="M74" s="20"/>
      <c r="N74" s="20"/>
      <c r="O74" s="20"/>
      <c r="P74" s="20"/>
      <c r="Q74" s="22">
        <f t="shared" si="395"/>
        <v>0</v>
      </c>
      <c r="S74" s="20"/>
      <c r="T74" s="20"/>
      <c r="U74" s="20"/>
      <c r="V74" s="20"/>
      <c r="W74" s="20"/>
      <c r="X74" s="20"/>
      <c r="Y74" s="20"/>
      <c r="Z74" s="20"/>
      <c r="AA74" s="20"/>
      <c r="AB74" s="20"/>
      <c r="AC74" s="20"/>
      <c r="AD74" s="20"/>
      <c r="AE74" s="22">
        <f t="shared" si="396"/>
        <v>0</v>
      </c>
      <c r="AG74" s="20"/>
      <c r="AH74" s="20"/>
      <c r="AI74" s="20"/>
      <c r="AJ74" s="20"/>
      <c r="AK74" s="20"/>
      <c r="AL74" s="20"/>
      <c r="AM74" s="20"/>
      <c r="AN74" s="20"/>
      <c r="AO74" s="20"/>
      <c r="AP74" s="20"/>
      <c r="AQ74" s="20"/>
      <c r="AR74" s="20"/>
      <c r="AS74" s="22">
        <f t="shared" si="397"/>
        <v>0</v>
      </c>
      <c r="AU74" s="20"/>
      <c r="AV74" s="20"/>
      <c r="AW74" s="20"/>
      <c r="AX74" s="20"/>
      <c r="AY74" s="20"/>
      <c r="AZ74" s="20"/>
      <c r="BA74" s="20"/>
      <c r="BB74" s="20"/>
      <c r="BC74" s="20"/>
      <c r="BD74" s="20"/>
      <c r="BE74" s="20"/>
      <c r="BF74" s="20"/>
      <c r="BG74" s="22">
        <f t="shared" si="398"/>
        <v>0</v>
      </c>
      <c r="BI74" s="20"/>
      <c r="BJ74" s="20"/>
      <c r="BK74" s="20"/>
      <c r="BL74" s="20"/>
      <c r="BM74" s="20"/>
      <c r="BN74" s="20"/>
      <c r="BO74" s="20"/>
      <c r="BP74" s="20"/>
      <c r="BQ74" s="20"/>
      <c r="BR74" s="20"/>
      <c r="BS74" s="20"/>
      <c r="BT74" s="20"/>
      <c r="BU74" s="22">
        <f t="shared" si="399"/>
        <v>0</v>
      </c>
      <c r="BW74" s="20"/>
      <c r="BX74" s="20"/>
      <c r="BY74" s="20"/>
      <c r="BZ74" s="20"/>
      <c r="CA74" s="20"/>
      <c r="CB74" s="20"/>
      <c r="CC74" s="20"/>
      <c r="CD74" s="20"/>
      <c r="CE74" s="20"/>
      <c r="CF74" s="20"/>
      <c r="CG74" s="20"/>
      <c r="CH74" s="20"/>
      <c r="CI74" s="22">
        <f t="shared" si="400"/>
        <v>0</v>
      </c>
      <c r="CK74" s="20"/>
      <c r="CL74" s="20"/>
      <c r="CM74" s="20"/>
      <c r="CN74" s="20"/>
      <c r="CO74" s="20"/>
      <c r="CP74" s="20"/>
      <c r="CQ74" s="20"/>
      <c r="CR74" s="20"/>
      <c r="CS74" s="20"/>
      <c r="CT74" s="20"/>
      <c r="CU74" s="20"/>
      <c r="CV74" s="20"/>
      <c r="CW74" s="22">
        <f t="shared" si="401"/>
        <v>0</v>
      </c>
      <c r="CY74" s="20"/>
      <c r="CZ74" s="20"/>
      <c r="DA74" s="20"/>
      <c r="DB74" s="20"/>
      <c r="DC74" s="20"/>
      <c r="DD74" s="20"/>
      <c r="DE74" s="20"/>
      <c r="DF74" s="20"/>
      <c r="DG74" s="20"/>
      <c r="DH74" s="20"/>
      <c r="DI74" s="20"/>
      <c r="DJ74" s="20"/>
      <c r="DK74" s="22">
        <f t="shared" si="402"/>
        <v>0</v>
      </c>
      <c r="DM74" s="20"/>
      <c r="DN74" s="20"/>
      <c r="DO74" s="20"/>
      <c r="DP74" s="20"/>
      <c r="DQ74" s="20"/>
      <c r="DR74" s="20"/>
      <c r="DS74" s="20"/>
      <c r="DT74" s="20"/>
      <c r="DU74" s="20"/>
      <c r="DV74" s="20"/>
      <c r="DW74" s="20"/>
      <c r="DX74" s="20"/>
      <c r="DY74" s="22">
        <f t="shared" si="403"/>
        <v>0</v>
      </c>
      <c r="EA74" s="20"/>
      <c r="EB74" s="20"/>
      <c r="EC74" s="20"/>
      <c r="ED74" s="20"/>
      <c r="EE74" s="20"/>
      <c r="EF74" s="20"/>
      <c r="EG74" s="20"/>
      <c r="EH74" s="20"/>
      <c r="EI74" s="20"/>
      <c r="EJ74" s="20"/>
      <c r="EK74" s="20"/>
      <c r="EL74" s="20"/>
      <c r="EM74" s="22">
        <f t="shared" si="404"/>
        <v>0</v>
      </c>
    </row>
    <row r="75" spans="3:143" hidden="1" x14ac:dyDescent="0.2">
      <c r="C75" s="19" t="s">
        <v>61</v>
      </c>
      <c r="E75" s="20"/>
      <c r="F75" s="20"/>
      <c r="G75" s="20"/>
      <c r="H75" s="20"/>
      <c r="I75" s="20"/>
      <c r="J75" s="20"/>
      <c r="K75" s="20"/>
      <c r="L75" s="20"/>
      <c r="M75" s="20"/>
      <c r="N75" s="20"/>
      <c r="O75" s="20"/>
      <c r="P75" s="20"/>
      <c r="Q75" s="22">
        <f t="shared" si="395"/>
        <v>0</v>
      </c>
      <c r="S75" s="20"/>
      <c r="T75" s="20"/>
      <c r="U75" s="20"/>
      <c r="V75" s="20"/>
      <c r="W75" s="20"/>
      <c r="X75" s="20"/>
      <c r="Y75" s="20"/>
      <c r="Z75" s="20"/>
      <c r="AA75" s="20"/>
      <c r="AB75" s="20"/>
      <c r="AC75" s="20"/>
      <c r="AD75" s="20"/>
      <c r="AE75" s="22">
        <f t="shared" si="396"/>
        <v>0</v>
      </c>
      <c r="AG75" s="20"/>
      <c r="AH75" s="20"/>
      <c r="AI75" s="20"/>
      <c r="AJ75" s="20"/>
      <c r="AK75" s="20"/>
      <c r="AL75" s="20"/>
      <c r="AM75" s="20"/>
      <c r="AN75" s="20"/>
      <c r="AO75" s="20"/>
      <c r="AP75" s="20"/>
      <c r="AQ75" s="20"/>
      <c r="AR75" s="20"/>
      <c r="AS75" s="22">
        <f t="shared" si="397"/>
        <v>0</v>
      </c>
      <c r="AU75" s="20"/>
      <c r="AV75" s="20"/>
      <c r="AW75" s="20"/>
      <c r="AX75" s="20"/>
      <c r="AY75" s="20"/>
      <c r="AZ75" s="20"/>
      <c r="BA75" s="20"/>
      <c r="BB75" s="20"/>
      <c r="BC75" s="20"/>
      <c r="BD75" s="20"/>
      <c r="BE75" s="20"/>
      <c r="BF75" s="20"/>
      <c r="BG75" s="22">
        <f t="shared" si="398"/>
        <v>0</v>
      </c>
      <c r="BI75" s="20"/>
      <c r="BJ75" s="20"/>
      <c r="BK75" s="20"/>
      <c r="BL75" s="20"/>
      <c r="BM75" s="20"/>
      <c r="BN75" s="20"/>
      <c r="BO75" s="20"/>
      <c r="BP75" s="20"/>
      <c r="BQ75" s="20"/>
      <c r="BR75" s="20"/>
      <c r="BS75" s="20"/>
      <c r="BT75" s="20"/>
      <c r="BU75" s="22">
        <f t="shared" si="399"/>
        <v>0</v>
      </c>
      <c r="BW75" s="20"/>
      <c r="BX75" s="20"/>
      <c r="BY75" s="20"/>
      <c r="BZ75" s="20"/>
      <c r="CA75" s="20"/>
      <c r="CB75" s="20"/>
      <c r="CC75" s="20"/>
      <c r="CD75" s="20"/>
      <c r="CE75" s="20"/>
      <c r="CF75" s="20"/>
      <c r="CG75" s="20"/>
      <c r="CH75" s="20"/>
      <c r="CI75" s="22">
        <f t="shared" si="400"/>
        <v>0</v>
      </c>
      <c r="CK75" s="20"/>
      <c r="CL75" s="20"/>
      <c r="CM75" s="20"/>
      <c r="CN75" s="20"/>
      <c r="CO75" s="20"/>
      <c r="CP75" s="20"/>
      <c r="CQ75" s="20"/>
      <c r="CR75" s="20"/>
      <c r="CS75" s="20"/>
      <c r="CT75" s="20"/>
      <c r="CU75" s="20"/>
      <c r="CV75" s="20"/>
      <c r="CW75" s="22">
        <f t="shared" si="401"/>
        <v>0</v>
      </c>
      <c r="CY75" s="20"/>
      <c r="CZ75" s="20"/>
      <c r="DA75" s="20"/>
      <c r="DB75" s="20"/>
      <c r="DC75" s="20"/>
      <c r="DD75" s="20"/>
      <c r="DE75" s="20"/>
      <c r="DF75" s="20"/>
      <c r="DG75" s="20"/>
      <c r="DH75" s="20"/>
      <c r="DI75" s="20"/>
      <c r="DJ75" s="20"/>
      <c r="DK75" s="22">
        <f t="shared" si="402"/>
        <v>0</v>
      </c>
      <c r="DM75" s="20"/>
      <c r="DN75" s="20"/>
      <c r="DO75" s="20"/>
      <c r="DP75" s="20"/>
      <c r="DQ75" s="20"/>
      <c r="DR75" s="20"/>
      <c r="DS75" s="20"/>
      <c r="DT75" s="20"/>
      <c r="DU75" s="20"/>
      <c r="DV75" s="20"/>
      <c r="DW75" s="20"/>
      <c r="DX75" s="20"/>
      <c r="DY75" s="22">
        <f t="shared" si="403"/>
        <v>0</v>
      </c>
      <c r="EA75" s="20"/>
      <c r="EB75" s="20"/>
      <c r="EC75" s="20"/>
      <c r="ED75" s="20"/>
      <c r="EE75" s="20"/>
      <c r="EF75" s="20"/>
      <c r="EG75" s="20"/>
      <c r="EH75" s="20"/>
      <c r="EI75" s="20"/>
      <c r="EJ75" s="20"/>
      <c r="EK75" s="20"/>
      <c r="EL75" s="20"/>
      <c r="EM75" s="22">
        <f t="shared" si="404"/>
        <v>0</v>
      </c>
    </row>
    <row r="76" spans="3:143" hidden="1" x14ac:dyDescent="0.2">
      <c r="C76" s="19" t="s">
        <v>61</v>
      </c>
      <c r="E76" s="20"/>
      <c r="F76" s="20"/>
      <c r="G76" s="20"/>
      <c r="H76" s="20"/>
      <c r="I76" s="20"/>
      <c r="J76" s="20"/>
      <c r="K76" s="20"/>
      <c r="L76" s="20"/>
      <c r="M76" s="20"/>
      <c r="N76" s="20"/>
      <c r="O76" s="20"/>
      <c r="P76" s="20"/>
      <c r="Q76" s="22">
        <f t="shared" si="395"/>
        <v>0</v>
      </c>
      <c r="S76" s="20"/>
      <c r="T76" s="20"/>
      <c r="U76" s="20"/>
      <c r="V76" s="20"/>
      <c r="W76" s="20"/>
      <c r="X76" s="20"/>
      <c r="Y76" s="20"/>
      <c r="Z76" s="20"/>
      <c r="AA76" s="20"/>
      <c r="AB76" s="20"/>
      <c r="AC76" s="20"/>
      <c r="AD76" s="20"/>
      <c r="AE76" s="22">
        <f t="shared" si="396"/>
        <v>0</v>
      </c>
      <c r="AG76" s="20"/>
      <c r="AH76" s="20"/>
      <c r="AI76" s="20"/>
      <c r="AJ76" s="20"/>
      <c r="AK76" s="20"/>
      <c r="AL76" s="20"/>
      <c r="AM76" s="20"/>
      <c r="AN76" s="20"/>
      <c r="AO76" s="20"/>
      <c r="AP76" s="20"/>
      <c r="AQ76" s="20"/>
      <c r="AR76" s="20"/>
      <c r="AS76" s="22">
        <f t="shared" si="397"/>
        <v>0</v>
      </c>
      <c r="AU76" s="20"/>
      <c r="AV76" s="20"/>
      <c r="AW76" s="20"/>
      <c r="AX76" s="20"/>
      <c r="AY76" s="20"/>
      <c r="AZ76" s="20"/>
      <c r="BA76" s="20"/>
      <c r="BB76" s="20"/>
      <c r="BC76" s="20"/>
      <c r="BD76" s="20"/>
      <c r="BE76" s="20"/>
      <c r="BF76" s="20"/>
      <c r="BG76" s="22">
        <f t="shared" si="398"/>
        <v>0</v>
      </c>
      <c r="BI76" s="20"/>
      <c r="BJ76" s="20"/>
      <c r="BK76" s="20"/>
      <c r="BL76" s="20"/>
      <c r="BM76" s="20"/>
      <c r="BN76" s="20"/>
      <c r="BO76" s="20"/>
      <c r="BP76" s="20"/>
      <c r="BQ76" s="20"/>
      <c r="BR76" s="20"/>
      <c r="BS76" s="20"/>
      <c r="BT76" s="20"/>
      <c r="BU76" s="22">
        <f t="shared" si="399"/>
        <v>0</v>
      </c>
      <c r="BW76" s="20"/>
      <c r="BX76" s="20"/>
      <c r="BY76" s="20"/>
      <c r="BZ76" s="20"/>
      <c r="CA76" s="20"/>
      <c r="CB76" s="20"/>
      <c r="CC76" s="20"/>
      <c r="CD76" s="20"/>
      <c r="CE76" s="20"/>
      <c r="CF76" s="20"/>
      <c r="CG76" s="20"/>
      <c r="CH76" s="20"/>
      <c r="CI76" s="22">
        <f t="shared" si="400"/>
        <v>0</v>
      </c>
      <c r="CK76" s="20"/>
      <c r="CL76" s="20"/>
      <c r="CM76" s="20"/>
      <c r="CN76" s="20"/>
      <c r="CO76" s="20"/>
      <c r="CP76" s="20"/>
      <c r="CQ76" s="20"/>
      <c r="CR76" s="20"/>
      <c r="CS76" s="20"/>
      <c r="CT76" s="20"/>
      <c r="CU76" s="20"/>
      <c r="CV76" s="20"/>
      <c r="CW76" s="22">
        <f t="shared" si="401"/>
        <v>0</v>
      </c>
      <c r="CY76" s="20"/>
      <c r="CZ76" s="20"/>
      <c r="DA76" s="20"/>
      <c r="DB76" s="20"/>
      <c r="DC76" s="20"/>
      <c r="DD76" s="20"/>
      <c r="DE76" s="20"/>
      <c r="DF76" s="20"/>
      <c r="DG76" s="20"/>
      <c r="DH76" s="20"/>
      <c r="DI76" s="20"/>
      <c r="DJ76" s="20"/>
      <c r="DK76" s="22">
        <f t="shared" si="402"/>
        <v>0</v>
      </c>
      <c r="DM76" s="20"/>
      <c r="DN76" s="20"/>
      <c r="DO76" s="20"/>
      <c r="DP76" s="20"/>
      <c r="DQ76" s="20"/>
      <c r="DR76" s="20"/>
      <c r="DS76" s="20"/>
      <c r="DT76" s="20"/>
      <c r="DU76" s="20"/>
      <c r="DV76" s="20"/>
      <c r="DW76" s="20"/>
      <c r="DX76" s="20"/>
      <c r="DY76" s="22">
        <f t="shared" si="403"/>
        <v>0</v>
      </c>
      <c r="EA76" s="20"/>
      <c r="EB76" s="20"/>
      <c r="EC76" s="20"/>
      <c r="ED76" s="20"/>
      <c r="EE76" s="20"/>
      <c r="EF76" s="20"/>
      <c r="EG76" s="20"/>
      <c r="EH76" s="20"/>
      <c r="EI76" s="20"/>
      <c r="EJ76" s="20"/>
      <c r="EK76" s="20"/>
      <c r="EL76" s="20"/>
      <c r="EM76" s="22">
        <f t="shared" si="404"/>
        <v>0</v>
      </c>
    </row>
    <row r="77" spans="3:143" hidden="1" x14ac:dyDescent="0.2">
      <c r="C77" s="19" t="s">
        <v>61</v>
      </c>
      <c r="E77" s="20"/>
      <c r="F77" s="20"/>
      <c r="G77" s="20"/>
      <c r="H77" s="20"/>
      <c r="I77" s="20"/>
      <c r="J77" s="20"/>
      <c r="K77" s="20"/>
      <c r="L77" s="20"/>
      <c r="M77" s="20"/>
      <c r="N77" s="20"/>
      <c r="O77" s="20"/>
      <c r="P77" s="20"/>
      <c r="Q77" s="22">
        <f t="shared" si="395"/>
        <v>0</v>
      </c>
      <c r="S77" s="20"/>
      <c r="T77" s="20"/>
      <c r="U77" s="20"/>
      <c r="V77" s="20"/>
      <c r="W77" s="20"/>
      <c r="X77" s="20"/>
      <c r="Y77" s="20"/>
      <c r="Z77" s="20"/>
      <c r="AA77" s="20"/>
      <c r="AB77" s="20"/>
      <c r="AC77" s="20"/>
      <c r="AD77" s="20"/>
      <c r="AE77" s="22">
        <f t="shared" si="396"/>
        <v>0</v>
      </c>
      <c r="AG77" s="20"/>
      <c r="AH77" s="20"/>
      <c r="AI77" s="20"/>
      <c r="AJ77" s="20"/>
      <c r="AK77" s="20"/>
      <c r="AL77" s="20"/>
      <c r="AM77" s="20"/>
      <c r="AN77" s="20"/>
      <c r="AO77" s="20"/>
      <c r="AP77" s="20"/>
      <c r="AQ77" s="20"/>
      <c r="AR77" s="20"/>
      <c r="AS77" s="22">
        <f t="shared" si="397"/>
        <v>0</v>
      </c>
      <c r="AU77" s="20"/>
      <c r="AV77" s="20"/>
      <c r="AW77" s="20"/>
      <c r="AX77" s="20"/>
      <c r="AY77" s="20"/>
      <c r="AZ77" s="20"/>
      <c r="BA77" s="20"/>
      <c r="BB77" s="20"/>
      <c r="BC77" s="20"/>
      <c r="BD77" s="20"/>
      <c r="BE77" s="20"/>
      <c r="BF77" s="20"/>
      <c r="BG77" s="22">
        <f t="shared" si="398"/>
        <v>0</v>
      </c>
      <c r="BI77" s="20"/>
      <c r="BJ77" s="20"/>
      <c r="BK77" s="20"/>
      <c r="BL77" s="20"/>
      <c r="BM77" s="20"/>
      <c r="BN77" s="20"/>
      <c r="BO77" s="20"/>
      <c r="BP77" s="20"/>
      <c r="BQ77" s="20"/>
      <c r="BR77" s="20"/>
      <c r="BS77" s="20"/>
      <c r="BT77" s="20"/>
      <c r="BU77" s="22">
        <f t="shared" si="399"/>
        <v>0</v>
      </c>
      <c r="BW77" s="20"/>
      <c r="BX77" s="20"/>
      <c r="BY77" s="20"/>
      <c r="BZ77" s="20"/>
      <c r="CA77" s="20"/>
      <c r="CB77" s="20"/>
      <c r="CC77" s="20"/>
      <c r="CD77" s="20"/>
      <c r="CE77" s="20"/>
      <c r="CF77" s="20"/>
      <c r="CG77" s="20"/>
      <c r="CH77" s="20"/>
      <c r="CI77" s="22">
        <f t="shared" si="400"/>
        <v>0</v>
      </c>
      <c r="CK77" s="20"/>
      <c r="CL77" s="20"/>
      <c r="CM77" s="20"/>
      <c r="CN77" s="20"/>
      <c r="CO77" s="20"/>
      <c r="CP77" s="20"/>
      <c r="CQ77" s="20"/>
      <c r="CR77" s="20"/>
      <c r="CS77" s="20"/>
      <c r="CT77" s="20"/>
      <c r="CU77" s="20"/>
      <c r="CV77" s="20"/>
      <c r="CW77" s="22">
        <f t="shared" si="401"/>
        <v>0</v>
      </c>
      <c r="CY77" s="20"/>
      <c r="CZ77" s="20"/>
      <c r="DA77" s="20"/>
      <c r="DB77" s="20"/>
      <c r="DC77" s="20"/>
      <c r="DD77" s="20"/>
      <c r="DE77" s="20"/>
      <c r="DF77" s="20"/>
      <c r="DG77" s="20"/>
      <c r="DH77" s="20"/>
      <c r="DI77" s="20"/>
      <c r="DJ77" s="20"/>
      <c r="DK77" s="22">
        <f t="shared" si="402"/>
        <v>0</v>
      </c>
      <c r="DM77" s="20"/>
      <c r="DN77" s="20"/>
      <c r="DO77" s="20"/>
      <c r="DP77" s="20"/>
      <c r="DQ77" s="20"/>
      <c r="DR77" s="20"/>
      <c r="DS77" s="20"/>
      <c r="DT77" s="20"/>
      <c r="DU77" s="20"/>
      <c r="DV77" s="20"/>
      <c r="DW77" s="20"/>
      <c r="DX77" s="20"/>
      <c r="DY77" s="22">
        <f t="shared" si="403"/>
        <v>0</v>
      </c>
      <c r="EA77" s="20"/>
      <c r="EB77" s="20"/>
      <c r="EC77" s="20"/>
      <c r="ED77" s="20"/>
      <c r="EE77" s="20"/>
      <c r="EF77" s="20"/>
      <c r="EG77" s="20"/>
      <c r="EH77" s="20"/>
      <c r="EI77" s="20"/>
      <c r="EJ77" s="20"/>
      <c r="EK77" s="20"/>
      <c r="EL77" s="20"/>
      <c r="EM77" s="22">
        <f t="shared" si="404"/>
        <v>0</v>
      </c>
    </row>
    <row r="78" spans="3:143" hidden="1" x14ac:dyDescent="0.2">
      <c r="C78" s="19" t="s">
        <v>61</v>
      </c>
      <c r="E78" s="20"/>
      <c r="F78" s="20"/>
      <c r="G78" s="20"/>
      <c r="H78" s="20"/>
      <c r="I78" s="20"/>
      <c r="J78" s="20"/>
      <c r="K78" s="20"/>
      <c r="L78" s="20"/>
      <c r="M78" s="20"/>
      <c r="N78" s="20"/>
      <c r="O78" s="20"/>
      <c r="P78" s="20"/>
      <c r="Q78" s="22">
        <f t="shared" si="395"/>
        <v>0</v>
      </c>
      <c r="S78" s="20"/>
      <c r="T78" s="20"/>
      <c r="U78" s="20"/>
      <c r="V78" s="20"/>
      <c r="W78" s="20"/>
      <c r="X78" s="20"/>
      <c r="Y78" s="20"/>
      <c r="Z78" s="20"/>
      <c r="AA78" s="20"/>
      <c r="AB78" s="20"/>
      <c r="AC78" s="20"/>
      <c r="AD78" s="20"/>
      <c r="AE78" s="22">
        <f t="shared" si="396"/>
        <v>0</v>
      </c>
      <c r="AG78" s="20"/>
      <c r="AH78" s="20"/>
      <c r="AI78" s="20"/>
      <c r="AJ78" s="20"/>
      <c r="AK78" s="20"/>
      <c r="AL78" s="20"/>
      <c r="AM78" s="20"/>
      <c r="AN78" s="20"/>
      <c r="AO78" s="20"/>
      <c r="AP78" s="20"/>
      <c r="AQ78" s="20"/>
      <c r="AR78" s="20"/>
      <c r="AS78" s="22">
        <f t="shared" si="397"/>
        <v>0</v>
      </c>
      <c r="AU78" s="20"/>
      <c r="AV78" s="20"/>
      <c r="AW78" s="20"/>
      <c r="AX78" s="20"/>
      <c r="AY78" s="20"/>
      <c r="AZ78" s="20"/>
      <c r="BA78" s="20"/>
      <c r="BB78" s="20"/>
      <c r="BC78" s="20"/>
      <c r="BD78" s="20"/>
      <c r="BE78" s="20"/>
      <c r="BF78" s="20"/>
      <c r="BG78" s="22">
        <f t="shared" si="398"/>
        <v>0</v>
      </c>
      <c r="BI78" s="20"/>
      <c r="BJ78" s="20"/>
      <c r="BK78" s="20"/>
      <c r="BL78" s="20"/>
      <c r="BM78" s="20"/>
      <c r="BN78" s="20"/>
      <c r="BO78" s="20"/>
      <c r="BP78" s="20"/>
      <c r="BQ78" s="20"/>
      <c r="BR78" s="20"/>
      <c r="BS78" s="20"/>
      <c r="BT78" s="20"/>
      <c r="BU78" s="22">
        <f t="shared" si="399"/>
        <v>0</v>
      </c>
      <c r="BW78" s="20"/>
      <c r="BX78" s="20"/>
      <c r="BY78" s="20"/>
      <c r="BZ78" s="20"/>
      <c r="CA78" s="20"/>
      <c r="CB78" s="20"/>
      <c r="CC78" s="20"/>
      <c r="CD78" s="20"/>
      <c r="CE78" s="20"/>
      <c r="CF78" s="20"/>
      <c r="CG78" s="20"/>
      <c r="CH78" s="20"/>
      <c r="CI78" s="22">
        <f t="shared" si="400"/>
        <v>0</v>
      </c>
      <c r="CK78" s="20"/>
      <c r="CL78" s="20"/>
      <c r="CM78" s="20"/>
      <c r="CN78" s="20"/>
      <c r="CO78" s="20"/>
      <c r="CP78" s="20"/>
      <c r="CQ78" s="20"/>
      <c r="CR78" s="20"/>
      <c r="CS78" s="20"/>
      <c r="CT78" s="20"/>
      <c r="CU78" s="20"/>
      <c r="CV78" s="20"/>
      <c r="CW78" s="22">
        <f t="shared" si="401"/>
        <v>0</v>
      </c>
      <c r="CY78" s="20"/>
      <c r="CZ78" s="20"/>
      <c r="DA78" s="20"/>
      <c r="DB78" s="20"/>
      <c r="DC78" s="20"/>
      <c r="DD78" s="20"/>
      <c r="DE78" s="20"/>
      <c r="DF78" s="20"/>
      <c r="DG78" s="20"/>
      <c r="DH78" s="20"/>
      <c r="DI78" s="20"/>
      <c r="DJ78" s="20"/>
      <c r="DK78" s="22">
        <f t="shared" si="402"/>
        <v>0</v>
      </c>
      <c r="DM78" s="20"/>
      <c r="DN78" s="20"/>
      <c r="DO78" s="20"/>
      <c r="DP78" s="20"/>
      <c r="DQ78" s="20"/>
      <c r="DR78" s="20"/>
      <c r="DS78" s="20"/>
      <c r="DT78" s="20"/>
      <c r="DU78" s="20"/>
      <c r="DV78" s="20"/>
      <c r="DW78" s="20"/>
      <c r="DX78" s="20"/>
      <c r="DY78" s="22">
        <f t="shared" si="403"/>
        <v>0</v>
      </c>
      <c r="EA78" s="20"/>
      <c r="EB78" s="20"/>
      <c r="EC78" s="20"/>
      <c r="ED78" s="20"/>
      <c r="EE78" s="20"/>
      <c r="EF78" s="20"/>
      <c r="EG78" s="20"/>
      <c r="EH78" s="20"/>
      <c r="EI78" s="20"/>
      <c r="EJ78" s="20"/>
      <c r="EK78" s="20"/>
      <c r="EL78" s="20"/>
      <c r="EM78" s="22">
        <f t="shared" si="404"/>
        <v>0</v>
      </c>
    </row>
    <row r="79" spans="3:143" hidden="1" x14ac:dyDescent="0.2">
      <c r="C79" s="19" t="s">
        <v>61</v>
      </c>
      <c r="E79" s="20"/>
      <c r="F79" s="20"/>
      <c r="G79" s="20"/>
      <c r="H79" s="20"/>
      <c r="I79" s="20"/>
      <c r="J79" s="20"/>
      <c r="K79" s="20"/>
      <c r="L79" s="20"/>
      <c r="M79" s="20"/>
      <c r="N79" s="20"/>
      <c r="O79" s="20"/>
      <c r="P79" s="20"/>
      <c r="Q79" s="22">
        <f t="shared" si="395"/>
        <v>0</v>
      </c>
      <c r="S79" s="20"/>
      <c r="T79" s="20"/>
      <c r="U79" s="20"/>
      <c r="V79" s="20"/>
      <c r="W79" s="20"/>
      <c r="X79" s="20"/>
      <c r="Y79" s="20"/>
      <c r="Z79" s="20"/>
      <c r="AA79" s="20"/>
      <c r="AB79" s="20"/>
      <c r="AC79" s="20"/>
      <c r="AD79" s="20"/>
      <c r="AE79" s="22">
        <f t="shared" si="396"/>
        <v>0</v>
      </c>
      <c r="AG79" s="20"/>
      <c r="AH79" s="20"/>
      <c r="AI79" s="20"/>
      <c r="AJ79" s="20"/>
      <c r="AK79" s="20"/>
      <c r="AL79" s="20"/>
      <c r="AM79" s="20"/>
      <c r="AN79" s="20"/>
      <c r="AO79" s="20"/>
      <c r="AP79" s="20"/>
      <c r="AQ79" s="20"/>
      <c r="AR79" s="20"/>
      <c r="AS79" s="22">
        <f t="shared" si="397"/>
        <v>0</v>
      </c>
      <c r="AU79" s="20"/>
      <c r="AV79" s="20"/>
      <c r="AW79" s="20"/>
      <c r="AX79" s="20"/>
      <c r="AY79" s="20"/>
      <c r="AZ79" s="20"/>
      <c r="BA79" s="20"/>
      <c r="BB79" s="20"/>
      <c r="BC79" s="20"/>
      <c r="BD79" s="20"/>
      <c r="BE79" s="20"/>
      <c r="BF79" s="20"/>
      <c r="BG79" s="22">
        <f t="shared" si="398"/>
        <v>0</v>
      </c>
      <c r="BI79" s="20"/>
      <c r="BJ79" s="20"/>
      <c r="BK79" s="20"/>
      <c r="BL79" s="20"/>
      <c r="BM79" s="20"/>
      <c r="BN79" s="20"/>
      <c r="BO79" s="20"/>
      <c r="BP79" s="20"/>
      <c r="BQ79" s="20"/>
      <c r="BR79" s="20"/>
      <c r="BS79" s="20"/>
      <c r="BT79" s="20"/>
      <c r="BU79" s="22">
        <f t="shared" si="399"/>
        <v>0</v>
      </c>
      <c r="BW79" s="20"/>
      <c r="BX79" s="20"/>
      <c r="BY79" s="20"/>
      <c r="BZ79" s="20"/>
      <c r="CA79" s="20"/>
      <c r="CB79" s="20"/>
      <c r="CC79" s="20"/>
      <c r="CD79" s="20"/>
      <c r="CE79" s="20"/>
      <c r="CF79" s="20"/>
      <c r="CG79" s="20"/>
      <c r="CH79" s="20"/>
      <c r="CI79" s="22">
        <f t="shared" si="400"/>
        <v>0</v>
      </c>
      <c r="CK79" s="20"/>
      <c r="CL79" s="20"/>
      <c r="CM79" s="20"/>
      <c r="CN79" s="20"/>
      <c r="CO79" s="20"/>
      <c r="CP79" s="20"/>
      <c r="CQ79" s="20"/>
      <c r="CR79" s="20"/>
      <c r="CS79" s="20"/>
      <c r="CT79" s="20"/>
      <c r="CU79" s="20"/>
      <c r="CV79" s="20"/>
      <c r="CW79" s="22">
        <f t="shared" si="401"/>
        <v>0</v>
      </c>
      <c r="CY79" s="20"/>
      <c r="CZ79" s="20"/>
      <c r="DA79" s="20"/>
      <c r="DB79" s="20"/>
      <c r="DC79" s="20"/>
      <c r="DD79" s="20"/>
      <c r="DE79" s="20"/>
      <c r="DF79" s="20"/>
      <c r="DG79" s="20"/>
      <c r="DH79" s="20"/>
      <c r="DI79" s="20"/>
      <c r="DJ79" s="20"/>
      <c r="DK79" s="22">
        <f t="shared" si="402"/>
        <v>0</v>
      </c>
      <c r="DM79" s="20"/>
      <c r="DN79" s="20"/>
      <c r="DO79" s="20"/>
      <c r="DP79" s="20"/>
      <c r="DQ79" s="20"/>
      <c r="DR79" s="20"/>
      <c r="DS79" s="20"/>
      <c r="DT79" s="20"/>
      <c r="DU79" s="20"/>
      <c r="DV79" s="20"/>
      <c r="DW79" s="20"/>
      <c r="DX79" s="20"/>
      <c r="DY79" s="22">
        <f t="shared" si="403"/>
        <v>0</v>
      </c>
      <c r="EA79" s="20"/>
      <c r="EB79" s="20"/>
      <c r="EC79" s="20"/>
      <c r="ED79" s="20"/>
      <c r="EE79" s="20"/>
      <c r="EF79" s="20"/>
      <c r="EG79" s="20"/>
      <c r="EH79" s="20"/>
      <c r="EI79" s="20"/>
      <c r="EJ79" s="20"/>
      <c r="EK79" s="20"/>
      <c r="EL79" s="20"/>
      <c r="EM79" s="22">
        <f t="shared" si="404"/>
        <v>0</v>
      </c>
    </row>
    <row r="80" spans="3:143" hidden="1" x14ac:dyDescent="0.2">
      <c r="C80" s="19" t="s">
        <v>61</v>
      </c>
      <c r="E80" s="20"/>
      <c r="F80" s="20"/>
      <c r="G80" s="20"/>
      <c r="H80" s="20"/>
      <c r="I80" s="20"/>
      <c r="J80" s="20"/>
      <c r="K80" s="20"/>
      <c r="L80" s="20"/>
      <c r="M80" s="20"/>
      <c r="N80" s="20"/>
      <c r="O80" s="20"/>
      <c r="P80" s="20"/>
      <c r="Q80" s="22">
        <f t="shared" si="385"/>
        <v>0</v>
      </c>
      <c r="S80" s="20"/>
      <c r="T80" s="20"/>
      <c r="U80" s="20"/>
      <c r="V80" s="20"/>
      <c r="W80" s="20"/>
      <c r="X80" s="20"/>
      <c r="Y80" s="20"/>
      <c r="Z80" s="20"/>
      <c r="AA80" s="20"/>
      <c r="AB80" s="20"/>
      <c r="AC80" s="20"/>
      <c r="AD80" s="20"/>
      <c r="AE80" s="22">
        <f t="shared" si="386"/>
        <v>0</v>
      </c>
      <c r="AG80" s="20"/>
      <c r="AH80" s="20"/>
      <c r="AI80" s="20"/>
      <c r="AJ80" s="20"/>
      <c r="AK80" s="20"/>
      <c r="AL80" s="20"/>
      <c r="AM80" s="20"/>
      <c r="AN80" s="20"/>
      <c r="AO80" s="20"/>
      <c r="AP80" s="20"/>
      <c r="AQ80" s="20"/>
      <c r="AR80" s="20"/>
      <c r="AS80" s="22">
        <f t="shared" si="387"/>
        <v>0</v>
      </c>
      <c r="AU80" s="20"/>
      <c r="AV80" s="20"/>
      <c r="AW80" s="20"/>
      <c r="AX80" s="20"/>
      <c r="AY80" s="20"/>
      <c r="AZ80" s="20"/>
      <c r="BA80" s="20"/>
      <c r="BB80" s="20"/>
      <c r="BC80" s="20"/>
      <c r="BD80" s="20"/>
      <c r="BE80" s="20"/>
      <c r="BF80" s="20"/>
      <c r="BG80" s="22">
        <f t="shared" si="388"/>
        <v>0</v>
      </c>
      <c r="BI80" s="20"/>
      <c r="BJ80" s="20"/>
      <c r="BK80" s="20"/>
      <c r="BL80" s="20"/>
      <c r="BM80" s="20"/>
      <c r="BN80" s="20"/>
      <c r="BO80" s="20"/>
      <c r="BP80" s="20"/>
      <c r="BQ80" s="20"/>
      <c r="BR80" s="20"/>
      <c r="BS80" s="20"/>
      <c r="BT80" s="20"/>
      <c r="BU80" s="22">
        <f t="shared" si="389"/>
        <v>0</v>
      </c>
      <c r="BW80" s="20"/>
      <c r="BX80" s="20"/>
      <c r="BY80" s="20"/>
      <c r="BZ80" s="20"/>
      <c r="CA80" s="20"/>
      <c r="CB80" s="20"/>
      <c r="CC80" s="20"/>
      <c r="CD80" s="20"/>
      <c r="CE80" s="20"/>
      <c r="CF80" s="20"/>
      <c r="CG80" s="20"/>
      <c r="CH80" s="20"/>
      <c r="CI80" s="22">
        <f t="shared" si="390"/>
        <v>0</v>
      </c>
      <c r="CK80" s="20"/>
      <c r="CL80" s="20"/>
      <c r="CM80" s="20"/>
      <c r="CN80" s="20"/>
      <c r="CO80" s="20"/>
      <c r="CP80" s="20"/>
      <c r="CQ80" s="20"/>
      <c r="CR80" s="20"/>
      <c r="CS80" s="20"/>
      <c r="CT80" s="20"/>
      <c r="CU80" s="20"/>
      <c r="CV80" s="20"/>
      <c r="CW80" s="22">
        <f t="shared" si="391"/>
        <v>0</v>
      </c>
      <c r="CY80" s="20"/>
      <c r="CZ80" s="20"/>
      <c r="DA80" s="20"/>
      <c r="DB80" s="20"/>
      <c r="DC80" s="20"/>
      <c r="DD80" s="20"/>
      <c r="DE80" s="20"/>
      <c r="DF80" s="20"/>
      <c r="DG80" s="20"/>
      <c r="DH80" s="20"/>
      <c r="DI80" s="20"/>
      <c r="DJ80" s="20"/>
      <c r="DK80" s="22">
        <f t="shared" si="392"/>
        <v>0</v>
      </c>
      <c r="DM80" s="20"/>
      <c r="DN80" s="20"/>
      <c r="DO80" s="20"/>
      <c r="DP80" s="20"/>
      <c r="DQ80" s="20"/>
      <c r="DR80" s="20"/>
      <c r="DS80" s="20"/>
      <c r="DT80" s="20"/>
      <c r="DU80" s="20"/>
      <c r="DV80" s="20"/>
      <c r="DW80" s="20"/>
      <c r="DX80" s="20"/>
      <c r="DY80" s="22">
        <f t="shared" si="393"/>
        <v>0</v>
      </c>
      <c r="EA80" s="20"/>
      <c r="EB80" s="20"/>
      <c r="EC80" s="20"/>
      <c r="ED80" s="20"/>
      <c r="EE80" s="20"/>
      <c r="EF80" s="20"/>
      <c r="EG80" s="20"/>
      <c r="EH80" s="20"/>
      <c r="EI80" s="20"/>
      <c r="EJ80" s="20"/>
      <c r="EK80" s="20"/>
      <c r="EL80" s="20"/>
      <c r="EM80" s="22">
        <f t="shared" si="394"/>
        <v>0</v>
      </c>
    </row>
    <row r="81" spans="3:143" hidden="1" x14ac:dyDescent="0.2">
      <c r="C81" s="19" t="s">
        <v>61</v>
      </c>
      <c r="E81" s="20"/>
      <c r="F81" s="20"/>
      <c r="G81" s="20"/>
      <c r="H81" s="20"/>
      <c r="I81" s="20"/>
      <c r="J81" s="20"/>
      <c r="K81" s="20"/>
      <c r="L81" s="20"/>
      <c r="M81" s="20"/>
      <c r="N81" s="20"/>
      <c r="O81" s="20"/>
      <c r="P81" s="20"/>
      <c r="Q81" s="22">
        <f t="shared" si="385"/>
        <v>0</v>
      </c>
      <c r="S81" s="20"/>
      <c r="T81" s="20"/>
      <c r="U81" s="20"/>
      <c r="V81" s="20"/>
      <c r="W81" s="20"/>
      <c r="X81" s="20"/>
      <c r="Y81" s="20"/>
      <c r="Z81" s="20"/>
      <c r="AA81" s="20"/>
      <c r="AB81" s="20"/>
      <c r="AC81" s="20"/>
      <c r="AD81" s="20"/>
      <c r="AE81" s="22">
        <f t="shared" si="386"/>
        <v>0</v>
      </c>
      <c r="AG81" s="20"/>
      <c r="AH81" s="20"/>
      <c r="AI81" s="20"/>
      <c r="AJ81" s="20"/>
      <c r="AK81" s="20"/>
      <c r="AL81" s="20"/>
      <c r="AM81" s="20"/>
      <c r="AN81" s="20"/>
      <c r="AO81" s="20"/>
      <c r="AP81" s="20"/>
      <c r="AQ81" s="20"/>
      <c r="AR81" s="20"/>
      <c r="AS81" s="22">
        <f t="shared" si="387"/>
        <v>0</v>
      </c>
      <c r="AU81" s="20"/>
      <c r="AV81" s="20"/>
      <c r="AW81" s="20"/>
      <c r="AX81" s="20"/>
      <c r="AY81" s="20"/>
      <c r="AZ81" s="20"/>
      <c r="BA81" s="20"/>
      <c r="BB81" s="20"/>
      <c r="BC81" s="20"/>
      <c r="BD81" s="20"/>
      <c r="BE81" s="20"/>
      <c r="BF81" s="20"/>
      <c r="BG81" s="22">
        <f t="shared" si="388"/>
        <v>0</v>
      </c>
      <c r="BI81" s="20"/>
      <c r="BJ81" s="20"/>
      <c r="BK81" s="20"/>
      <c r="BL81" s="20"/>
      <c r="BM81" s="20"/>
      <c r="BN81" s="20"/>
      <c r="BO81" s="20"/>
      <c r="BP81" s="20"/>
      <c r="BQ81" s="20"/>
      <c r="BR81" s="20"/>
      <c r="BS81" s="20"/>
      <c r="BT81" s="20"/>
      <c r="BU81" s="22">
        <f t="shared" si="389"/>
        <v>0</v>
      </c>
      <c r="BW81" s="20"/>
      <c r="BX81" s="20"/>
      <c r="BY81" s="20"/>
      <c r="BZ81" s="20"/>
      <c r="CA81" s="20"/>
      <c r="CB81" s="20"/>
      <c r="CC81" s="20"/>
      <c r="CD81" s="20"/>
      <c r="CE81" s="20"/>
      <c r="CF81" s="20"/>
      <c r="CG81" s="20"/>
      <c r="CH81" s="20"/>
      <c r="CI81" s="22">
        <f t="shared" si="390"/>
        <v>0</v>
      </c>
      <c r="CK81" s="20"/>
      <c r="CL81" s="20"/>
      <c r="CM81" s="20"/>
      <c r="CN81" s="20"/>
      <c r="CO81" s="20"/>
      <c r="CP81" s="20"/>
      <c r="CQ81" s="20"/>
      <c r="CR81" s="20"/>
      <c r="CS81" s="20"/>
      <c r="CT81" s="20"/>
      <c r="CU81" s="20"/>
      <c r="CV81" s="20"/>
      <c r="CW81" s="22">
        <f t="shared" si="391"/>
        <v>0</v>
      </c>
      <c r="CY81" s="20"/>
      <c r="CZ81" s="20"/>
      <c r="DA81" s="20"/>
      <c r="DB81" s="20"/>
      <c r="DC81" s="20"/>
      <c r="DD81" s="20"/>
      <c r="DE81" s="20"/>
      <c r="DF81" s="20"/>
      <c r="DG81" s="20"/>
      <c r="DH81" s="20"/>
      <c r="DI81" s="20"/>
      <c r="DJ81" s="20"/>
      <c r="DK81" s="22">
        <f t="shared" si="392"/>
        <v>0</v>
      </c>
      <c r="DM81" s="20"/>
      <c r="DN81" s="20"/>
      <c r="DO81" s="20"/>
      <c r="DP81" s="20"/>
      <c r="DQ81" s="20"/>
      <c r="DR81" s="20"/>
      <c r="DS81" s="20"/>
      <c r="DT81" s="20"/>
      <c r="DU81" s="20"/>
      <c r="DV81" s="20"/>
      <c r="DW81" s="20"/>
      <c r="DX81" s="20"/>
      <c r="DY81" s="22">
        <f t="shared" si="393"/>
        <v>0</v>
      </c>
      <c r="EA81" s="20"/>
      <c r="EB81" s="20"/>
      <c r="EC81" s="20"/>
      <c r="ED81" s="20"/>
      <c r="EE81" s="20"/>
      <c r="EF81" s="20"/>
      <c r="EG81" s="20"/>
      <c r="EH81" s="20"/>
      <c r="EI81" s="20"/>
      <c r="EJ81" s="20"/>
      <c r="EK81" s="20"/>
      <c r="EL81" s="20"/>
      <c r="EM81" s="22">
        <f t="shared" si="394"/>
        <v>0</v>
      </c>
    </row>
    <row r="82" spans="3:143" hidden="1" x14ac:dyDescent="0.2">
      <c r="C82" s="19" t="s">
        <v>61</v>
      </c>
      <c r="E82" s="20"/>
      <c r="F82" s="20"/>
      <c r="G82" s="20"/>
      <c r="H82" s="20"/>
      <c r="I82" s="20"/>
      <c r="J82" s="20"/>
      <c r="K82" s="20"/>
      <c r="L82" s="20"/>
      <c r="M82" s="20"/>
      <c r="N82" s="20"/>
      <c r="O82" s="20"/>
      <c r="P82" s="20"/>
      <c r="Q82" s="22">
        <f t="shared" si="385"/>
        <v>0</v>
      </c>
      <c r="S82" s="20"/>
      <c r="T82" s="20"/>
      <c r="U82" s="20"/>
      <c r="V82" s="20"/>
      <c r="W82" s="20"/>
      <c r="X82" s="20"/>
      <c r="Y82" s="20"/>
      <c r="Z82" s="20"/>
      <c r="AA82" s="20"/>
      <c r="AB82" s="20"/>
      <c r="AC82" s="20"/>
      <c r="AD82" s="20"/>
      <c r="AE82" s="22">
        <f t="shared" si="386"/>
        <v>0</v>
      </c>
      <c r="AG82" s="20"/>
      <c r="AH82" s="20"/>
      <c r="AI82" s="20"/>
      <c r="AJ82" s="20"/>
      <c r="AK82" s="20"/>
      <c r="AL82" s="20"/>
      <c r="AM82" s="20"/>
      <c r="AN82" s="20"/>
      <c r="AO82" s="20"/>
      <c r="AP82" s="20"/>
      <c r="AQ82" s="20"/>
      <c r="AR82" s="20"/>
      <c r="AS82" s="22">
        <f t="shared" si="387"/>
        <v>0</v>
      </c>
      <c r="AU82" s="20"/>
      <c r="AV82" s="20"/>
      <c r="AW82" s="20"/>
      <c r="AX82" s="20"/>
      <c r="AY82" s="20"/>
      <c r="AZ82" s="20"/>
      <c r="BA82" s="20"/>
      <c r="BB82" s="20"/>
      <c r="BC82" s="20"/>
      <c r="BD82" s="20"/>
      <c r="BE82" s="20"/>
      <c r="BF82" s="20"/>
      <c r="BG82" s="22">
        <f t="shared" si="388"/>
        <v>0</v>
      </c>
      <c r="BI82" s="20"/>
      <c r="BJ82" s="20"/>
      <c r="BK82" s="20"/>
      <c r="BL82" s="20"/>
      <c r="BM82" s="20"/>
      <c r="BN82" s="20"/>
      <c r="BO82" s="20"/>
      <c r="BP82" s="20"/>
      <c r="BQ82" s="20"/>
      <c r="BR82" s="20"/>
      <c r="BS82" s="20"/>
      <c r="BT82" s="20"/>
      <c r="BU82" s="22">
        <f t="shared" si="389"/>
        <v>0</v>
      </c>
      <c r="BW82" s="20"/>
      <c r="BX82" s="20"/>
      <c r="BY82" s="20"/>
      <c r="BZ82" s="20"/>
      <c r="CA82" s="20"/>
      <c r="CB82" s="20"/>
      <c r="CC82" s="20"/>
      <c r="CD82" s="20"/>
      <c r="CE82" s="20"/>
      <c r="CF82" s="20"/>
      <c r="CG82" s="20"/>
      <c r="CH82" s="20"/>
      <c r="CI82" s="22">
        <f t="shared" si="390"/>
        <v>0</v>
      </c>
      <c r="CK82" s="20"/>
      <c r="CL82" s="20"/>
      <c r="CM82" s="20"/>
      <c r="CN82" s="20"/>
      <c r="CO82" s="20"/>
      <c r="CP82" s="20"/>
      <c r="CQ82" s="20"/>
      <c r="CR82" s="20"/>
      <c r="CS82" s="20"/>
      <c r="CT82" s="20"/>
      <c r="CU82" s="20"/>
      <c r="CV82" s="20"/>
      <c r="CW82" s="22">
        <f t="shared" si="391"/>
        <v>0</v>
      </c>
      <c r="CY82" s="20"/>
      <c r="CZ82" s="20"/>
      <c r="DA82" s="20"/>
      <c r="DB82" s="20"/>
      <c r="DC82" s="20"/>
      <c r="DD82" s="20"/>
      <c r="DE82" s="20"/>
      <c r="DF82" s="20"/>
      <c r="DG82" s="20"/>
      <c r="DH82" s="20"/>
      <c r="DI82" s="20"/>
      <c r="DJ82" s="20"/>
      <c r="DK82" s="22">
        <f t="shared" si="392"/>
        <v>0</v>
      </c>
      <c r="DM82" s="20"/>
      <c r="DN82" s="20"/>
      <c r="DO82" s="20"/>
      <c r="DP82" s="20"/>
      <c r="DQ82" s="20"/>
      <c r="DR82" s="20"/>
      <c r="DS82" s="20"/>
      <c r="DT82" s="20"/>
      <c r="DU82" s="20"/>
      <c r="DV82" s="20"/>
      <c r="DW82" s="20"/>
      <c r="DX82" s="20"/>
      <c r="DY82" s="22">
        <f t="shared" si="393"/>
        <v>0</v>
      </c>
      <c r="EA82" s="20"/>
      <c r="EB82" s="20"/>
      <c r="EC82" s="20"/>
      <c r="ED82" s="20"/>
      <c r="EE82" s="20"/>
      <c r="EF82" s="20"/>
      <c r="EG82" s="20"/>
      <c r="EH82" s="20"/>
      <c r="EI82" s="20"/>
      <c r="EJ82" s="20"/>
      <c r="EK82" s="20"/>
      <c r="EL82" s="20"/>
      <c r="EM82" s="22">
        <f t="shared" si="394"/>
        <v>0</v>
      </c>
    </row>
    <row r="83" spans="3:143" hidden="1" x14ac:dyDescent="0.2">
      <c r="C83" s="19" t="s">
        <v>61</v>
      </c>
      <c r="E83" s="20"/>
      <c r="F83" s="20"/>
      <c r="G83" s="20"/>
      <c r="H83" s="20"/>
      <c r="I83" s="20"/>
      <c r="J83" s="20"/>
      <c r="K83" s="20"/>
      <c r="L83" s="20"/>
      <c r="M83" s="20"/>
      <c r="N83" s="20"/>
      <c r="O83" s="20"/>
      <c r="P83" s="20"/>
      <c r="Q83" s="22">
        <f t="shared" si="385"/>
        <v>0</v>
      </c>
      <c r="S83" s="20"/>
      <c r="T83" s="20"/>
      <c r="U83" s="20"/>
      <c r="V83" s="20"/>
      <c r="W83" s="20"/>
      <c r="X83" s="20"/>
      <c r="Y83" s="20"/>
      <c r="Z83" s="20"/>
      <c r="AA83" s="20"/>
      <c r="AB83" s="20"/>
      <c r="AC83" s="20"/>
      <c r="AD83" s="20"/>
      <c r="AE83" s="22">
        <f t="shared" si="386"/>
        <v>0</v>
      </c>
      <c r="AG83" s="20"/>
      <c r="AH83" s="20"/>
      <c r="AI83" s="20"/>
      <c r="AJ83" s="20"/>
      <c r="AK83" s="20"/>
      <c r="AL83" s="20"/>
      <c r="AM83" s="20"/>
      <c r="AN83" s="20"/>
      <c r="AO83" s="20"/>
      <c r="AP83" s="20"/>
      <c r="AQ83" s="20"/>
      <c r="AR83" s="20"/>
      <c r="AS83" s="22">
        <f t="shared" si="387"/>
        <v>0</v>
      </c>
      <c r="AU83" s="20"/>
      <c r="AV83" s="20"/>
      <c r="AW83" s="20"/>
      <c r="AX83" s="20"/>
      <c r="AY83" s="20"/>
      <c r="AZ83" s="20"/>
      <c r="BA83" s="20"/>
      <c r="BB83" s="20"/>
      <c r="BC83" s="20"/>
      <c r="BD83" s="20"/>
      <c r="BE83" s="20"/>
      <c r="BF83" s="20"/>
      <c r="BG83" s="22">
        <f t="shared" si="388"/>
        <v>0</v>
      </c>
      <c r="BI83" s="20"/>
      <c r="BJ83" s="20"/>
      <c r="BK83" s="20"/>
      <c r="BL83" s="20"/>
      <c r="BM83" s="20"/>
      <c r="BN83" s="20"/>
      <c r="BO83" s="20"/>
      <c r="BP83" s="20"/>
      <c r="BQ83" s="20"/>
      <c r="BR83" s="20"/>
      <c r="BS83" s="20"/>
      <c r="BT83" s="20"/>
      <c r="BU83" s="22">
        <f t="shared" si="389"/>
        <v>0</v>
      </c>
      <c r="BW83" s="20"/>
      <c r="BX83" s="20"/>
      <c r="BY83" s="20"/>
      <c r="BZ83" s="20"/>
      <c r="CA83" s="20"/>
      <c r="CB83" s="20"/>
      <c r="CC83" s="20"/>
      <c r="CD83" s="20"/>
      <c r="CE83" s="20"/>
      <c r="CF83" s="20"/>
      <c r="CG83" s="20"/>
      <c r="CH83" s="20"/>
      <c r="CI83" s="22">
        <f t="shared" si="390"/>
        <v>0</v>
      </c>
      <c r="CK83" s="20"/>
      <c r="CL83" s="20"/>
      <c r="CM83" s="20"/>
      <c r="CN83" s="20"/>
      <c r="CO83" s="20"/>
      <c r="CP83" s="20"/>
      <c r="CQ83" s="20"/>
      <c r="CR83" s="20"/>
      <c r="CS83" s="20"/>
      <c r="CT83" s="20"/>
      <c r="CU83" s="20"/>
      <c r="CV83" s="20"/>
      <c r="CW83" s="22">
        <f t="shared" si="391"/>
        <v>0</v>
      </c>
      <c r="CY83" s="20"/>
      <c r="CZ83" s="20"/>
      <c r="DA83" s="20"/>
      <c r="DB83" s="20"/>
      <c r="DC83" s="20"/>
      <c r="DD83" s="20"/>
      <c r="DE83" s="20"/>
      <c r="DF83" s="20"/>
      <c r="DG83" s="20"/>
      <c r="DH83" s="20"/>
      <c r="DI83" s="20"/>
      <c r="DJ83" s="20"/>
      <c r="DK83" s="22">
        <f t="shared" si="392"/>
        <v>0</v>
      </c>
      <c r="DM83" s="20"/>
      <c r="DN83" s="20"/>
      <c r="DO83" s="20"/>
      <c r="DP83" s="20"/>
      <c r="DQ83" s="20"/>
      <c r="DR83" s="20"/>
      <c r="DS83" s="20"/>
      <c r="DT83" s="20"/>
      <c r="DU83" s="20"/>
      <c r="DV83" s="20"/>
      <c r="DW83" s="20"/>
      <c r="DX83" s="20"/>
      <c r="DY83" s="22">
        <f t="shared" si="393"/>
        <v>0</v>
      </c>
      <c r="EA83" s="20"/>
      <c r="EB83" s="20"/>
      <c r="EC83" s="20"/>
      <c r="ED83" s="20"/>
      <c r="EE83" s="20"/>
      <c r="EF83" s="20"/>
      <c r="EG83" s="20"/>
      <c r="EH83" s="20"/>
      <c r="EI83" s="20"/>
      <c r="EJ83" s="20"/>
      <c r="EK83" s="20"/>
      <c r="EL83" s="20"/>
      <c r="EM83" s="22">
        <f t="shared" si="394"/>
        <v>0</v>
      </c>
    </row>
    <row r="84" spans="3:143" hidden="1" x14ac:dyDescent="0.2">
      <c r="C84" s="19" t="s">
        <v>61</v>
      </c>
      <c r="E84" s="20"/>
      <c r="F84" s="20"/>
      <c r="G84" s="20"/>
      <c r="H84" s="20"/>
      <c r="I84" s="20"/>
      <c r="J84" s="20"/>
      <c r="K84" s="20"/>
      <c r="L84" s="20"/>
      <c r="M84" s="20"/>
      <c r="N84" s="20"/>
      <c r="O84" s="20"/>
      <c r="P84" s="20"/>
      <c r="Q84" s="22">
        <f t="shared" si="385"/>
        <v>0</v>
      </c>
      <c r="S84" s="20"/>
      <c r="T84" s="20"/>
      <c r="U84" s="20"/>
      <c r="V84" s="20"/>
      <c r="W84" s="20"/>
      <c r="X84" s="20"/>
      <c r="Y84" s="20"/>
      <c r="Z84" s="20"/>
      <c r="AA84" s="20"/>
      <c r="AB84" s="20"/>
      <c r="AC84" s="20"/>
      <c r="AD84" s="20"/>
      <c r="AE84" s="22">
        <f t="shared" si="386"/>
        <v>0</v>
      </c>
      <c r="AG84" s="20"/>
      <c r="AH84" s="20"/>
      <c r="AI84" s="20"/>
      <c r="AJ84" s="20"/>
      <c r="AK84" s="20"/>
      <c r="AL84" s="20"/>
      <c r="AM84" s="20"/>
      <c r="AN84" s="20"/>
      <c r="AO84" s="20"/>
      <c r="AP84" s="20"/>
      <c r="AQ84" s="20"/>
      <c r="AR84" s="20"/>
      <c r="AS84" s="22">
        <f t="shared" si="387"/>
        <v>0</v>
      </c>
      <c r="AU84" s="20"/>
      <c r="AV84" s="20"/>
      <c r="AW84" s="20"/>
      <c r="AX84" s="20"/>
      <c r="AY84" s="20"/>
      <c r="AZ84" s="20"/>
      <c r="BA84" s="20"/>
      <c r="BB84" s="20"/>
      <c r="BC84" s="20"/>
      <c r="BD84" s="20"/>
      <c r="BE84" s="20"/>
      <c r="BF84" s="20"/>
      <c r="BG84" s="22">
        <f t="shared" si="388"/>
        <v>0</v>
      </c>
      <c r="BI84" s="20"/>
      <c r="BJ84" s="20"/>
      <c r="BK84" s="20"/>
      <c r="BL84" s="20"/>
      <c r="BM84" s="20"/>
      <c r="BN84" s="20"/>
      <c r="BO84" s="20"/>
      <c r="BP84" s="20"/>
      <c r="BQ84" s="20"/>
      <c r="BR84" s="20"/>
      <c r="BS84" s="20"/>
      <c r="BT84" s="20"/>
      <c r="BU84" s="22">
        <f t="shared" si="389"/>
        <v>0</v>
      </c>
      <c r="BW84" s="20"/>
      <c r="BX84" s="20"/>
      <c r="BY84" s="20"/>
      <c r="BZ84" s="20"/>
      <c r="CA84" s="20"/>
      <c r="CB84" s="20"/>
      <c r="CC84" s="20"/>
      <c r="CD84" s="20"/>
      <c r="CE84" s="20"/>
      <c r="CF84" s="20"/>
      <c r="CG84" s="20"/>
      <c r="CH84" s="20"/>
      <c r="CI84" s="22">
        <f t="shared" si="390"/>
        <v>0</v>
      </c>
      <c r="CK84" s="20"/>
      <c r="CL84" s="20"/>
      <c r="CM84" s="20"/>
      <c r="CN84" s="20"/>
      <c r="CO84" s="20"/>
      <c r="CP84" s="20"/>
      <c r="CQ84" s="20"/>
      <c r="CR84" s="20"/>
      <c r="CS84" s="20"/>
      <c r="CT84" s="20"/>
      <c r="CU84" s="20"/>
      <c r="CV84" s="20"/>
      <c r="CW84" s="22">
        <f t="shared" si="391"/>
        <v>0</v>
      </c>
      <c r="CY84" s="20"/>
      <c r="CZ84" s="20"/>
      <c r="DA84" s="20"/>
      <c r="DB84" s="20"/>
      <c r="DC84" s="20"/>
      <c r="DD84" s="20"/>
      <c r="DE84" s="20"/>
      <c r="DF84" s="20"/>
      <c r="DG84" s="20"/>
      <c r="DH84" s="20"/>
      <c r="DI84" s="20"/>
      <c r="DJ84" s="20"/>
      <c r="DK84" s="22">
        <f t="shared" si="392"/>
        <v>0</v>
      </c>
      <c r="DM84" s="20"/>
      <c r="DN84" s="20"/>
      <c r="DO84" s="20"/>
      <c r="DP84" s="20"/>
      <c r="DQ84" s="20"/>
      <c r="DR84" s="20"/>
      <c r="DS84" s="20"/>
      <c r="DT84" s="20"/>
      <c r="DU84" s="20"/>
      <c r="DV84" s="20"/>
      <c r="DW84" s="20"/>
      <c r="DX84" s="20"/>
      <c r="DY84" s="22">
        <f t="shared" si="393"/>
        <v>0</v>
      </c>
      <c r="EA84" s="20"/>
      <c r="EB84" s="20"/>
      <c r="EC84" s="20"/>
      <c r="ED84" s="20"/>
      <c r="EE84" s="20"/>
      <c r="EF84" s="20"/>
      <c r="EG84" s="20"/>
      <c r="EH84" s="20"/>
      <c r="EI84" s="20"/>
      <c r="EJ84" s="20"/>
      <c r="EK84" s="20"/>
      <c r="EL84" s="20"/>
      <c r="EM84" s="22">
        <f t="shared" si="394"/>
        <v>0</v>
      </c>
    </row>
    <row r="85" spans="3:143" hidden="1" x14ac:dyDescent="0.2">
      <c r="C85" s="19" t="s">
        <v>61</v>
      </c>
      <c r="E85" s="20"/>
      <c r="F85" s="20"/>
      <c r="G85" s="20"/>
      <c r="H85" s="20"/>
      <c r="I85" s="20"/>
      <c r="J85" s="20"/>
      <c r="K85" s="20"/>
      <c r="L85" s="20"/>
      <c r="M85" s="20"/>
      <c r="N85" s="20"/>
      <c r="O85" s="20"/>
      <c r="P85" s="20"/>
      <c r="Q85" s="22">
        <f t="shared" si="385"/>
        <v>0</v>
      </c>
      <c r="S85" s="20"/>
      <c r="T85" s="20"/>
      <c r="U85" s="20"/>
      <c r="V85" s="20"/>
      <c r="W85" s="20"/>
      <c r="X85" s="20"/>
      <c r="Y85" s="20"/>
      <c r="Z85" s="20"/>
      <c r="AA85" s="20"/>
      <c r="AB85" s="20"/>
      <c r="AC85" s="20"/>
      <c r="AD85" s="20"/>
      <c r="AE85" s="22">
        <f t="shared" si="386"/>
        <v>0</v>
      </c>
      <c r="AG85" s="20"/>
      <c r="AH85" s="20"/>
      <c r="AI85" s="20"/>
      <c r="AJ85" s="20"/>
      <c r="AK85" s="20"/>
      <c r="AL85" s="20"/>
      <c r="AM85" s="20"/>
      <c r="AN85" s="20"/>
      <c r="AO85" s="20"/>
      <c r="AP85" s="20"/>
      <c r="AQ85" s="20"/>
      <c r="AR85" s="20"/>
      <c r="AS85" s="22">
        <f t="shared" si="387"/>
        <v>0</v>
      </c>
      <c r="AU85" s="20"/>
      <c r="AV85" s="20"/>
      <c r="AW85" s="20"/>
      <c r="AX85" s="20"/>
      <c r="AY85" s="20"/>
      <c r="AZ85" s="20"/>
      <c r="BA85" s="20"/>
      <c r="BB85" s="20"/>
      <c r="BC85" s="20"/>
      <c r="BD85" s="20"/>
      <c r="BE85" s="20"/>
      <c r="BF85" s="20"/>
      <c r="BG85" s="22">
        <f t="shared" si="388"/>
        <v>0</v>
      </c>
      <c r="BI85" s="20"/>
      <c r="BJ85" s="20"/>
      <c r="BK85" s="20"/>
      <c r="BL85" s="20"/>
      <c r="BM85" s="20"/>
      <c r="BN85" s="20"/>
      <c r="BO85" s="20"/>
      <c r="BP85" s="20"/>
      <c r="BQ85" s="20"/>
      <c r="BR85" s="20"/>
      <c r="BS85" s="20"/>
      <c r="BT85" s="20"/>
      <c r="BU85" s="22">
        <f t="shared" si="389"/>
        <v>0</v>
      </c>
      <c r="BW85" s="20"/>
      <c r="BX85" s="20"/>
      <c r="BY85" s="20"/>
      <c r="BZ85" s="20"/>
      <c r="CA85" s="20"/>
      <c r="CB85" s="20"/>
      <c r="CC85" s="20"/>
      <c r="CD85" s="20"/>
      <c r="CE85" s="20"/>
      <c r="CF85" s="20"/>
      <c r="CG85" s="20"/>
      <c r="CH85" s="20"/>
      <c r="CI85" s="22">
        <f t="shared" si="390"/>
        <v>0</v>
      </c>
      <c r="CK85" s="20"/>
      <c r="CL85" s="20"/>
      <c r="CM85" s="20"/>
      <c r="CN85" s="20"/>
      <c r="CO85" s="20"/>
      <c r="CP85" s="20"/>
      <c r="CQ85" s="20"/>
      <c r="CR85" s="20"/>
      <c r="CS85" s="20"/>
      <c r="CT85" s="20"/>
      <c r="CU85" s="20"/>
      <c r="CV85" s="20"/>
      <c r="CW85" s="22">
        <f t="shared" si="391"/>
        <v>0</v>
      </c>
      <c r="CY85" s="20"/>
      <c r="CZ85" s="20"/>
      <c r="DA85" s="20"/>
      <c r="DB85" s="20"/>
      <c r="DC85" s="20"/>
      <c r="DD85" s="20"/>
      <c r="DE85" s="20"/>
      <c r="DF85" s="20"/>
      <c r="DG85" s="20"/>
      <c r="DH85" s="20"/>
      <c r="DI85" s="20"/>
      <c r="DJ85" s="20"/>
      <c r="DK85" s="22">
        <f t="shared" si="392"/>
        <v>0</v>
      </c>
      <c r="DM85" s="20"/>
      <c r="DN85" s="20"/>
      <c r="DO85" s="20"/>
      <c r="DP85" s="20"/>
      <c r="DQ85" s="20"/>
      <c r="DR85" s="20"/>
      <c r="DS85" s="20"/>
      <c r="DT85" s="20"/>
      <c r="DU85" s="20"/>
      <c r="DV85" s="20"/>
      <c r="DW85" s="20"/>
      <c r="DX85" s="20"/>
      <c r="DY85" s="22">
        <f t="shared" si="393"/>
        <v>0</v>
      </c>
      <c r="EA85" s="20"/>
      <c r="EB85" s="20"/>
      <c r="EC85" s="20"/>
      <c r="ED85" s="20"/>
      <c r="EE85" s="20"/>
      <c r="EF85" s="20"/>
      <c r="EG85" s="20"/>
      <c r="EH85" s="20"/>
      <c r="EI85" s="20"/>
      <c r="EJ85" s="20"/>
      <c r="EK85" s="20"/>
      <c r="EL85" s="20"/>
      <c r="EM85" s="22">
        <f t="shared" si="394"/>
        <v>0</v>
      </c>
    </row>
    <row r="86" spans="3:143" hidden="1" x14ac:dyDescent="0.2">
      <c r="C86" s="19" t="s">
        <v>61</v>
      </c>
      <c r="E86" s="20"/>
      <c r="F86" s="20"/>
      <c r="G86" s="20"/>
      <c r="H86" s="20"/>
      <c r="I86" s="20"/>
      <c r="J86" s="20"/>
      <c r="K86" s="20"/>
      <c r="L86" s="20"/>
      <c r="M86" s="20"/>
      <c r="N86" s="20"/>
      <c r="O86" s="20"/>
      <c r="P86" s="20"/>
      <c r="Q86" s="22">
        <f t="shared" si="385"/>
        <v>0</v>
      </c>
      <c r="S86" s="20"/>
      <c r="T86" s="20"/>
      <c r="U86" s="20"/>
      <c r="V86" s="20"/>
      <c r="W86" s="20"/>
      <c r="X86" s="20"/>
      <c r="Y86" s="20"/>
      <c r="Z86" s="20"/>
      <c r="AA86" s="20"/>
      <c r="AB86" s="20"/>
      <c r="AC86" s="20"/>
      <c r="AD86" s="20"/>
      <c r="AE86" s="22">
        <f t="shared" si="386"/>
        <v>0</v>
      </c>
      <c r="AG86" s="20"/>
      <c r="AH86" s="20"/>
      <c r="AI86" s="20"/>
      <c r="AJ86" s="20"/>
      <c r="AK86" s="20"/>
      <c r="AL86" s="20"/>
      <c r="AM86" s="20"/>
      <c r="AN86" s="20"/>
      <c r="AO86" s="20"/>
      <c r="AP86" s="20"/>
      <c r="AQ86" s="20"/>
      <c r="AR86" s="20"/>
      <c r="AS86" s="22">
        <f t="shared" si="387"/>
        <v>0</v>
      </c>
      <c r="AU86" s="20"/>
      <c r="AV86" s="20"/>
      <c r="AW86" s="20"/>
      <c r="AX86" s="20"/>
      <c r="AY86" s="20"/>
      <c r="AZ86" s="20"/>
      <c r="BA86" s="20"/>
      <c r="BB86" s="20"/>
      <c r="BC86" s="20"/>
      <c r="BD86" s="20"/>
      <c r="BE86" s="20"/>
      <c r="BF86" s="20"/>
      <c r="BG86" s="22">
        <f t="shared" si="388"/>
        <v>0</v>
      </c>
      <c r="BI86" s="20"/>
      <c r="BJ86" s="20"/>
      <c r="BK86" s="20"/>
      <c r="BL86" s="20"/>
      <c r="BM86" s="20"/>
      <c r="BN86" s="20"/>
      <c r="BO86" s="20"/>
      <c r="BP86" s="20"/>
      <c r="BQ86" s="20"/>
      <c r="BR86" s="20"/>
      <c r="BS86" s="20"/>
      <c r="BT86" s="20"/>
      <c r="BU86" s="22">
        <f t="shared" si="389"/>
        <v>0</v>
      </c>
      <c r="BW86" s="20"/>
      <c r="BX86" s="20"/>
      <c r="BY86" s="20"/>
      <c r="BZ86" s="20"/>
      <c r="CA86" s="20"/>
      <c r="CB86" s="20"/>
      <c r="CC86" s="20"/>
      <c r="CD86" s="20"/>
      <c r="CE86" s="20"/>
      <c r="CF86" s="20"/>
      <c r="CG86" s="20"/>
      <c r="CH86" s="20"/>
      <c r="CI86" s="22">
        <f t="shared" si="390"/>
        <v>0</v>
      </c>
      <c r="CK86" s="20"/>
      <c r="CL86" s="20"/>
      <c r="CM86" s="20"/>
      <c r="CN86" s="20"/>
      <c r="CO86" s="20"/>
      <c r="CP86" s="20"/>
      <c r="CQ86" s="20"/>
      <c r="CR86" s="20"/>
      <c r="CS86" s="20"/>
      <c r="CT86" s="20"/>
      <c r="CU86" s="20"/>
      <c r="CV86" s="20"/>
      <c r="CW86" s="22">
        <f t="shared" si="391"/>
        <v>0</v>
      </c>
      <c r="CY86" s="20"/>
      <c r="CZ86" s="20"/>
      <c r="DA86" s="20"/>
      <c r="DB86" s="20"/>
      <c r="DC86" s="20"/>
      <c r="DD86" s="20"/>
      <c r="DE86" s="20"/>
      <c r="DF86" s="20"/>
      <c r="DG86" s="20"/>
      <c r="DH86" s="20"/>
      <c r="DI86" s="20"/>
      <c r="DJ86" s="20"/>
      <c r="DK86" s="22">
        <f t="shared" si="392"/>
        <v>0</v>
      </c>
      <c r="DM86" s="20"/>
      <c r="DN86" s="20"/>
      <c r="DO86" s="20"/>
      <c r="DP86" s="20"/>
      <c r="DQ86" s="20"/>
      <c r="DR86" s="20"/>
      <c r="DS86" s="20"/>
      <c r="DT86" s="20"/>
      <c r="DU86" s="20"/>
      <c r="DV86" s="20"/>
      <c r="DW86" s="20"/>
      <c r="DX86" s="20"/>
      <c r="DY86" s="22">
        <f t="shared" si="393"/>
        <v>0</v>
      </c>
      <c r="EA86" s="20"/>
      <c r="EB86" s="20"/>
      <c r="EC86" s="20"/>
      <c r="ED86" s="20"/>
      <c r="EE86" s="20"/>
      <c r="EF86" s="20"/>
      <c r="EG86" s="20"/>
      <c r="EH86" s="20"/>
      <c r="EI86" s="20"/>
      <c r="EJ86" s="20"/>
      <c r="EK86" s="20"/>
      <c r="EL86" s="20"/>
      <c r="EM86" s="22">
        <f t="shared" si="394"/>
        <v>0</v>
      </c>
    </row>
    <row r="87" spans="3:143" hidden="1" x14ac:dyDescent="0.2">
      <c r="C87" s="19" t="s">
        <v>61</v>
      </c>
      <c r="E87" s="20"/>
      <c r="F87" s="20"/>
      <c r="G87" s="20"/>
      <c r="H87" s="20"/>
      <c r="I87" s="20"/>
      <c r="J87" s="20"/>
      <c r="K87" s="20"/>
      <c r="L87" s="20"/>
      <c r="M87" s="20"/>
      <c r="N87" s="20"/>
      <c r="O87" s="20"/>
      <c r="P87" s="20"/>
      <c r="Q87" s="22">
        <f t="shared" si="385"/>
        <v>0</v>
      </c>
      <c r="S87" s="20"/>
      <c r="T87" s="20"/>
      <c r="U87" s="20"/>
      <c r="V87" s="20"/>
      <c r="W87" s="20"/>
      <c r="X87" s="20"/>
      <c r="Y87" s="20"/>
      <c r="Z87" s="20"/>
      <c r="AA87" s="20"/>
      <c r="AB87" s="20"/>
      <c r="AC87" s="20"/>
      <c r="AD87" s="20"/>
      <c r="AE87" s="22">
        <f t="shared" si="386"/>
        <v>0</v>
      </c>
      <c r="AG87" s="20"/>
      <c r="AH87" s="20"/>
      <c r="AI87" s="20"/>
      <c r="AJ87" s="20"/>
      <c r="AK87" s="20"/>
      <c r="AL87" s="20"/>
      <c r="AM87" s="20"/>
      <c r="AN87" s="20"/>
      <c r="AO87" s="20"/>
      <c r="AP87" s="20"/>
      <c r="AQ87" s="20"/>
      <c r="AR87" s="20"/>
      <c r="AS87" s="22">
        <f t="shared" si="387"/>
        <v>0</v>
      </c>
      <c r="AU87" s="20"/>
      <c r="AV87" s="20"/>
      <c r="AW87" s="20"/>
      <c r="AX87" s="20"/>
      <c r="AY87" s="20"/>
      <c r="AZ87" s="20"/>
      <c r="BA87" s="20"/>
      <c r="BB87" s="20"/>
      <c r="BC87" s="20"/>
      <c r="BD87" s="20"/>
      <c r="BE87" s="20"/>
      <c r="BF87" s="20"/>
      <c r="BG87" s="22">
        <f t="shared" si="388"/>
        <v>0</v>
      </c>
      <c r="BI87" s="20"/>
      <c r="BJ87" s="20"/>
      <c r="BK87" s="20"/>
      <c r="BL87" s="20"/>
      <c r="BM87" s="20"/>
      <c r="BN87" s="20"/>
      <c r="BO87" s="20"/>
      <c r="BP87" s="20"/>
      <c r="BQ87" s="20"/>
      <c r="BR87" s="20"/>
      <c r="BS87" s="20"/>
      <c r="BT87" s="20"/>
      <c r="BU87" s="22">
        <f t="shared" si="389"/>
        <v>0</v>
      </c>
      <c r="BW87" s="20"/>
      <c r="BX87" s="20"/>
      <c r="BY87" s="20"/>
      <c r="BZ87" s="20"/>
      <c r="CA87" s="20"/>
      <c r="CB87" s="20"/>
      <c r="CC87" s="20"/>
      <c r="CD87" s="20"/>
      <c r="CE87" s="20"/>
      <c r="CF87" s="20"/>
      <c r="CG87" s="20"/>
      <c r="CH87" s="20"/>
      <c r="CI87" s="22">
        <f t="shared" si="390"/>
        <v>0</v>
      </c>
      <c r="CK87" s="20"/>
      <c r="CL87" s="20"/>
      <c r="CM87" s="20"/>
      <c r="CN87" s="20"/>
      <c r="CO87" s="20"/>
      <c r="CP87" s="20"/>
      <c r="CQ87" s="20"/>
      <c r="CR87" s="20"/>
      <c r="CS87" s="20"/>
      <c r="CT87" s="20"/>
      <c r="CU87" s="20"/>
      <c r="CV87" s="20"/>
      <c r="CW87" s="22">
        <f t="shared" si="391"/>
        <v>0</v>
      </c>
      <c r="CY87" s="20"/>
      <c r="CZ87" s="20"/>
      <c r="DA87" s="20"/>
      <c r="DB87" s="20"/>
      <c r="DC87" s="20"/>
      <c r="DD87" s="20"/>
      <c r="DE87" s="20"/>
      <c r="DF87" s="20"/>
      <c r="DG87" s="20"/>
      <c r="DH87" s="20"/>
      <c r="DI87" s="20"/>
      <c r="DJ87" s="20"/>
      <c r="DK87" s="22">
        <f t="shared" si="392"/>
        <v>0</v>
      </c>
      <c r="DM87" s="20"/>
      <c r="DN87" s="20"/>
      <c r="DO87" s="20"/>
      <c r="DP87" s="20"/>
      <c r="DQ87" s="20"/>
      <c r="DR87" s="20"/>
      <c r="DS87" s="20"/>
      <c r="DT87" s="20"/>
      <c r="DU87" s="20"/>
      <c r="DV87" s="20"/>
      <c r="DW87" s="20"/>
      <c r="DX87" s="20"/>
      <c r="DY87" s="22">
        <f t="shared" si="393"/>
        <v>0</v>
      </c>
      <c r="EA87" s="20"/>
      <c r="EB87" s="20"/>
      <c r="EC87" s="20"/>
      <c r="ED87" s="20"/>
      <c r="EE87" s="20"/>
      <c r="EF87" s="20"/>
      <c r="EG87" s="20"/>
      <c r="EH87" s="20"/>
      <c r="EI87" s="20"/>
      <c r="EJ87" s="20"/>
      <c r="EK87" s="20"/>
      <c r="EL87" s="20"/>
      <c r="EM87" s="22">
        <f t="shared" si="394"/>
        <v>0</v>
      </c>
    </row>
    <row r="88" spans="3:143" hidden="1" x14ac:dyDescent="0.2">
      <c r="C88" s="19" t="s">
        <v>61</v>
      </c>
      <c r="E88" s="20"/>
      <c r="F88" s="20"/>
      <c r="G88" s="20"/>
      <c r="H88" s="20"/>
      <c r="I88" s="20"/>
      <c r="J88" s="20"/>
      <c r="K88" s="20"/>
      <c r="L88" s="20"/>
      <c r="M88" s="20"/>
      <c r="N88" s="20"/>
      <c r="O88" s="20"/>
      <c r="P88" s="20"/>
      <c r="Q88" s="22">
        <f t="shared" si="383"/>
        <v>0</v>
      </c>
      <c r="S88" s="20"/>
      <c r="T88" s="20"/>
      <c r="U88" s="20"/>
      <c r="V88" s="20"/>
      <c r="W88" s="20"/>
      <c r="X88" s="20"/>
      <c r="Y88" s="20"/>
      <c r="Z88" s="20"/>
      <c r="AA88" s="20"/>
      <c r="AB88" s="20"/>
      <c r="AC88" s="20"/>
      <c r="AD88" s="20"/>
      <c r="AE88" s="22">
        <f t="shared" si="365"/>
        <v>0</v>
      </c>
      <c r="AG88" s="20"/>
      <c r="AH88" s="20"/>
      <c r="AI88" s="20"/>
      <c r="AJ88" s="20"/>
      <c r="AK88" s="20"/>
      <c r="AL88" s="20"/>
      <c r="AM88" s="20"/>
      <c r="AN88" s="20"/>
      <c r="AO88" s="20"/>
      <c r="AP88" s="20"/>
      <c r="AQ88" s="20"/>
      <c r="AR88" s="20"/>
      <c r="AS88" s="22">
        <f t="shared" si="384"/>
        <v>0</v>
      </c>
      <c r="AU88" s="20"/>
      <c r="AV88" s="20"/>
      <c r="AW88" s="20"/>
      <c r="AX88" s="20"/>
      <c r="AY88" s="20"/>
      <c r="AZ88" s="20"/>
      <c r="BA88" s="20"/>
      <c r="BB88" s="20"/>
      <c r="BC88" s="20"/>
      <c r="BD88" s="20"/>
      <c r="BE88" s="20"/>
      <c r="BF88" s="20"/>
      <c r="BG88" s="22">
        <f t="shared" si="366"/>
        <v>0</v>
      </c>
      <c r="BI88" s="20"/>
      <c r="BJ88" s="20"/>
      <c r="BK88" s="20"/>
      <c r="BL88" s="20"/>
      <c r="BM88" s="20"/>
      <c r="BN88" s="20"/>
      <c r="BO88" s="20"/>
      <c r="BP88" s="20"/>
      <c r="BQ88" s="20"/>
      <c r="BR88" s="20"/>
      <c r="BS88" s="20"/>
      <c r="BT88" s="20"/>
      <c r="BU88" s="22">
        <f t="shared" si="367"/>
        <v>0</v>
      </c>
      <c r="BW88" s="20"/>
      <c r="BX88" s="20"/>
      <c r="BY88" s="20"/>
      <c r="BZ88" s="20"/>
      <c r="CA88" s="20"/>
      <c r="CB88" s="20"/>
      <c r="CC88" s="20"/>
      <c r="CD88" s="20"/>
      <c r="CE88" s="20"/>
      <c r="CF88" s="20"/>
      <c r="CG88" s="20"/>
      <c r="CH88" s="20"/>
      <c r="CI88" s="22">
        <f t="shared" si="368"/>
        <v>0</v>
      </c>
      <c r="CK88" s="20"/>
      <c r="CL88" s="20"/>
      <c r="CM88" s="20"/>
      <c r="CN88" s="20"/>
      <c r="CO88" s="20"/>
      <c r="CP88" s="20"/>
      <c r="CQ88" s="20"/>
      <c r="CR88" s="20"/>
      <c r="CS88" s="20"/>
      <c r="CT88" s="20"/>
      <c r="CU88" s="20"/>
      <c r="CV88" s="20"/>
      <c r="CW88" s="22">
        <f t="shared" si="369"/>
        <v>0</v>
      </c>
      <c r="CY88" s="20"/>
      <c r="CZ88" s="20"/>
      <c r="DA88" s="20"/>
      <c r="DB88" s="20"/>
      <c r="DC88" s="20"/>
      <c r="DD88" s="20"/>
      <c r="DE88" s="20"/>
      <c r="DF88" s="20"/>
      <c r="DG88" s="20"/>
      <c r="DH88" s="20"/>
      <c r="DI88" s="20"/>
      <c r="DJ88" s="20"/>
      <c r="DK88" s="22">
        <f t="shared" si="370"/>
        <v>0</v>
      </c>
      <c r="DM88" s="20"/>
      <c r="DN88" s="20"/>
      <c r="DO88" s="20"/>
      <c r="DP88" s="20"/>
      <c r="DQ88" s="20"/>
      <c r="DR88" s="20"/>
      <c r="DS88" s="20"/>
      <c r="DT88" s="20"/>
      <c r="DU88" s="20"/>
      <c r="DV88" s="20"/>
      <c r="DW88" s="20"/>
      <c r="DX88" s="20"/>
      <c r="DY88" s="22">
        <f t="shared" si="371"/>
        <v>0</v>
      </c>
      <c r="EA88" s="20"/>
      <c r="EB88" s="20"/>
      <c r="EC88" s="20"/>
      <c r="ED88" s="20"/>
      <c r="EE88" s="20"/>
      <c r="EF88" s="20"/>
      <c r="EG88" s="20"/>
      <c r="EH88" s="20"/>
      <c r="EI88" s="20"/>
      <c r="EJ88" s="20"/>
      <c r="EK88" s="20"/>
      <c r="EL88" s="20"/>
      <c r="EM88" s="22">
        <f t="shared" si="372"/>
        <v>0</v>
      </c>
    </row>
    <row r="89" spans="3:143" hidden="1" x14ac:dyDescent="0.2">
      <c r="C89" s="19" t="s">
        <v>61</v>
      </c>
      <c r="E89" s="20"/>
      <c r="F89" s="20"/>
      <c r="G89" s="20"/>
      <c r="H89" s="20"/>
      <c r="I89" s="20"/>
      <c r="J89" s="20"/>
      <c r="K89" s="20"/>
      <c r="L89" s="20"/>
      <c r="M89" s="20"/>
      <c r="N89" s="20"/>
      <c r="O89" s="20"/>
      <c r="P89" s="20"/>
      <c r="Q89" s="22">
        <f t="shared" si="383"/>
        <v>0</v>
      </c>
      <c r="S89" s="20"/>
      <c r="T89" s="20"/>
      <c r="U89" s="20"/>
      <c r="V89" s="20"/>
      <c r="W89" s="20"/>
      <c r="X89" s="20"/>
      <c r="Y89" s="20"/>
      <c r="Z89" s="20"/>
      <c r="AA89" s="20"/>
      <c r="AB89" s="20"/>
      <c r="AC89" s="20"/>
      <c r="AD89" s="20"/>
      <c r="AE89" s="22">
        <f t="shared" si="365"/>
        <v>0</v>
      </c>
      <c r="AG89" s="20"/>
      <c r="AH89" s="20"/>
      <c r="AI89" s="20"/>
      <c r="AJ89" s="20"/>
      <c r="AK89" s="20"/>
      <c r="AL89" s="20"/>
      <c r="AM89" s="20"/>
      <c r="AN89" s="20"/>
      <c r="AO89" s="20"/>
      <c r="AP89" s="20"/>
      <c r="AQ89" s="20"/>
      <c r="AR89" s="20"/>
      <c r="AS89" s="22">
        <f t="shared" si="384"/>
        <v>0</v>
      </c>
      <c r="AU89" s="20"/>
      <c r="AV89" s="20"/>
      <c r="AW89" s="20"/>
      <c r="AX89" s="20"/>
      <c r="AY89" s="20"/>
      <c r="AZ89" s="20"/>
      <c r="BA89" s="20"/>
      <c r="BB89" s="20"/>
      <c r="BC89" s="20"/>
      <c r="BD89" s="20"/>
      <c r="BE89" s="20"/>
      <c r="BF89" s="20"/>
      <c r="BG89" s="22">
        <f t="shared" si="366"/>
        <v>0</v>
      </c>
      <c r="BI89" s="20"/>
      <c r="BJ89" s="20"/>
      <c r="BK89" s="20"/>
      <c r="BL89" s="20"/>
      <c r="BM89" s="20"/>
      <c r="BN89" s="20"/>
      <c r="BO89" s="20"/>
      <c r="BP89" s="20"/>
      <c r="BQ89" s="20"/>
      <c r="BR89" s="20"/>
      <c r="BS89" s="20"/>
      <c r="BT89" s="20"/>
      <c r="BU89" s="22">
        <f t="shared" si="367"/>
        <v>0</v>
      </c>
      <c r="BW89" s="20"/>
      <c r="BX89" s="20"/>
      <c r="BY89" s="20"/>
      <c r="BZ89" s="20"/>
      <c r="CA89" s="20"/>
      <c r="CB89" s="20"/>
      <c r="CC89" s="20"/>
      <c r="CD89" s="20"/>
      <c r="CE89" s="20"/>
      <c r="CF89" s="20"/>
      <c r="CG89" s="20"/>
      <c r="CH89" s="20"/>
      <c r="CI89" s="22">
        <f t="shared" si="368"/>
        <v>0</v>
      </c>
      <c r="CK89" s="20"/>
      <c r="CL89" s="20"/>
      <c r="CM89" s="20"/>
      <c r="CN89" s="20"/>
      <c r="CO89" s="20"/>
      <c r="CP89" s="20"/>
      <c r="CQ89" s="20"/>
      <c r="CR89" s="20"/>
      <c r="CS89" s="20"/>
      <c r="CT89" s="20"/>
      <c r="CU89" s="20"/>
      <c r="CV89" s="20"/>
      <c r="CW89" s="22">
        <f t="shared" si="369"/>
        <v>0</v>
      </c>
      <c r="CY89" s="20"/>
      <c r="CZ89" s="20"/>
      <c r="DA89" s="20"/>
      <c r="DB89" s="20"/>
      <c r="DC89" s="20"/>
      <c r="DD89" s="20"/>
      <c r="DE89" s="20"/>
      <c r="DF89" s="20"/>
      <c r="DG89" s="20"/>
      <c r="DH89" s="20"/>
      <c r="DI89" s="20"/>
      <c r="DJ89" s="20"/>
      <c r="DK89" s="22">
        <f t="shared" si="370"/>
        <v>0</v>
      </c>
      <c r="DM89" s="20"/>
      <c r="DN89" s="20"/>
      <c r="DO89" s="20"/>
      <c r="DP89" s="20"/>
      <c r="DQ89" s="20"/>
      <c r="DR89" s="20"/>
      <c r="DS89" s="20"/>
      <c r="DT89" s="20"/>
      <c r="DU89" s="20"/>
      <c r="DV89" s="20"/>
      <c r="DW89" s="20"/>
      <c r="DX89" s="20"/>
      <c r="DY89" s="22">
        <f t="shared" si="371"/>
        <v>0</v>
      </c>
      <c r="EA89" s="20"/>
      <c r="EB89" s="20"/>
      <c r="EC89" s="20"/>
      <c r="ED89" s="20"/>
      <c r="EE89" s="20"/>
      <c r="EF89" s="20"/>
      <c r="EG89" s="20"/>
      <c r="EH89" s="20"/>
      <c r="EI89" s="20"/>
      <c r="EJ89" s="20"/>
      <c r="EK89" s="20"/>
      <c r="EL89" s="20"/>
      <c r="EM89" s="22">
        <f t="shared" si="372"/>
        <v>0</v>
      </c>
    </row>
    <row r="90" spans="3:143" hidden="1" x14ac:dyDescent="0.2">
      <c r="C90" s="19" t="s">
        <v>61</v>
      </c>
      <c r="E90" s="20"/>
      <c r="F90" s="20"/>
      <c r="G90" s="20"/>
      <c r="H90" s="20"/>
      <c r="I90" s="20"/>
      <c r="J90" s="20"/>
      <c r="K90" s="20"/>
      <c r="L90" s="20"/>
      <c r="M90" s="20"/>
      <c r="N90" s="20"/>
      <c r="O90" s="20"/>
      <c r="P90" s="20"/>
      <c r="Q90" s="22">
        <f t="shared" si="383"/>
        <v>0</v>
      </c>
      <c r="S90" s="20"/>
      <c r="T90" s="20"/>
      <c r="U90" s="20"/>
      <c r="V90" s="20"/>
      <c r="W90" s="20"/>
      <c r="X90" s="20"/>
      <c r="Y90" s="20"/>
      <c r="Z90" s="20"/>
      <c r="AA90" s="20"/>
      <c r="AB90" s="20"/>
      <c r="AC90" s="20"/>
      <c r="AD90" s="20"/>
      <c r="AE90" s="22">
        <f t="shared" si="365"/>
        <v>0</v>
      </c>
      <c r="AG90" s="20"/>
      <c r="AH90" s="20"/>
      <c r="AI90" s="20"/>
      <c r="AJ90" s="20"/>
      <c r="AK90" s="20"/>
      <c r="AL90" s="20"/>
      <c r="AM90" s="20"/>
      <c r="AN90" s="20"/>
      <c r="AO90" s="20"/>
      <c r="AP90" s="20"/>
      <c r="AQ90" s="20"/>
      <c r="AR90" s="20"/>
      <c r="AS90" s="22">
        <f t="shared" si="384"/>
        <v>0</v>
      </c>
      <c r="AU90" s="20"/>
      <c r="AV90" s="20"/>
      <c r="AW90" s="20"/>
      <c r="AX90" s="20"/>
      <c r="AY90" s="20"/>
      <c r="AZ90" s="20"/>
      <c r="BA90" s="20"/>
      <c r="BB90" s="20"/>
      <c r="BC90" s="20"/>
      <c r="BD90" s="20"/>
      <c r="BE90" s="20"/>
      <c r="BF90" s="20"/>
      <c r="BG90" s="22">
        <f t="shared" si="366"/>
        <v>0</v>
      </c>
      <c r="BI90" s="20"/>
      <c r="BJ90" s="20"/>
      <c r="BK90" s="20"/>
      <c r="BL90" s="20"/>
      <c r="BM90" s="20"/>
      <c r="BN90" s="20"/>
      <c r="BO90" s="20"/>
      <c r="BP90" s="20"/>
      <c r="BQ90" s="20"/>
      <c r="BR90" s="20"/>
      <c r="BS90" s="20"/>
      <c r="BT90" s="20"/>
      <c r="BU90" s="22">
        <f t="shared" si="367"/>
        <v>0</v>
      </c>
      <c r="BW90" s="20"/>
      <c r="BX90" s="20"/>
      <c r="BY90" s="20"/>
      <c r="BZ90" s="20"/>
      <c r="CA90" s="20"/>
      <c r="CB90" s="20"/>
      <c r="CC90" s="20"/>
      <c r="CD90" s="20"/>
      <c r="CE90" s="20"/>
      <c r="CF90" s="20"/>
      <c r="CG90" s="20"/>
      <c r="CH90" s="20"/>
      <c r="CI90" s="22">
        <f t="shared" si="368"/>
        <v>0</v>
      </c>
      <c r="CK90" s="20"/>
      <c r="CL90" s="20"/>
      <c r="CM90" s="20"/>
      <c r="CN90" s="20"/>
      <c r="CO90" s="20"/>
      <c r="CP90" s="20"/>
      <c r="CQ90" s="20"/>
      <c r="CR90" s="20"/>
      <c r="CS90" s="20"/>
      <c r="CT90" s="20"/>
      <c r="CU90" s="20"/>
      <c r="CV90" s="20"/>
      <c r="CW90" s="22">
        <f t="shared" si="369"/>
        <v>0</v>
      </c>
      <c r="CY90" s="20"/>
      <c r="CZ90" s="20"/>
      <c r="DA90" s="20"/>
      <c r="DB90" s="20"/>
      <c r="DC90" s="20"/>
      <c r="DD90" s="20"/>
      <c r="DE90" s="20"/>
      <c r="DF90" s="20"/>
      <c r="DG90" s="20"/>
      <c r="DH90" s="20"/>
      <c r="DI90" s="20"/>
      <c r="DJ90" s="20"/>
      <c r="DK90" s="22">
        <f t="shared" si="370"/>
        <v>0</v>
      </c>
      <c r="DM90" s="20"/>
      <c r="DN90" s="20"/>
      <c r="DO90" s="20"/>
      <c r="DP90" s="20"/>
      <c r="DQ90" s="20"/>
      <c r="DR90" s="20"/>
      <c r="DS90" s="20"/>
      <c r="DT90" s="20"/>
      <c r="DU90" s="20"/>
      <c r="DV90" s="20"/>
      <c r="DW90" s="20"/>
      <c r="DX90" s="20"/>
      <c r="DY90" s="22">
        <f t="shared" si="371"/>
        <v>0</v>
      </c>
      <c r="EA90" s="20"/>
      <c r="EB90" s="20"/>
      <c r="EC90" s="20"/>
      <c r="ED90" s="20"/>
      <c r="EE90" s="20"/>
      <c r="EF90" s="20"/>
      <c r="EG90" s="20"/>
      <c r="EH90" s="20"/>
      <c r="EI90" s="20"/>
      <c r="EJ90" s="20"/>
      <c r="EK90" s="20"/>
      <c r="EL90" s="20"/>
      <c r="EM90" s="22">
        <f t="shared" si="372"/>
        <v>0</v>
      </c>
    </row>
    <row r="91" spans="3:143" hidden="1" x14ac:dyDescent="0.2">
      <c r="C91" s="19" t="s">
        <v>61</v>
      </c>
      <c r="E91" s="20"/>
      <c r="F91" s="20"/>
      <c r="G91" s="20"/>
      <c r="H91" s="20"/>
      <c r="I91" s="20"/>
      <c r="J91" s="20"/>
      <c r="K91" s="20"/>
      <c r="L91" s="20"/>
      <c r="M91" s="20"/>
      <c r="N91" s="20"/>
      <c r="O91" s="20"/>
      <c r="P91" s="20"/>
      <c r="Q91" s="22">
        <f t="shared" ref="Q91:Q93" si="405">SUM(E91:P91)</f>
        <v>0</v>
      </c>
      <c r="S91" s="20"/>
      <c r="T91" s="20"/>
      <c r="U91" s="20"/>
      <c r="V91" s="20"/>
      <c r="W91" s="20"/>
      <c r="X91" s="20"/>
      <c r="Y91" s="20"/>
      <c r="Z91" s="20"/>
      <c r="AA91" s="20"/>
      <c r="AB91" s="20"/>
      <c r="AC91" s="20"/>
      <c r="AD91" s="20"/>
      <c r="AE91" s="22">
        <f t="shared" ref="AE91:AE93" si="406">SUM(S91:AD91)</f>
        <v>0</v>
      </c>
      <c r="AG91" s="20"/>
      <c r="AH91" s="20"/>
      <c r="AI91" s="20"/>
      <c r="AJ91" s="20"/>
      <c r="AK91" s="20"/>
      <c r="AL91" s="20"/>
      <c r="AM91" s="20"/>
      <c r="AN91" s="20"/>
      <c r="AO91" s="20"/>
      <c r="AP91" s="20"/>
      <c r="AQ91" s="20"/>
      <c r="AR91" s="20"/>
      <c r="AS91" s="22">
        <f t="shared" ref="AS91:AS93" si="407">SUM(AG91:AR91)</f>
        <v>0</v>
      </c>
      <c r="AU91" s="20"/>
      <c r="AV91" s="20"/>
      <c r="AW91" s="20"/>
      <c r="AX91" s="20"/>
      <c r="AY91" s="20"/>
      <c r="AZ91" s="20"/>
      <c r="BA91" s="20"/>
      <c r="BB91" s="20"/>
      <c r="BC91" s="20"/>
      <c r="BD91" s="20"/>
      <c r="BE91" s="20"/>
      <c r="BF91" s="20"/>
      <c r="BG91" s="22">
        <f t="shared" ref="BG91:BG93" si="408">SUM(AU91:BF91)</f>
        <v>0</v>
      </c>
      <c r="BI91" s="20"/>
      <c r="BJ91" s="20"/>
      <c r="BK91" s="20"/>
      <c r="BL91" s="20"/>
      <c r="BM91" s="20"/>
      <c r="BN91" s="20"/>
      <c r="BO91" s="20"/>
      <c r="BP91" s="20"/>
      <c r="BQ91" s="20"/>
      <c r="BR91" s="20"/>
      <c r="BS91" s="20"/>
      <c r="BT91" s="20"/>
      <c r="BU91" s="22">
        <f t="shared" ref="BU91:BU93" si="409">SUM(BI91:BT91)</f>
        <v>0</v>
      </c>
      <c r="BW91" s="20"/>
      <c r="BX91" s="20"/>
      <c r="BY91" s="20"/>
      <c r="BZ91" s="20"/>
      <c r="CA91" s="20"/>
      <c r="CB91" s="20"/>
      <c r="CC91" s="20"/>
      <c r="CD91" s="20"/>
      <c r="CE91" s="20"/>
      <c r="CF91" s="20"/>
      <c r="CG91" s="20"/>
      <c r="CH91" s="20"/>
      <c r="CI91" s="22">
        <f t="shared" ref="CI91:CI93" si="410">SUM(BW91:CH91)</f>
        <v>0</v>
      </c>
      <c r="CK91" s="20"/>
      <c r="CL91" s="20"/>
      <c r="CM91" s="20"/>
      <c r="CN91" s="20"/>
      <c r="CO91" s="20"/>
      <c r="CP91" s="20"/>
      <c r="CQ91" s="20"/>
      <c r="CR91" s="20"/>
      <c r="CS91" s="20"/>
      <c r="CT91" s="20"/>
      <c r="CU91" s="20"/>
      <c r="CV91" s="20"/>
      <c r="CW91" s="22">
        <f t="shared" ref="CW91:CW93" si="411">SUM(CK91:CV91)</f>
        <v>0</v>
      </c>
      <c r="CY91" s="20"/>
      <c r="CZ91" s="20"/>
      <c r="DA91" s="20"/>
      <c r="DB91" s="20"/>
      <c r="DC91" s="20"/>
      <c r="DD91" s="20"/>
      <c r="DE91" s="20"/>
      <c r="DF91" s="20"/>
      <c r="DG91" s="20"/>
      <c r="DH91" s="20"/>
      <c r="DI91" s="20"/>
      <c r="DJ91" s="20"/>
      <c r="DK91" s="22">
        <f t="shared" ref="DK91:DK93" si="412">SUM(CY91:DJ91)</f>
        <v>0</v>
      </c>
      <c r="DM91" s="20"/>
      <c r="DN91" s="20"/>
      <c r="DO91" s="20"/>
      <c r="DP91" s="20"/>
      <c r="DQ91" s="20"/>
      <c r="DR91" s="20"/>
      <c r="DS91" s="20"/>
      <c r="DT91" s="20"/>
      <c r="DU91" s="20"/>
      <c r="DV91" s="20"/>
      <c r="DW91" s="20"/>
      <c r="DX91" s="20"/>
      <c r="DY91" s="22">
        <f t="shared" ref="DY91:DY93" si="413">SUM(DM91:DX91)</f>
        <v>0</v>
      </c>
      <c r="EA91" s="20"/>
      <c r="EB91" s="20"/>
      <c r="EC91" s="20"/>
      <c r="ED91" s="20"/>
      <c r="EE91" s="20"/>
      <c r="EF91" s="20"/>
      <c r="EG91" s="20"/>
      <c r="EH91" s="20"/>
      <c r="EI91" s="20"/>
      <c r="EJ91" s="20"/>
      <c r="EK91" s="20"/>
      <c r="EL91" s="20"/>
      <c r="EM91" s="22">
        <f t="shared" ref="EM91:EM93" si="414">SUM(EA91:EL91)</f>
        <v>0</v>
      </c>
    </row>
    <row r="92" spans="3:143" hidden="1" x14ac:dyDescent="0.2">
      <c r="C92" s="19" t="s">
        <v>61</v>
      </c>
      <c r="E92" s="20"/>
      <c r="F92" s="20"/>
      <c r="G92" s="20"/>
      <c r="H92" s="20"/>
      <c r="I92" s="20"/>
      <c r="J92" s="20"/>
      <c r="K92" s="20"/>
      <c r="L92" s="20"/>
      <c r="M92" s="20"/>
      <c r="N92" s="20"/>
      <c r="O92" s="20"/>
      <c r="P92" s="20"/>
      <c r="Q92" s="22">
        <f t="shared" si="405"/>
        <v>0</v>
      </c>
      <c r="S92" s="20"/>
      <c r="T92" s="20"/>
      <c r="U92" s="20"/>
      <c r="V92" s="20"/>
      <c r="W92" s="20"/>
      <c r="X92" s="20"/>
      <c r="Y92" s="20"/>
      <c r="Z92" s="20"/>
      <c r="AA92" s="20"/>
      <c r="AB92" s="20"/>
      <c r="AC92" s="20"/>
      <c r="AD92" s="20"/>
      <c r="AE92" s="22">
        <f t="shared" si="406"/>
        <v>0</v>
      </c>
      <c r="AG92" s="20"/>
      <c r="AH92" s="20"/>
      <c r="AI92" s="20"/>
      <c r="AJ92" s="20"/>
      <c r="AK92" s="20"/>
      <c r="AL92" s="20"/>
      <c r="AM92" s="20"/>
      <c r="AN92" s="20"/>
      <c r="AO92" s="20"/>
      <c r="AP92" s="20"/>
      <c r="AQ92" s="20"/>
      <c r="AR92" s="20"/>
      <c r="AS92" s="22">
        <f t="shared" si="407"/>
        <v>0</v>
      </c>
      <c r="AU92" s="20"/>
      <c r="AV92" s="20"/>
      <c r="AW92" s="20"/>
      <c r="AX92" s="20"/>
      <c r="AY92" s="20"/>
      <c r="AZ92" s="20"/>
      <c r="BA92" s="20"/>
      <c r="BB92" s="20"/>
      <c r="BC92" s="20"/>
      <c r="BD92" s="20"/>
      <c r="BE92" s="20"/>
      <c r="BF92" s="20"/>
      <c r="BG92" s="22">
        <f t="shared" si="408"/>
        <v>0</v>
      </c>
      <c r="BI92" s="20"/>
      <c r="BJ92" s="20"/>
      <c r="BK92" s="20"/>
      <c r="BL92" s="20"/>
      <c r="BM92" s="20"/>
      <c r="BN92" s="20"/>
      <c r="BO92" s="20"/>
      <c r="BP92" s="20"/>
      <c r="BQ92" s="20"/>
      <c r="BR92" s="20"/>
      <c r="BS92" s="20"/>
      <c r="BT92" s="20"/>
      <c r="BU92" s="22">
        <f t="shared" si="409"/>
        <v>0</v>
      </c>
      <c r="BW92" s="20"/>
      <c r="BX92" s="20"/>
      <c r="BY92" s="20"/>
      <c r="BZ92" s="20"/>
      <c r="CA92" s="20"/>
      <c r="CB92" s="20"/>
      <c r="CC92" s="20"/>
      <c r="CD92" s="20"/>
      <c r="CE92" s="20"/>
      <c r="CF92" s="20"/>
      <c r="CG92" s="20"/>
      <c r="CH92" s="20"/>
      <c r="CI92" s="22">
        <f t="shared" si="410"/>
        <v>0</v>
      </c>
      <c r="CK92" s="20"/>
      <c r="CL92" s="20"/>
      <c r="CM92" s="20"/>
      <c r="CN92" s="20"/>
      <c r="CO92" s="20"/>
      <c r="CP92" s="20"/>
      <c r="CQ92" s="20"/>
      <c r="CR92" s="20"/>
      <c r="CS92" s="20"/>
      <c r="CT92" s="20"/>
      <c r="CU92" s="20"/>
      <c r="CV92" s="20"/>
      <c r="CW92" s="22">
        <f t="shared" si="411"/>
        <v>0</v>
      </c>
      <c r="CY92" s="20"/>
      <c r="CZ92" s="20"/>
      <c r="DA92" s="20"/>
      <c r="DB92" s="20"/>
      <c r="DC92" s="20"/>
      <c r="DD92" s="20"/>
      <c r="DE92" s="20"/>
      <c r="DF92" s="20"/>
      <c r="DG92" s="20"/>
      <c r="DH92" s="20"/>
      <c r="DI92" s="20"/>
      <c r="DJ92" s="20"/>
      <c r="DK92" s="22">
        <f t="shared" si="412"/>
        <v>0</v>
      </c>
      <c r="DM92" s="20"/>
      <c r="DN92" s="20"/>
      <c r="DO92" s="20"/>
      <c r="DP92" s="20"/>
      <c r="DQ92" s="20"/>
      <c r="DR92" s="20"/>
      <c r="DS92" s="20"/>
      <c r="DT92" s="20"/>
      <c r="DU92" s="20"/>
      <c r="DV92" s="20"/>
      <c r="DW92" s="20"/>
      <c r="DX92" s="20"/>
      <c r="DY92" s="22">
        <f t="shared" si="413"/>
        <v>0</v>
      </c>
      <c r="EA92" s="20"/>
      <c r="EB92" s="20"/>
      <c r="EC92" s="20"/>
      <c r="ED92" s="20"/>
      <c r="EE92" s="20"/>
      <c r="EF92" s="20"/>
      <c r="EG92" s="20"/>
      <c r="EH92" s="20"/>
      <c r="EI92" s="20"/>
      <c r="EJ92" s="20"/>
      <c r="EK92" s="20"/>
      <c r="EL92" s="20"/>
      <c r="EM92" s="22">
        <f t="shared" si="414"/>
        <v>0</v>
      </c>
    </row>
    <row r="93" spans="3:143" hidden="1" x14ac:dyDescent="0.2">
      <c r="C93" s="19" t="s">
        <v>61</v>
      </c>
      <c r="E93" s="20"/>
      <c r="F93" s="20"/>
      <c r="G93" s="20"/>
      <c r="H93" s="20"/>
      <c r="I93" s="20"/>
      <c r="J93" s="20"/>
      <c r="K93" s="20"/>
      <c r="L93" s="20"/>
      <c r="M93" s="20"/>
      <c r="N93" s="20"/>
      <c r="O93" s="20"/>
      <c r="P93" s="20"/>
      <c r="Q93" s="22">
        <f t="shared" si="405"/>
        <v>0</v>
      </c>
      <c r="S93" s="20"/>
      <c r="T93" s="20"/>
      <c r="U93" s="20"/>
      <c r="V93" s="20"/>
      <c r="W93" s="20"/>
      <c r="X93" s="20"/>
      <c r="Y93" s="20"/>
      <c r="Z93" s="20"/>
      <c r="AA93" s="20"/>
      <c r="AB93" s="20"/>
      <c r="AC93" s="20"/>
      <c r="AD93" s="20"/>
      <c r="AE93" s="22">
        <f t="shared" si="406"/>
        <v>0</v>
      </c>
      <c r="AG93" s="20"/>
      <c r="AH93" s="20"/>
      <c r="AI93" s="20"/>
      <c r="AJ93" s="20"/>
      <c r="AK93" s="20"/>
      <c r="AL93" s="20"/>
      <c r="AM93" s="20"/>
      <c r="AN93" s="20"/>
      <c r="AO93" s="20"/>
      <c r="AP93" s="20"/>
      <c r="AQ93" s="20"/>
      <c r="AR93" s="20"/>
      <c r="AS93" s="22">
        <f t="shared" si="407"/>
        <v>0</v>
      </c>
      <c r="AU93" s="20"/>
      <c r="AV93" s="20"/>
      <c r="AW93" s="20"/>
      <c r="AX93" s="20"/>
      <c r="AY93" s="20"/>
      <c r="AZ93" s="20"/>
      <c r="BA93" s="20"/>
      <c r="BB93" s="20"/>
      <c r="BC93" s="20"/>
      <c r="BD93" s="20"/>
      <c r="BE93" s="20"/>
      <c r="BF93" s="20"/>
      <c r="BG93" s="22">
        <f t="shared" si="408"/>
        <v>0</v>
      </c>
      <c r="BI93" s="20"/>
      <c r="BJ93" s="20"/>
      <c r="BK93" s="20"/>
      <c r="BL93" s="20"/>
      <c r="BM93" s="20"/>
      <c r="BN93" s="20"/>
      <c r="BO93" s="20"/>
      <c r="BP93" s="20"/>
      <c r="BQ93" s="20"/>
      <c r="BR93" s="20"/>
      <c r="BS93" s="20"/>
      <c r="BT93" s="20"/>
      <c r="BU93" s="22">
        <f t="shared" si="409"/>
        <v>0</v>
      </c>
      <c r="BW93" s="20"/>
      <c r="BX93" s="20"/>
      <c r="BY93" s="20"/>
      <c r="BZ93" s="20"/>
      <c r="CA93" s="20"/>
      <c r="CB93" s="20"/>
      <c r="CC93" s="20"/>
      <c r="CD93" s="20"/>
      <c r="CE93" s="20"/>
      <c r="CF93" s="20"/>
      <c r="CG93" s="20"/>
      <c r="CH93" s="20"/>
      <c r="CI93" s="22">
        <f t="shared" si="410"/>
        <v>0</v>
      </c>
      <c r="CK93" s="20"/>
      <c r="CL93" s="20"/>
      <c r="CM93" s="20"/>
      <c r="CN93" s="20"/>
      <c r="CO93" s="20"/>
      <c r="CP93" s="20"/>
      <c r="CQ93" s="20"/>
      <c r="CR93" s="20"/>
      <c r="CS93" s="20"/>
      <c r="CT93" s="20"/>
      <c r="CU93" s="20"/>
      <c r="CV93" s="20"/>
      <c r="CW93" s="22">
        <f t="shared" si="411"/>
        <v>0</v>
      </c>
      <c r="CY93" s="20"/>
      <c r="CZ93" s="20"/>
      <c r="DA93" s="20"/>
      <c r="DB93" s="20"/>
      <c r="DC93" s="20"/>
      <c r="DD93" s="20"/>
      <c r="DE93" s="20"/>
      <c r="DF93" s="20"/>
      <c r="DG93" s="20"/>
      <c r="DH93" s="20"/>
      <c r="DI93" s="20"/>
      <c r="DJ93" s="20"/>
      <c r="DK93" s="22">
        <f t="shared" si="412"/>
        <v>0</v>
      </c>
      <c r="DM93" s="20"/>
      <c r="DN93" s="20"/>
      <c r="DO93" s="20"/>
      <c r="DP93" s="20"/>
      <c r="DQ93" s="20"/>
      <c r="DR93" s="20"/>
      <c r="DS93" s="20"/>
      <c r="DT93" s="20"/>
      <c r="DU93" s="20"/>
      <c r="DV93" s="20"/>
      <c r="DW93" s="20"/>
      <c r="DX93" s="20"/>
      <c r="DY93" s="22">
        <f t="shared" si="413"/>
        <v>0</v>
      </c>
      <c r="EA93" s="20"/>
      <c r="EB93" s="20"/>
      <c r="EC93" s="20"/>
      <c r="ED93" s="20"/>
      <c r="EE93" s="20"/>
      <c r="EF93" s="20"/>
      <c r="EG93" s="20"/>
      <c r="EH93" s="20"/>
      <c r="EI93" s="20"/>
      <c r="EJ93" s="20"/>
      <c r="EK93" s="20"/>
      <c r="EL93" s="20"/>
      <c r="EM93" s="22">
        <f t="shared" si="414"/>
        <v>0</v>
      </c>
    </row>
    <row r="94" spans="3:143" hidden="1" x14ac:dyDescent="0.2">
      <c r="C94" s="19" t="s">
        <v>61</v>
      </c>
      <c r="E94" s="20"/>
      <c r="F94" s="20"/>
      <c r="G94" s="20"/>
      <c r="H94" s="20"/>
      <c r="I94" s="20"/>
      <c r="J94" s="20"/>
      <c r="K94" s="20"/>
      <c r="L94" s="20"/>
      <c r="M94" s="20"/>
      <c r="N94" s="20"/>
      <c r="O94" s="20"/>
      <c r="P94" s="20"/>
      <c r="Q94" s="22">
        <f t="shared" ref="Q94:Q101" si="415">SUM(E94:P94)</f>
        <v>0</v>
      </c>
      <c r="S94" s="20"/>
      <c r="T94" s="20"/>
      <c r="U94" s="20"/>
      <c r="V94" s="20"/>
      <c r="W94" s="20"/>
      <c r="X94" s="20"/>
      <c r="Y94" s="20"/>
      <c r="Z94" s="20"/>
      <c r="AA94" s="20"/>
      <c r="AB94" s="20"/>
      <c r="AC94" s="20"/>
      <c r="AD94" s="20"/>
      <c r="AE94" s="22">
        <f t="shared" si="357"/>
        <v>0</v>
      </c>
      <c r="AG94" s="20"/>
      <c r="AH94" s="20"/>
      <c r="AI94" s="20"/>
      <c r="AJ94" s="20"/>
      <c r="AK94" s="20"/>
      <c r="AL94" s="20"/>
      <c r="AM94" s="20"/>
      <c r="AN94" s="20"/>
      <c r="AO94" s="20"/>
      <c r="AP94" s="20"/>
      <c r="AQ94" s="20"/>
      <c r="AR94" s="20"/>
      <c r="AS94" s="22">
        <f t="shared" ref="AS94:AS101" si="416">SUM(AG94:AR94)</f>
        <v>0</v>
      </c>
      <c r="AU94" s="20"/>
      <c r="AV94" s="20"/>
      <c r="AW94" s="20"/>
      <c r="AX94" s="20"/>
      <c r="AY94" s="20"/>
      <c r="AZ94" s="20"/>
      <c r="BA94" s="20"/>
      <c r="BB94" s="20"/>
      <c r="BC94" s="20"/>
      <c r="BD94" s="20"/>
      <c r="BE94" s="20"/>
      <c r="BF94" s="20"/>
      <c r="BG94" s="22">
        <f t="shared" si="358"/>
        <v>0</v>
      </c>
      <c r="BI94" s="20"/>
      <c r="BJ94" s="20"/>
      <c r="BK94" s="20"/>
      <c r="BL94" s="20"/>
      <c r="BM94" s="20"/>
      <c r="BN94" s="20"/>
      <c r="BO94" s="20"/>
      <c r="BP94" s="20"/>
      <c r="BQ94" s="20"/>
      <c r="BR94" s="20"/>
      <c r="BS94" s="20"/>
      <c r="BT94" s="20"/>
      <c r="BU94" s="22">
        <f t="shared" si="359"/>
        <v>0</v>
      </c>
      <c r="BW94" s="20"/>
      <c r="BX94" s="20"/>
      <c r="BY94" s="20"/>
      <c r="BZ94" s="20"/>
      <c r="CA94" s="20"/>
      <c r="CB94" s="20"/>
      <c r="CC94" s="20"/>
      <c r="CD94" s="20"/>
      <c r="CE94" s="20"/>
      <c r="CF94" s="20"/>
      <c r="CG94" s="20"/>
      <c r="CH94" s="20"/>
      <c r="CI94" s="22">
        <f t="shared" si="360"/>
        <v>0</v>
      </c>
      <c r="CK94" s="20"/>
      <c r="CL94" s="20"/>
      <c r="CM94" s="20"/>
      <c r="CN94" s="20"/>
      <c r="CO94" s="20"/>
      <c r="CP94" s="20"/>
      <c r="CQ94" s="20"/>
      <c r="CR94" s="20"/>
      <c r="CS94" s="20"/>
      <c r="CT94" s="20"/>
      <c r="CU94" s="20"/>
      <c r="CV94" s="20"/>
      <c r="CW94" s="22">
        <f t="shared" si="361"/>
        <v>0</v>
      </c>
      <c r="CY94" s="20"/>
      <c r="CZ94" s="20"/>
      <c r="DA94" s="20"/>
      <c r="DB94" s="20"/>
      <c r="DC94" s="20"/>
      <c r="DD94" s="20"/>
      <c r="DE94" s="20"/>
      <c r="DF94" s="20"/>
      <c r="DG94" s="20"/>
      <c r="DH94" s="20"/>
      <c r="DI94" s="20"/>
      <c r="DJ94" s="20"/>
      <c r="DK94" s="22">
        <f t="shared" si="362"/>
        <v>0</v>
      </c>
      <c r="DM94" s="20"/>
      <c r="DN94" s="20"/>
      <c r="DO94" s="20"/>
      <c r="DP94" s="20"/>
      <c r="DQ94" s="20"/>
      <c r="DR94" s="20"/>
      <c r="DS94" s="20"/>
      <c r="DT94" s="20"/>
      <c r="DU94" s="20"/>
      <c r="DV94" s="20"/>
      <c r="DW94" s="20"/>
      <c r="DX94" s="20"/>
      <c r="DY94" s="22">
        <f t="shared" si="363"/>
        <v>0</v>
      </c>
      <c r="EA94" s="20"/>
      <c r="EB94" s="20"/>
      <c r="EC94" s="20"/>
      <c r="ED94" s="20"/>
      <c r="EE94" s="20"/>
      <c r="EF94" s="20"/>
      <c r="EG94" s="20"/>
      <c r="EH94" s="20"/>
      <c r="EI94" s="20"/>
      <c r="EJ94" s="20"/>
      <c r="EK94" s="20"/>
      <c r="EL94" s="20"/>
      <c r="EM94" s="22">
        <f t="shared" si="364"/>
        <v>0</v>
      </c>
    </row>
    <row r="95" spans="3:143" hidden="1" x14ac:dyDescent="0.2">
      <c r="C95" s="19" t="s">
        <v>61</v>
      </c>
      <c r="E95" s="20"/>
      <c r="F95" s="20"/>
      <c r="G95" s="20"/>
      <c r="H95" s="20"/>
      <c r="I95" s="20"/>
      <c r="J95" s="20"/>
      <c r="K95" s="20"/>
      <c r="L95" s="20"/>
      <c r="M95" s="20"/>
      <c r="N95" s="20"/>
      <c r="O95" s="20"/>
      <c r="P95" s="20"/>
      <c r="Q95" s="22">
        <f t="shared" si="415"/>
        <v>0</v>
      </c>
      <c r="S95" s="20"/>
      <c r="T95" s="20"/>
      <c r="U95" s="20"/>
      <c r="V95" s="20"/>
      <c r="W95" s="20"/>
      <c r="X95" s="20"/>
      <c r="Y95" s="20"/>
      <c r="Z95" s="20"/>
      <c r="AA95" s="20"/>
      <c r="AB95" s="20"/>
      <c r="AC95" s="20"/>
      <c r="AD95" s="20"/>
      <c r="AE95" s="22">
        <f t="shared" si="357"/>
        <v>0</v>
      </c>
      <c r="AG95" s="20"/>
      <c r="AH95" s="20"/>
      <c r="AI95" s="20"/>
      <c r="AJ95" s="20"/>
      <c r="AK95" s="20"/>
      <c r="AL95" s="20"/>
      <c r="AM95" s="20"/>
      <c r="AN95" s="20"/>
      <c r="AO95" s="20"/>
      <c r="AP95" s="20"/>
      <c r="AQ95" s="20"/>
      <c r="AR95" s="20"/>
      <c r="AS95" s="22">
        <f t="shared" si="416"/>
        <v>0</v>
      </c>
      <c r="AU95" s="20"/>
      <c r="AV95" s="20"/>
      <c r="AW95" s="20"/>
      <c r="AX95" s="20"/>
      <c r="AY95" s="20"/>
      <c r="AZ95" s="20"/>
      <c r="BA95" s="20"/>
      <c r="BB95" s="20"/>
      <c r="BC95" s="20"/>
      <c r="BD95" s="20"/>
      <c r="BE95" s="20"/>
      <c r="BF95" s="20"/>
      <c r="BG95" s="22">
        <f t="shared" si="358"/>
        <v>0</v>
      </c>
      <c r="BI95" s="20"/>
      <c r="BJ95" s="20"/>
      <c r="BK95" s="20"/>
      <c r="BL95" s="20"/>
      <c r="BM95" s="20"/>
      <c r="BN95" s="20"/>
      <c r="BO95" s="20"/>
      <c r="BP95" s="20"/>
      <c r="BQ95" s="20"/>
      <c r="BR95" s="20"/>
      <c r="BS95" s="20"/>
      <c r="BT95" s="20"/>
      <c r="BU95" s="22">
        <f t="shared" si="359"/>
        <v>0</v>
      </c>
      <c r="BW95" s="20"/>
      <c r="BX95" s="20"/>
      <c r="BY95" s="20"/>
      <c r="BZ95" s="20"/>
      <c r="CA95" s="20"/>
      <c r="CB95" s="20"/>
      <c r="CC95" s="20"/>
      <c r="CD95" s="20"/>
      <c r="CE95" s="20"/>
      <c r="CF95" s="20"/>
      <c r="CG95" s="20"/>
      <c r="CH95" s="20"/>
      <c r="CI95" s="22">
        <f t="shared" si="360"/>
        <v>0</v>
      </c>
      <c r="CK95" s="20"/>
      <c r="CL95" s="20"/>
      <c r="CM95" s="20"/>
      <c r="CN95" s="20"/>
      <c r="CO95" s="20"/>
      <c r="CP95" s="20"/>
      <c r="CQ95" s="20"/>
      <c r="CR95" s="20"/>
      <c r="CS95" s="20"/>
      <c r="CT95" s="20"/>
      <c r="CU95" s="20"/>
      <c r="CV95" s="20"/>
      <c r="CW95" s="22">
        <f t="shared" si="361"/>
        <v>0</v>
      </c>
      <c r="CY95" s="20"/>
      <c r="CZ95" s="20"/>
      <c r="DA95" s="20"/>
      <c r="DB95" s="20"/>
      <c r="DC95" s="20"/>
      <c r="DD95" s="20"/>
      <c r="DE95" s="20"/>
      <c r="DF95" s="20"/>
      <c r="DG95" s="20"/>
      <c r="DH95" s="20"/>
      <c r="DI95" s="20"/>
      <c r="DJ95" s="20"/>
      <c r="DK95" s="22">
        <f t="shared" si="362"/>
        <v>0</v>
      </c>
      <c r="DM95" s="20"/>
      <c r="DN95" s="20"/>
      <c r="DO95" s="20"/>
      <c r="DP95" s="20"/>
      <c r="DQ95" s="20"/>
      <c r="DR95" s="20"/>
      <c r="DS95" s="20"/>
      <c r="DT95" s="20"/>
      <c r="DU95" s="20"/>
      <c r="DV95" s="20"/>
      <c r="DW95" s="20"/>
      <c r="DX95" s="20"/>
      <c r="DY95" s="22">
        <f t="shared" si="363"/>
        <v>0</v>
      </c>
      <c r="EA95" s="20"/>
      <c r="EB95" s="20"/>
      <c r="EC95" s="20"/>
      <c r="ED95" s="20"/>
      <c r="EE95" s="20"/>
      <c r="EF95" s="20"/>
      <c r="EG95" s="20"/>
      <c r="EH95" s="20"/>
      <c r="EI95" s="20"/>
      <c r="EJ95" s="20"/>
      <c r="EK95" s="20"/>
      <c r="EL95" s="20"/>
      <c r="EM95" s="22">
        <f t="shared" si="364"/>
        <v>0</v>
      </c>
    </row>
    <row r="96" spans="3:143" hidden="1" x14ac:dyDescent="0.2">
      <c r="C96" s="19" t="s">
        <v>61</v>
      </c>
      <c r="E96" s="20"/>
      <c r="F96" s="20"/>
      <c r="G96" s="20"/>
      <c r="H96" s="20"/>
      <c r="I96" s="20"/>
      <c r="J96" s="20"/>
      <c r="K96" s="20"/>
      <c r="L96" s="20"/>
      <c r="M96" s="20"/>
      <c r="N96" s="20"/>
      <c r="O96" s="20"/>
      <c r="P96" s="20"/>
      <c r="Q96" s="22">
        <f t="shared" si="415"/>
        <v>0</v>
      </c>
      <c r="S96" s="20"/>
      <c r="T96" s="20"/>
      <c r="U96" s="20"/>
      <c r="V96" s="20"/>
      <c r="W96" s="20"/>
      <c r="X96" s="20"/>
      <c r="Y96" s="20"/>
      <c r="Z96" s="20"/>
      <c r="AA96" s="20"/>
      <c r="AB96" s="20"/>
      <c r="AC96" s="20"/>
      <c r="AD96" s="20"/>
      <c r="AE96" s="22">
        <f t="shared" si="357"/>
        <v>0</v>
      </c>
      <c r="AG96" s="20"/>
      <c r="AH96" s="20"/>
      <c r="AI96" s="20"/>
      <c r="AJ96" s="20"/>
      <c r="AK96" s="20"/>
      <c r="AL96" s="20"/>
      <c r="AM96" s="20"/>
      <c r="AN96" s="20"/>
      <c r="AO96" s="20"/>
      <c r="AP96" s="20"/>
      <c r="AQ96" s="20"/>
      <c r="AR96" s="20"/>
      <c r="AS96" s="22">
        <f t="shared" si="416"/>
        <v>0</v>
      </c>
      <c r="AU96" s="20"/>
      <c r="AV96" s="20"/>
      <c r="AW96" s="20"/>
      <c r="AX96" s="20"/>
      <c r="AY96" s="20"/>
      <c r="AZ96" s="20"/>
      <c r="BA96" s="20"/>
      <c r="BB96" s="20"/>
      <c r="BC96" s="20"/>
      <c r="BD96" s="20"/>
      <c r="BE96" s="20"/>
      <c r="BF96" s="20"/>
      <c r="BG96" s="22">
        <f t="shared" si="358"/>
        <v>0</v>
      </c>
      <c r="BI96" s="20"/>
      <c r="BJ96" s="20"/>
      <c r="BK96" s="20"/>
      <c r="BL96" s="20"/>
      <c r="BM96" s="20"/>
      <c r="BN96" s="20"/>
      <c r="BO96" s="20"/>
      <c r="BP96" s="20"/>
      <c r="BQ96" s="20"/>
      <c r="BR96" s="20"/>
      <c r="BS96" s="20"/>
      <c r="BT96" s="20"/>
      <c r="BU96" s="22">
        <f t="shared" si="359"/>
        <v>0</v>
      </c>
      <c r="BW96" s="20"/>
      <c r="BX96" s="20"/>
      <c r="BY96" s="20"/>
      <c r="BZ96" s="20"/>
      <c r="CA96" s="20"/>
      <c r="CB96" s="20"/>
      <c r="CC96" s="20"/>
      <c r="CD96" s="20"/>
      <c r="CE96" s="20"/>
      <c r="CF96" s="20"/>
      <c r="CG96" s="20"/>
      <c r="CH96" s="20"/>
      <c r="CI96" s="22">
        <f t="shared" si="360"/>
        <v>0</v>
      </c>
      <c r="CK96" s="20"/>
      <c r="CL96" s="20"/>
      <c r="CM96" s="20"/>
      <c r="CN96" s="20"/>
      <c r="CO96" s="20"/>
      <c r="CP96" s="20"/>
      <c r="CQ96" s="20"/>
      <c r="CR96" s="20"/>
      <c r="CS96" s="20"/>
      <c r="CT96" s="20"/>
      <c r="CU96" s="20"/>
      <c r="CV96" s="20"/>
      <c r="CW96" s="22">
        <f t="shared" si="361"/>
        <v>0</v>
      </c>
      <c r="CY96" s="20"/>
      <c r="CZ96" s="20"/>
      <c r="DA96" s="20"/>
      <c r="DB96" s="20"/>
      <c r="DC96" s="20"/>
      <c r="DD96" s="20"/>
      <c r="DE96" s="20"/>
      <c r="DF96" s="20"/>
      <c r="DG96" s="20"/>
      <c r="DH96" s="20"/>
      <c r="DI96" s="20"/>
      <c r="DJ96" s="20"/>
      <c r="DK96" s="22">
        <f t="shared" si="362"/>
        <v>0</v>
      </c>
      <c r="DM96" s="20"/>
      <c r="DN96" s="20"/>
      <c r="DO96" s="20"/>
      <c r="DP96" s="20"/>
      <c r="DQ96" s="20"/>
      <c r="DR96" s="20"/>
      <c r="DS96" s="20"/>
      <c r="DT96" s="20"/>
      <c r="DU96" s="20"/>
      <c r="DV96" s="20"/>
      <c r="DW96" s="20"/>
      <c r="DX96" s="20"/>
      <c r="DY96" s="22">
        <f t="shared" si="363"/>
        <v>0</v>
      </c>
      <c r="EA96" s="20"/>
      <c r="EB96" s="20"/>
      <c r="EC96" s="20"/>
      <c r="ED96" s="20"/>
      <c r="EE96" s="20"/>
      <c r="EF96" s="20"/>
      <c r="EG96" s="20"/>
      <c r="EH96" s="20"/>
      <c r="EI96" s="20"/>
      <c r="EJ96" s="20"/>
      <c r="EK96" s="20"/>
      <c r="EL96" s="20"/>
      <c r="EM96" s="22">
        <f t="shared" si="364"/>
        <v>0</v>
      </c>
    </row>
    <row r="97" spans="3:143" hidden="1" x14ac:dyDescent="0.2">
      <c r="C97" s="19" t="s">
        <v>61</v>
      </c>
      <c r="E97" s="20"/>
      <c r="F97" s="20"/>
      <c r="G97" s="20"/>
      <c r="H97" s="20"/>
      <c r="I97" s="20"/>
      <c r="J97" s="20"/>
      <c r="K97" s="20"/>
      <c r="L97" s="20"/>
      <c r="M97" s="20"/>
      <c r="N97" s="20"/>
      <c r="O97" s="20"/>
      <c r="P97" s="20"/>
      <c r="Q97" s="22">
        <f t="shared" ref="Q97:Q98" si="417">SUM(E97:P97)</f>
        <v>0</v>
      </c>
      <c r="S97" s="20"/>
      <c r="T97" s="20"/>
      <c r="U97" s="20"/>
      <c r="V97" s="20"/>
      <c r="W97" s="20"/>
      <c r="X97" s="20"/>
      <c r="Y97" s="20"/>
      <c r="Z97" s="20"/>
      <c r="AA97" s="20"/>
      <c r="AB97" s="20"/>
      <c r="AC97" s="20"/>
      <c r="AD97" s="20"/>
      <c r="AE97" s="22">
        <f t="shared" ref="AE97:AE98" si="418">SUM(S97:AD97)</f>
        <v>0</v>
      </c>
      <c r="AG97" s="20"/>
      <c r="AH97" s="20"/>
      <c r="AI97" s="20"/>
      <c r="AJ97" s="20"/>
      <c r="AK97" s="20"/>
      <c r="AL97" s="20"/>
      <c r="AM97" s="20"/>
      <c r="AN97" s="20"/>
      <c r="AO97" s="20"/>
      <c r="AP97" s="20"/>
      <c r="AQ97" s="20"/>
      <c r="AR97" s="20"/>
      <c r="AS97" s="22">
        <f t="shared" ref="AS97:AS98" si="419">SUM(AG97:AR97)</f>
        <v>0</v>
      </c>
      <c r="AU97" s="20"/>
      <c r="AV97" s="20"/>
      <c r="AW97" s="20"/>
      <c r="AX97" s="20"/>
      <c r="AY97" s="20"/>
      <c r="AZ97" s="20"/>
      <c r="BA97" s="20"/>
      <c r="BB97" s="20"/>
      <c r="BC97" s="20"/>
      <c r="BD97" s="20"/>
      <c r="BE97" s="20"/>
      <c r="BF97" s="20"/>
      <c r="BG97" s="22">
        <f t="shared" ref="BG97:BG98" si="420">SUM(AU97:BF97)</f>
        <v>0</v>
      </c>
      <c r="BI97" s="20"/>
      <c r="BJ97" s="20"/>
      <c r="BK97" s="20"/>
      <c r="BL97" s="20"/>
      <c r="BM97" s="20"/>
      <c r="BN97" s="20"/>
      <c r="BO97" s="20"/>
      <c r="BP97" s="20"/>
      <c r="BQ97" s="20"/>
      <c r="BR97" s="20"/>
      <c r="BS97" s="20"/>
      <c r="BT97" s="20"/>
      <c r="BU97" s="22">
        <f t="shared" ref="BU97:BU98" si="421">SUM(BI97:BT97)</f>
        <v>0</v>
      </c>
      <c r="BW97" s="20"/>
      <c r="BX97" s="20"/>
      <c r="BY97" s="20"/>
      <c r="BZ97" s="20"/>
      <c r="CA97" s="20"/>
      <c r="CB97" s="20"/>
      <c r="CC97" s="20"/>
      <c r="CD97" s="20"/>
      <c r="CE97" s="20"/>
      <c r="CF97" s="20"/>
      <c r="CG97" s="20"/>
      <c r="CH97" s="20"/>
      <c r="CI97" s="22">
        <f t="shared" ref="CI97:CI98" si="422">SUM(BW97:CH97)</f>
        <v>0</v>
      </c>
      <c r="CK97" s="20"/>
      <c r="CL97" s="20"/>
      <c r="CM97" s="20"/>
      <c r="CN97" s="20"/>
      <c r="CO97" s="20"/>
      <c r="CP97" s="20"/>
      <c r="CQ97" s="20"/>
      <c r="CR97" s="20"/>
      <c r="CS97" s="20"/>
      <c r="CT97" s="20"/>
      <c r="CU97" s="20"/>
      <c r="CV97" s="20"/>
      <c r="CW97" s="22">
        <f t="shared" ref="CW97:CW98" si="423">SUM(CK97:CV97)</f>
        <v>0</v>
      </c>
      <c r="CY97" s="20"/>
      <c r="CZ97" s="20"/>
      <c r="DA97" s="20"/>
      <c r="DB97" s="20"/>
      <c r="DC97" s="20"/>
      <c r="DD97" s="20"/>
      <c r="DE97" s="20"/>
      <c r="DF97" s="20"/>
      <c r="DG97" s="20"/>
      <c r="DH97" s="20"/>
      <c r="DI97" s="20"/>
      <c r="DJ97" s="20"/>
      <c r="DK97" s="22">
        <f t="shared" ref="DK97:DK98" si="424">SUM(CY97:DJ97)</f>
        <v>0</v>
      </c>
      <c r="DM97" s="20"/>
      <c r="DN97" s="20"/>
      <c r="DO97" s="20"/>
      <c r="DP97" s="20"/>
      <c r="DQ97" s="20"/>
      <c r="DR97" s="20"/>
      <c r="DS97" s="20"/>
      <c r="DT97" s="20"/>
      <c r="DU97" s="20"/>
      <c r="DV97" s="20"/>
      <c r="DW97" s="20"/>
      <c r="DX97" s="20"/>
      <c r="DY97" s="22">
        <f t="shared" ref="DY97:DY98" si="425">SUM(DM97:DX97)</f>
        <v>0</v>
      </c>
      <c r="EA97" s="20"/>
      <c r="EB97" s="20"/>
      <c r="EC97" s="20"/>
      <c r="ED97" s="20"/>
      <c r="EE97" s="20"/>
      <c r="EF97" s="20"/>
      <c r="EG97" s="20"/>
      <c r="EH97" s="20"/>
      <c r="EI97" s="20"/>
      <c r="EJ97" s="20"/>
      <c r="EK97" s="20"/>
      <c r="EL97" s="20"/>
      <c r="EM97" s="22">
        <f t="shared" ref="EM97:EM98" si="426">SUM(EA97:EL97)</f>
        <v>0</v>
      </c>
    </row>
    <row r="98" spans="3:143" hidden="1" x14ac:dyDescent="0.2">
      <c r="C98" s="19" t="s">
        <v>61</v>
      </c>
      <c r="E98" s="20"/>
      <c r="F98" s="20"/>
      <c r="G98" s="20"/>
      <c r="H98" s="20"/>
      <c r="I98" s="20"/>
      <c r="J98" s="20"/>
      <c r="K98" s="20"/>
      <c r="L98" s="20"/>
      <c r="M98" s="20"/>
      <c r="N98" s="20"/>
      <c r="O98" s="20"/>
      <c r="P98" s="20"/>
      <c r="Q98" s="22">
        <f t="shared" si="417"/>
        <v>0</v>
      </c>
      <c r="S98" s="20"/>
      <c r="T98" s="20"/>
      <c r="U98" s="20"/>
      <c r="V98" s="20"/>
      <c r="W98" s="20"/>
      <c r="X98" s="20"/>
      <c r="Y98" s="20"/>
      <c r="Z98" s="20"/>
      <c r="AA98" s="20"/>
      <c r="AB98" s="20"/>
      <c r="AC98" s="20"/>
      <c r="AD98" s="20"/>
      <c r="AE98" s="22">
        <f t="shared" si="418"/>
        <v>0</v>
      </c>
      <c r="AG98" s="20"/>
      <c r="AH98" s="20"/>
      <c r="AI98" s="20"/>
      <c r="AJ98" s="20"/>
      <c r="AK98" s="20"/>
      <c r="AL98" s="20"/>
      <c r="AM98" s="20"/>
      <c r="AN98" s="20"/>
      <c r="AO98" s="20"/>
      <c r="AP98" s="20"/>
      <c r="AQ98" s="20"/>
      <c r="AR98" s="20"/>
      <c r="AS98" s="22">
        <f t="shared" si="419"/>
        <v>0</v>
      </c>
      <c r="AU98" s="20"/>
      <c r="AV98" s="20"/>
      <c r="AW98" s="20"/>
      <c r="AX98" s="20"/>
      <c r="AY98" s="20"/>
      <c r="AZ98" s="20"/>
      <c r="BA98" s="20"/>
      <c r="BB98" s="20"/>
      <c r="BC98" s="20"/>
      <c r="BD98" s="20"/>
      <c r="BE98" s="20"/>
      <c r="BF98" s="20"/>
      <c r="BG98" s="22">
        <f t="shared" si="420"/>
        <v>0</v>
      </c>
      <c r="BI98" s="20"/>
      <c r="BJ98" s="20"/>
      <c r="BK98" s="20"/>
      <c r="BL98" s="20"/>
      <c r="BM98" s="20"/>
      <c r="BN98" s="20"/>
      <c r="BO98" s="20"/>
      <c r="BP98" s="20"/>
      <c r="BQ98" s="20"/>
      <c r="BR98" s="20"/>
      <c r="BS98" s="20"/>
      <c r="BT98" s="20"/>
      <c r="BU98" s="22">
        <f t="shared" si="421"/>
        <v>0</v>
      </c>
      <c r="BW98" s="20"/>
      <c r="BX98" s="20"/>
      <c r="BY98" s="20"/>
      <c r="BZ98" s="20"/>
      <c r="CA98" s="20"/>
      <c r="CB98" s="20"/>
      <c r="CC98" s="20"/>
      <c r="CD98" s="20"/>
      <c r="CE98" s="20"/>
      <c r="CF98" s="20"/>
      <c r="CG98" s="20"/>
      <c r="CH98" s="20"/>
      <c r="CI98" s="22">
        <f t="shared" si="422"/>
        <v>0</v>
      </c>
      <c r="CK98" s="20"/>
      <c r="CL98" s="20"/>
      <c r="CM98" s="20"/>
      <c r="CN98" s="20"/>
      <c r="CO98" s="20"/>
      <c r="CP98" s="20"/>
      <c r="CQ98" s="20"/>
      <c r="CR98" s="20"/>
      <c r="CS98" s="20"/>
      <c r="CT98" s="20"/>
      <c r="CU98" s="20"/>
      <c r="CV98" s="20"/>
      <c r="CW98" s="22">
        <f t="shared" si="423"/>
        <v>0</v>
      </c>
      <c r="CY98" s="20"/>
      <c r="CZ98" s="20"/>
      <c r="DA98" s="20"/>
      <c r="DB98" s="20"/>
      <c r="DC98" s="20"/>
      <c r="DD98" s="20"/>
      <c r="DE98" s="20"/>
      <c r="DF98" s="20"/>
      <c r="DG98" s="20"/>
      <c r="DH98" s="20"/>
      <c r="DI98" s="20"/>
      <c r="DJ98" s="20"/>
      <c r="DK98" s="22">
        <f t="shared" si="424"/>
        <v>0</v>
      </c>
      <c r="DM98" s="20"/>
      <c r="DN98" s="20"/>
      <c r="DO98" s="20"/>
      <c r="DP98" s="20"/>
      <c r="DQ98" s="20"/>
      <c r="DR98" s="20"/>
      <c r="DS98" s="20"/>
      <c r="DT98" s="20"/>
      <c r="DU98" s="20"/>
      <c r="DV98" s="20"/>
      <c r="DW98" s="20"/>
      <c r="DX98" s="20"/>
      <c r="DY98" s="22">
        <f t="shared" si="425"/>
        <v>0</v>
      </c>
      <c r="EA98" s="20"/>
      <c r="EB98" s="20"/>
      <c r="EC98" s="20"/>
      <c r="ED98" s="20"/>
      <c r="EE98" s="20"/>
      <c r="EF98" s="20"/>
      <c r="EG98" s="20"/>
      <c r="EH98" s="20"/>
      <c r="EI98" s="20"/>
      <c r="EJ98" s="20"/>
      <c r="EK98" s="20"/>
      <c r="EL98" s="20"/>
      <c r="EM98" s="22">
        <f t="shared" si="426"/>
        <v>0</v>
      </c>
    </row>
    <row r="99" spans="3:143" hidden="1" x14ac:dyDescent="0.2">
      <c r="C99" s="19" t="s">
        <v>61</v>
      </c>
      <c r="E99" s="20"/>
      <c r="F99" s="20"/>
      <c r="G99" s="20"/>
      <c r="H99" s="20"/>
      <c r="I99" s="20"/>
      <c r="J99" s="20"/>
      <c r="K99" s="20"/>
      <c r="L99" s="20"/>
      <c r="M99" s="20"/>
      <c r="N99" s="20"/>
      <c r="O99" s="20"/>
      <c r="P99" s="20"/>
      <c r="Q99" s="22">
        <f t="shared" si="415"/>
        <v>0</v>
      </c>
      <c r="S99" s="20"/>
      <c r="T99" s="20"/>
      <c r="U99" s="20"/>
      <c r="V99" s="20"/>
      <c r="W99" s="20"/>
      <c r="X99" s="20"/>
      <c r="Y99" s="20"/>
      <c r="Z99" s="20"/>
      <c r="AA99" s="20"/>
      <c r="AB99" s="20"/>
      <c r="AC99" s="20"/>
      <c r="AD99" s="20"/>
      <c r="AE99" s="22">
        <f t="shared" si="357"/>
        <v>0</v>
      </c>
      <c r="AG99" s="20"/>
      <c r="AH99" s="20"/>
      <c r="AI99" s="20"/>
      <c r="AJ99" s="20"/>
      <c r="AK99" s="20"/>
      <c r="AL99" s="20"/>
      <c r="AM99" s="20"/>
      <c r="AN99" s="20"/>
      <c r="AO99" s="20"/>
      <c r="AP99" s="20"/>
      <c r="AQ99" s="20"/>
      <c r="AR99" s="20"/>
      <c r="AS99" s="22">
        <f t="shared" si="416"/>
        <v>0</v>
      </c>
      <c r="AU99" s="20"/>
      <c r="AV99" s="20"/>
      <c r="AW99" s="20"/>
      <c r="AX99" s="20"/>
      <c r="AY99" s="20"/>
      <c r="AZ99" s="20"/>
      <c r="BA99" s="20"/>
      <c r="BB99" s="20"/>
      <c r="BC99" s="20"/>
      <c r="BD99" s="20"/>
      <c r="BE99" s="20"/>
      <c r="BF99" s="20"/>
      <c r="BG99" s="22">
        <f t="shared" si="358"/>
        <v>0</v>
      </c>
      <c r="BI99" s="20"/>
      <c r="BJ99" s="20"/>
      <c r="BK99" s="20"/>
      <c r="BL99" s="20"/>
      <c r="BM99" s="20"/>
      <c r="BN99" s="20"/>
      <c r="BO99" s="20"/>
      <c r="BP99" s="20"/>
      <c r="BQ99" s="20"/>
      <c r="BR99" s="20"/>
      <c r="BS99" s="20"/>
      <c r="BT99" s="20"/>
      <c r="BU99" s="22">
        <f t="shared" si="359"/>
        <v>0</v>
      </c>
      <c r="BW99" s="20"/>
      <c r="BX99" s="20"/>
      <c r="BY99" s="20"/>
      <c r="BZ99" s="20"/>
      <c r="CA99" s="20"/>
      <c r="CB99" s="20"/>
      <c r="CC99" s="20"/>
      <c r="CD99" s="20"/>
      <c r="CE99" s="20"/>
      <c r="CF99" s="20"/>
      <c r="CG99" s="20"/>
      <c r="CH99" s="20"/>
      <c r="CI99" s="22">
        <f t="shared" si="360"/>
        <v>0</v>
      </c>
      <c r="CK99" s="20"/>
      <c r="CL99" s="20"/>
      <c r="CM99" s="20"/>
      <c r="CN99" s="20"/>
      <c r="CO99" s="20"/>
      <c r="CP99" s="20"/>
      <c r="CQ99" s="20"/>
      <c r="CR99" s="20"/>
      <c r="CS99" s="20"/>
      <c r="CT99" s="20"/>
      <c r="CU99" s="20"/>
      <c r="CV99" s="20"/>
      <c r="CW99" s="22">
        <f t="shared" si="361"/>
        <v>0</v>
      </c>
      <c r="CY99" s="20"/>
      <c r="CZ99" s="20"/>
      <c r="DA99" s="20"/>
      <c r="DB99" s="20"/>
      <c r="DC99" s="20"/>
      <c r="DD99" s="20"/>
      <c r="DE99" s="20"/>
      <c r="DF99" s="20"/>
      <c r="DG99" s="20"/>
      <c r="DH99" s="20"/>
      <c r="DI99" s="20"/>
      <c r="DJ99" s="20"/>
      <c r="DK99" s="22">
        <f t="shared" si="362"/>
        <v>0</v>
      </c>
      <c r="DM99" s="20"/>
      <c r="DN99" s="20"/>
      <c r="DO99" s="20"/>
      <c r="DP99" s="20"/>
      <c r="DQ99" s="20"/>
      <c r="DR99" s="20"/>
      <c r="DS99" s="20"/>
      <c r="DT99" s="20"/>
      <c r="DU99" s="20"/>
      <c r="DV99" s="20"/>
      <c r="DW99" s="20"/>
      <c r="DX99" s="20"/>
      <c r="DY99" s="22">
        <f t="shared" si="363"/>
        <v>0</v>
      </c>
      <c r="EA99" s="20"/>
      <c r="EB99" s="20"/>
      <c r="EC99" s="20"/>
      <c r="ED99" s="20"/>
      <c r="EE99" s="20"/>
      <c r="EF99" s="20"/>
      <c r="EG99" s="20"/>
      <c r="EH99" s="20"/>
      <c r="EI99" s="20"/>
      <c r="EJ99" s="20"/>
      <c r="EK99" s="20"/>
      <c r="EL99" s="20"/>
      <c r="EM99" s="22">
        <f t="shared" si="364"/>
        <v>0</v>
      </c>
    </row>
    <row r="100" spans="3:143" hidden="1" x14ac:dyDescent="0.2">
      <c r="C100" s="19" t="s">
        <v>61</v>
      </c>
      <c r="E100" s="20"/>
      <c r="F100" s="20"/>
      <c r="G100" s="20"/>
      <c r="H100" s="20"/>
      <c r="I100" s="20"/>
      <c r="J100" s="20"/>
      <c r="K100" s="20"/>
      <c r="L100" s="20"/>
      <c r="M100" s="20"/>
      <c r="N100" s="20"/>
      <c r="O100" s="20"/>
      <c r="P100" s="20"/>
      <c r="Q100" s="22">
        <f t="shared" si="415"/>
        <v>0</v>
      </c>
      <c r="S100" s="20"/>
      <c r="T100" s="20"/>
      <c r="U100" s="20"/>
      <c r="V100" s="20"/>
      <c r="W100" s="20"/>
      <c r="X100" s="20"/>
      <c r="Y100" s="20"/>
      <c r="Z100" s="20"/>
      <c r="AA100" s="20"/>
      <c r="AB100" s="20"/>
      <c r="AC100" s="20"/>
      <c r="AD100" s="20"/>
      <c r="AE100" s="22">
        <f t="shared" si="357"/>
        <v>0</v>
      </c>
      <c r="AG100" s="20"/>
      <c r="AH100" s="20"/>
      <c r="AI100" s="20"/>
      <c r="AJ100" s="20"/>
      <c r="AK100" s="20"/>
      <c r="AL100" s="20"/>
      <c r="AM100" s="20"/>
      <c r="AN100" s="20"/>
      <c r="AO100" s="20"/>
      <c r="AP100" s="20"/>
      <c r="AQ100" s="20"/>
      <c r="AR100" s="20"/>
      <c r="AS100" s="22">
        <f t="shared" si="416"/>
        <v>0</v>
      </c>
      <c r="AU100" s="20"/>
      <c r="AV100" s="20"/>
      <c r="AW100" s="20"/>
      <c r="AX100" s="20"/>
      <c r="AY100" s="20"/>
      <c r="AZ100" s="20"/>
      <c r="BA100" s="20"/>
      <c r="BB100" s="20"/>
      <c r="BC100" s="20"/>
      <c r="BD100" s="20"/>
      <c r="BE100" s="20"/>
      <c r="BF100" s="20"/>
      <c r="BG100" s="22">
        <f t="shared" si="358"/>
        <v>0</v>
      </c>
      <c r="BI100" s="20"/>
      <c r="BJ100" s="20"/>
      <c r="BK100" s="20"/>
      <c r="BL100" s="20"/>
      <c r="BM100" s="20"/>
      <c r="BN100" s="20"/>
      <c r="BO100" s="20"/>
      <c r="BP100" s="20"/>
      <c r="BQ100" s="20"/>
      <c r="BR100" s="20"/>
      <c r="BS100" s="20"/>
      <c r="BT100" s="20"/>
      <c r="BU100" s="22">
        <f t="shared" si="359"/>
        <v>0</v>
      </c>
      <c r="BW100" s="20"/>
      <c r="BX100" s="20"/>
      <c r="BY100" s="20"/>
      <c r="BZ100" s="20"/>
      <c r="CA100" s="20"/>
      <c r="CB100" s="20"/>
      <c r="CC100" s="20"/>
      <c r="CD100" s="20"/>
      <c r="CE100" s="20"/>
      <c r="CF100" s="20"/>
      <c r="CG100" s="20"/>
      <c r="CH100" s="20"/>
      <c r="CI100" s="22">
        <f t="shared" si="360"/>
        <v>0</v>
      </c>
      <c r="CK100" s="20"/>
      <c r="CL100" s="20"/>
      <c r="CM100" s="20"/>
      <c r="CN100" s="20"/>
      <c r="CO100" s="20"/>
      <c r="CP100" s="20"/>
      <c r="CQ100" s="20"/>
      <c r="CR100" s="20"/>
      <c r="CS100" s="20"/>
      <c r="CT100" s="20"/>
      <c r="CU100" s="20"/>
      <c r="CV100" s="20"/>
      <c r="CW100" s="22">
        <f t="shared" si="361"/>
        <v>0</v>
      </c>
      <c r="CY100" s="20"/>
      <c r="CZ100" s="20"/>
      <c r="DA100" s="20"/>
      <c r="DB100" s="20"/>
      <c r="DC100" s="20"/>
      <c r="DD100" s="20"/>
      <c r="DE100" s="20"/>
      <c r="DF100" s="20"/>
      <c r="DG100" s="20"/>
      <c r="DH100" s="20"/>
      <c r="DI100" s="20"/>
      <c r="DJ100" s="20"/>
      <c r="DK100" s="22">
        <f t="shared" si="362"/>
        <v>0</v>
      </c>
      <c r="DM100" s="20"/>
      <c r="DN100" s="20"/>
      <c r="DO100" s="20"/>
      <c r="DP100" s="20"/>
      <c r="DQ100" s="20"/>
      <c r="DR100" s="20"/>
      <c r="DS100" s="20"/>
      <c r="DT100" s="20"/>
      <c r="DU100" s="20"/>
      <c r="DV100" s="20"/>
      <c r="DW100" s="20"/>
      <c r="DX100" s="20"/>
      <c r="DY100" s="22">
        <f t="shared" si="363"/>
        <v>0</v>
      </c>
      <c r="EA100" s="20"/>
      <c r="EB100" s="20"/>
      <c r="EC100" s="20"/>
      <c r="ED100" s="20"/>
      <c r="EE100" s="20"/>
      <c r="EF100" s="20"/>
      <c r="EG100" s="20"/>
      <c r="EH100" s="20"/>
      <c r="EI100" s="20"/>
      <c r="EJ100" s="20"/>
      <c r="EK100" s="20"/>
      <c r="EL100" s="20"/>
      <c r="EM100" s="22">
        <f t="shared" si="364"/>
        <v>0</v>
      </c>
    </row>
    <row r="101" spans="3:143" hidden="1" x14ac:dyDescent="0.2">
      <c r="C101" s="19" t="s">
        <v>61</v>
      </c>
      <c r="E101" s="20"/>
      <c r="F101" s="20"/>
      <c r="G101" s="20"/>
      <c r="H101" s="20"/>
      <c r="I101" s="20"/>
      <c r="J101" s="20"/>
      <c r="K101" s="20"/>
      <c r="L101" s="20"/>
      <c r="M101" s="20"/>
      <c r="N101" s="20"/>
      <c r="O101" s="20"/>
      <c r="P101" s="20"/>
      <c r="Q101" s="22">
        <f t="shared" si="415"/>
        <v>0</v>
      </c>
      <c r="S101" s="20"/>
      <c r="T101" s="20"/>
      <c r="U101" s="20"/>
      <c r="V101" s="20"/>
      <c r="W101" s="20"/>
      <c r="X101" s="20"/>
      <c r="Y101" s="20"/>
      <c r="Z101" s="20"/>
      <c r="AA101" s="20"/>
      <c r="AB101" s="20"/>
      <c r="AC101" s="20"/>
      <c r="AD101" s="20"/>
      <c r="AE101" s="22">
        <f t="shared" si="357"/>
        <v>0</v>
      </c>
      <c r="AG101" s="20"/>
      <c r="AH101" s="20"/>
      <c r="AI101" s="20"/>
      <c r="AJ101" s="20"/>
      <c r="AK101" s="20"/>
      <c r="AL101" s="20"/>
      <c r="AM101" s="20"/>
      <c r="AN101" s="20"/>
      <c r="AO101" s="20"/>
      <c r="AP101" s="20"/>
      <c r="AQ101" s="20"/>
      <c r="AR101" s="20"/>
      <c r="AS101" s="22">
        <f t="shared" si="416"/>
        <v>0</v>
      </c>
      <c r="AU101" s="20"/>
      <c r="AV101" s="20"/>
      <c r="AW101" s="20"/>
      <c r="AX101" s="20"/>
      <c r="AY101" s="20"/>
      <c r="AZ101" s="20"/>
      <c r="BA101" s="20"/>
      <c r="BB101" s="20"/>
      <c r="BC101" s="20"/>
      <c r="BD101" s="20"/>
      <c r="BE101" s="20"/>
      <c r="BF101" s="20"/>
      <c r="BG101" s="22">
        <f t="shared" si="358"/>
        <v>0</v>
      </c>
      <c r="BI101" s="20"/>
      <c r="BJ101" s="20"/>
      <c r="BK101" s="20"/>
      <c r="BL101" s="20"/>
      <c r="BM101" s="20"/>
      <c r="BN101" s="20"/>
      <c r="BO101" s="20"/>
      <c r="BP101" s="20"/>
      <c r="BQ101" s="20"/>
      <c r="BR101" s="20"/>
      <c r="BS101" s="20"/>
      <c r="BT101" s="20"/>
      <c r="BU101" s="22">
        <f t="shared" si="359"/>
        <v>0</v>
      </c>
      <c r="BW101" s="20"/>
      <c r="BX101" s="20"/>
      <c r="BY101" s="20"/>
      <c r="BZ101" s="20"/>
      <c r="CA101" s="20"/>
      <c r="CB101" s="20"/>
      <c r="CC101" s="20"/>
      <c r="CD101" s="20"/>
      <c r="CE101" s="20"/>
      <c r="CF101" s="20"/>
      <c r="CG101" s="20"/>
      <c r="CH101" s="20"/>
      <c r="CI101" s="22">
        <f t="shared" si="360"/>
        <v>0</v>
      </c>
      <c r="CK101" s="20"/>
      <c r="CL101" s="20"/>
      <c r="CM101" s="20"/>
      <c r="CN101" s="20"/>
      <c r="CO101" s="20"/>
      <c r="CP101" s="20"/>
      <c r="CQ101" s="20"/>
      <c r="CR101" s="20"/>
      <c r="CS101" s="20"/>
      <c r="CT101" s="20"/>
      <c r="CU101" s="20"/>
      <c r="CV101" s="20"/>
      <c r="CW101" s="22">
        <f t="shared" si="361"/>
        <v>0</v>
      </c>
      <c r="CY101" s="20"/>
      <c r="CZ101" s="20"/>
      <c r="DA101" s="20"/>
      <c r="DB101" s="20"/>
      <c r="DC101" s="20"/>
      <c r="DD101" s="20"/>
      <c r="DE101" s="20"/>
      <c r="DF101" s="20"/>
      <c r="DG101" s="20"/>
      <c r="DH101" s="20"/>
      <c r="DI101" s="20"/>
      <c r="DJ101" s="20"/>
      <c r="DK101" s="22">
        <f t="shared" si="362"/>
        <v>0</v>
      </c>
      <c r="DM101" s="20"/>
      <c r="DN101" s="20"/>
      <c r="DO101" s="20"/>
      <c r="DP101" s="20"/>
      <c r="DQ101" s="20"/>
      <c r="DR101" s="20"/>
      <c r="DS101" s="20"/>
      <c r="DT101" s="20"/>
      <c r="DU101" s="20"/>
      <c r="DV101" s="20"/>
      <c r="DW101" s="20"/>
      <c r="DX101" s="20"/>
      <c r="DY101" s="22">
        <f t="shared" si="363"/>
        <v>0</v>
      </c>
      <c r="EA101" s="20"/>
      <c r="EB101" s="20"/>
      <c r="EC101" s="20"/>
      <c r="ED101" s="20"/>
      <c r="EE101" s="20"/>
      <c r="EF101" s="20"/>
      <c r="EG101" s="20"/>
      <c r="EH101" s="20"/>
      <c r="EI101" s="20"/>
      <c r="EJ101" s="20"/>
      <c r="EK101" s="20"/>
      <c r="EL101" s="20"/>
      <c r="EM101" s="22">
        <f t="shared" si="364"/>
        <v>0</v>
      </c>
    </row>
    <row r="102" spans="3:143" x14ac:dyDescent="0.2">
      <c r="C102" s="16" t="s">
        <v>46</v>
      </c>
      <c r="E102" s="21" cm="1">
        <f t="array" aca="1" ref="E102" ca="1">SUM(INDIRECT(ADDRESS(expenses_min_row, COLUMN()) &amp; ":" &amp; ADDRESS(expenses_max_row, COLUMN())))</f>
        <v>0</v>
      </c>
      <c r="F102" s="21" cm="1">
        <f t="array" aca="1" ref="F102" ca="1">SUM(INDIRECT(ADDRESS(expenses_min_row, COLUMN()) &amp; ":" &amp; ADDRESS(expenses_max_row, COLUMN())))</f>
        <v>0</v>
      </c>
      <c r="G102" s="21" cm="1">
        <f t="array" aca="1" ref="G102" ca="1">SUM(INDIRECT(ADDRESS(expenses_min_row, COLUMN()) &amp; ":" &amp; ADDRESS(expenses_max_row, COLUMN())))</f>
        <v>0</v>
      </c>
      <c r="H102" s="21" cm="1">
        <f t="array" aca="1" ref="H102" ca="1">SUM(INDIRECT(ADDRESS(expenses_min_row, COLUMN()) &amp; ":" &amp; ADDRESS(expenses_max_row, COLUMN())))</f>
        <v>0</v>
      </c>
      <c r="I102" s="21" cm="1">
        <f t="array" aca="1" ref="I102" ca="1">SUM(INDIRECT(ADDRESS(expenses_min_row, COLUMN()) &amp; ":" &amp; ADDRESS(expenses_max_row, COLUMN())))</f>
        <v>0</v>
      </c>
      <c r="J102" s="21" cm="1">
        <f t="array" aca="1" ref="J102" ca="1">SUM(INDIRECT(ADDRESS(expenses_min_row, COLUMN()) &amp; ":" &amp; ADDRESS(expenses_max_row, COLUMN())))</f>
        <v>6140</v>
      </c>
      <c r="K102" s="21" cm="1">
        <f t="array" aca="1" ref="K102" ca="1">SUM(INDIRECT(ADDRESS(expenses_min_row, COLUMN()) &amp; ":" &amp; ADDRESS(expenses_max_row, COLUMN())))</f>
        <v>6140</v>
      </c>
      <c r="L102" s="21" cm="1">
        <f t="array" aca="1" ref="L102" ca="1">SUM(INDIRECT(ADDRESS(expenses_min_row, COLUMN()) &amp; ":" &amp; ADDRESS(expenses_max_row, COLUMN())))</f>
        <v>6140</v>
      </c>
      <c r="M102" s="21" cm="1">
        <f t="array" aca="1" ref="M102" ca="1">SUM(INDIRECT(ADDRESS(expenses_min_row, COLUMN()) &amp; ":" &amp; ADDRESS(expenses_max_row, COLUMN())))</f>
        <v>6140</v>
      </c>
      <c r="N102" s="21" cm="1">
        <f t="array" aca="1" ref="N102" ca="1">SUM(INDIRECT(ADDRESS(expenses_min_row, COLUMN()) &amp; ":" &amp; ADDRESS(expenses_max_row, COLUMN())))</f>
        <v>6140</v>
      </c>
      <c r="O102" s="21" cm="1">
        <f t="array" aca="1" ref="O102" ca="1">SUM(INDIRECT(ADDRESS(expenses_min_row, COLUMN()) &amp; ":" &amp; ADDRESS(expenses_max_row, COLUMN())))</f>
        <v>6140</v>
      </c>
      <c r="P102" s="21" cm="1">
        <f t="array" aca="1" ref="P102" ca="1">SUM(INDIRECT(ADDRESS(expenses_min_row, COLUMN()) &amp; ":" &amp; ADDRESS(expenses_max_row, COLUMN())))</f>
        <v>6140</v>
      </c>
      <c r="Q102" s="21" cm="1">
        <f t="array" aca="1" ref="Q102" ca="1">SUM(INDIRECT(ADDRESS(expenses_min_row, COLUMN()) &amp; ":" &amp; ADDRESS(expenses_max_row, COLUMN())))</f>
        <v>42980</v>
      </c>
      <c r="S102" s="21" cm="1">
        <f t="array" aca="1" ref="S102" ca="1">SUM(INDIRECT(ADDRESS(expenses_min_row, COLUMN()) &amp; ":" &amp; ADDRESS(expenses_max_row, COLUMN())))</f>
        <v>6365</v>
      </c>
      <c r="T102" s="21" cm="1">
        <f t="array" aca="1" ref="T102" ca="1">SUM(INDIRECT(ADDRESS(expenses_min_row, COLUMN()) &amp; ":" &amp; ADDRESS(expenses_max_row, COLUMN())))</f>
        <v>7345</v>
      </c>
      <c r="U102" s="21" cm="1">
        <f t="array" aca="1" ref="U102" ca="1">SUM(INDIRECT(ADDRESS(expenses_min_row, COLUMN()) &amp; ":" &amp; ADDRESS(expenses_max_row, COLUMN())))</f>
        <v>6745</v>
      </c>
      <c r="V102" s="21" cm="1">
        <f t="array" aca="1" ref="V102" ca="1">SUM(INDIRECT(ADDRESS(expenses_min_row, COLUMN()) &amp; ":" &amp; ADDRESS(expenses_max_row, COLUMN())))</f>
        <v>6745</v>
      </c>
      <c r="W102" s="21" cm="1">
        <f t="array" aca="1" ref="W102" ca="1">SUM(INDIRECT(ADDRESS(expenses_min_row, COLUMN()) &amp; ":" &amp; ADDRESS(expenses_max_row, COLUMN())))</f>
        <v>6745</v>
      </c>
      <c r="X102" s="21" cm="1">
        <f t="array" aca="1" ref="X102" ca="1">SUM(INDIRECT(ADDRESS(expenses_min_row, COLUMN()) &amp; ":" &amp; ADDRESS(expenses_max_row, COLUMN())))</f>
        <v>6745</v>
      </c>
      <c r="Y102" s="21" cm="1">
        <f t="array" aca="1" ref="Y102" ca="1">SUM(INDIRECT(ADDRESS(expenses_min_row, COLUMN()) &amp; ":" &amp; ADDRESS(expenses_max_row, COLUMN())))</f>
        <v>6745</v>
      </c>
      <c r="Z102" s="21" cm="1">
        <f t="array" aca="1" ref="Z102" ca="1">SUM(INDIRECT(ADDRESS(expenses_min_row, COLUMN()) &amp; ":" &amp; ADDRESS(expenses_max_row, COLUMN())))</f>
        <v>6745</v>
      </c>
      <c r="AA102" s="21" cm="1">
        <f t="array" aca="1" ref="AA102" ca="1">SUM(INDIRECT(ADDRESS(expenses_min_row, COLUMN()) &amp; ":" &amp; ADDRESS(expenses_max_row, COLUMN())))</f>
        <v>6745</v>
      </c>
      <c r="AB102" s="21" cm="1">
        <f t="array" aca="1" ref="AB102" ca="1">SUM(INDIRECT(ADDRESS(expenses_min_row, COLUMN()) &amp; ":" &amp; ADDRESS(expenses_max_row, COLUMN())))</f>
        <v>6745</v>
      </c>
      <c r="AC102" s="21" cm="1">
        <f t="array" aca="1" ref="AC102" ca="1">SUM(INDIRECT(ADDRESS(expenses_min_row, COLUMN()) &amp; ":" &amp; ADDRESS(expenses_max_row, COLUMN())))</f>
        <v>6745</v>
      </c>
      <c r="AD102" s="21" cm="1">
        <f t="array" aca="1" ref="AD102" ca="1">SUM(INDIRECT(ADDRESS(expenses_min_row, COLUMN()) &amp; ":" &amp; ADDRESS(expenses_max_row, COLUMN())))</f>
        <v>6745</v>
      </c>
      <c r="AE102" s="21" cm="1">
        <f t="array" aca="1" ref="AE102" ca="1">SUM(INDIRECT(ADDRESS(expenses_min_row, COLUMN()) &amp; ":" &amp; ADDRESS(expenses_max_row, COLUMN())))</f>
        <v>81160</v>
      </c>
      <c r="AG102" s="21" cm="1">
        <f t="array" aca="1" ref="AG102" ca="1">SUM(INDIRECT(ADDRESS(expenses_min_row, COLUMN()) &amp; ":" &amp; ADDRESS(expenses_max_row, COLUMN())))</f>
        <v>7020</v>
      </c>
      <c r="AH102" s="21" cm="1">
        <f t="array" aca="1" ref="AH102" ca="1">SUM(INDIRECT(ADDRESS(expenses_min_row, COLUMN()) &amp; ":" &amp; ADDRESS(expenses_max_row, COLUMN())))</f>
        <v>0</v>
      </c>
      <c r="AI102" s="21" cm="1">
        <f t="array" aca="1" ref="AI102" ca="1">SUM(INDIRECT(ADDRESS(expenses_min_row, COLUMN()) &amp; ":" &amp; ADDRESS(expenses_max_row, COLUMN())))</f>
        <v>0</v>
      </c>
      <c r="AJ102" s="21" cm="1">
        <f t="array" aca="1" ref="AJ102" ca="1">SUM(INDIRECT(ADDRESS(expenses_min_row, COLUMN()) &amp; ":" &amp; ADDRESS(expenses_max_row, COLUMN())))</f>
        <v>0</v>
      </c>
      <c r="AK102" s="21" cm="1">
        <f t="array" aca="1" ref="AK102" ca="1">SUM(INDIRECT(ADDRESS(expenses_min_row, COLUMN()) &amp; ":" &amp; ADDRESS(expenses_max_row, COLUMN())))</f>
        <v>0</v>
      </c>
      <c r="AL102" s="21" cm="1">
        <f t="array" aca="1" ref="AL102" ca="1">SUM(INDIRECT(ADDRESS(expenses_min_row, COLUMN()) &amp; ":" &amp; ADDRESS(expenses_max_row, COLUMN())))</f>
        <v>0</v>
      </c>
      <c r="AM102" s="21" cm="1">
        <f t="array" aca="1" ref="AM102" ca="1">SUM(INDIRECT(ADDRESS(expenses_min_row, COLUMN()) &amp; ":" &amp; ADDRESS(expenses_max_row, COLUMN())))</f>
        <v>0</v>
      </c>
      <c r="AN102" s="21" cm="1">
        <f t="array" aca="1" ref="AN102" ca="1">SUM(INDIRECT(ADDRESS(expenses_min_row, COLUMN()) &amp; ":" &amp; ADDRESS(expenses_max_row, COLUMN())))</f>
        <v>0</v>
      </c>
      <c r="AO102" s="21" cm="1">
        <f t="array" aca="1" ref="AO102" ca="1">SUM(INDIRECT(ADDRESS(expenses_min_row, COLUMN()) &amp; ":" &amp; ADDRESS(expenses_max_row, COLUMN())))</f>
        <v>0</v>
      </c>
      <c r="AP102" s="21" cm="1">
        <f t="array" aca="1" ref="AP102" ca="1">SUM(INDIRECT(ADDRESS(expenses_min_row, COLUMN()) &amp; ":" &amp; ADDRESS(expenses_max_row, COLUMN())))</f>
        <v>0</v>
      </c>
      <c r="AQ102" s="21" cm="1">
        <f t="array" aca="1" ref="AQ102" ca="1">SUM(INDIRECT(ADDRESS(expenses_min_row, COLUMN()) &amp; ":" &amp; ADDRESS(expenses_max_row, COLUMN())))</f>
        <v>0</v>
      </c>
      <c r="AR102" s="21" cm="1">
        <f t="array" aca="1" ref="AR102" ca="1">SUM(INDIRECT(ADDRESS(expenses_min_row, COLUMN()) &amp; ":" &amp; ADDRESS(expenses_max_row, COLUMN())))</f>
        <v>0</v>
      </c>
      <c r="AS102" s="21" cm="1">
        <f t="array" aca="1" ref="AS102" ca="1">SUM(INDIRECT(ADDRESS(expenses_min_row, COLUMN()) &amp; ":" &amp; ADDRESS(expenses_max_row, COLUMN())))</f>
        <v>170</v>
      </c>
      <c r="AU102" s="21" cm="1">
        <f t="array" aca="1" ref="AU102" ca="1">SUM(INDIRECT(ADDRESS(expenses_min_row, COLUMN()) &amp; ":" &amp; ADDRESS(expenses_max_row, COLUMN())))</f>
        <v>0</v>
      </c>
      <c r="AV102" s="21" cm="1">
        <f t="array" aca="1" ref="AV102" ca="1">SUM(INDIRECT(ADDRESS(expenses_min_row, COLUMN()) &amp; ":" &amp; ADDRESS(expenses_max_row, COLUMN())))</f>
        <v>0</v>
      </c>
      <c r="AW102" s="21" cm="1">
        <f t="array" aca="1" ref="AW102" ca="1">SUM(INDIRECT(ADDRESS(expenses_min_row, COLUMN()) &amp; ":" &amp; ADDRESS(expenses_max_row, COLUMN())))</f>
        <v>0</v>
      </c>
      <c r="AX102" s="21" cm="1">
        <f t="array" aca="1" ref="AX102" ca="1">SUM(INDIRECT(ADDRESS(expenses_min_row, COLUMN()) &amp; ":" &amp; ADDRESS(expenses_max_row, COLUMN())))</f>
        <v>0</v>
      </c>
      <c r="AY102" s="21" cm="1">
        <f t="array" aca="1" ref="AY102" ca="1">SUM(INDIRECT(ADDRESS(expenses_min_row, COLUMN()) &amp; ":" &amp; ADDRESS(expenses_max_row, COLUMN())))</f>
        <v>0</v>
      </c>
      <c r="AZ102" s="21" cm="1">
        <f t="array" aca="1" ref="AZ102" ca="1">SUM(INDIRECT(ADDRESS(expenses_min_row, COLUMN()) &amp; ":" &amp; ADDRESS(expenses_max_row, COLUMN())))</f>
        <v>0</v>
      </c>
      <c r="BA102" s="21" cm="1">
        <f t="array" aca="1" ref="BA102" ca="1">SUM(INDIRECT(ADDRESS(expenses_min_row, COLUMN()) &amp; ":" &amp; ADDRESS(expenses_max_row, COLUMN())))</f>
        <v>0</v>
      </c>
      <c r="BB102" s="21" cm="1">
        <f t="array" aca="1" ref="BB102" ca="1">SUM(INDIRECT(ADDRESS(expenses_min_row, COLUMN()) &amp; ":" &amp; ADDRESS(expenses_max_row, COLUMN())))</f>
        <v>0</v>
      </c>
      <c r="BC102" s="21" cm="1">
        <f t="array" aca="1" ref="BC102" ca="1">SUM(INDIRECT(ADDRESS(expenses_min_row, COLUMN()) &amp; ":" &amp; ADDRESS(expenses_max_row, COLUMN())))</f>
        <v>0</v>
      </c>
      <c r="BD102" s="21" cm="1">
        <f t="array" aca="1" ref="BD102" ca="1">SUM(INDIRECT(ADDRESS(expenses_min_row, COLUMN()) &amp; ":" &amp; ADDRESS(expenses_max_row, COLUMN())))</f>
        <v>0</v>
      </c>
      <c r="BE102" s="21" cm="1">
        <f t="array" aca="1" ref="BE102" ca="1">SUM(INDIRECT(ADDRESS(expenses_min_row, COLUMN()) &amp; ":" &amp; ADDRESS(expenses_max_row, COLUMN())))</f>
        <v>0</v>
      </c>
      <c r="BF102" s="21" cm="1">
        <f t="array" aca="1" ref="BF102" ca="1">SUM(INDIRECT(ADDRESS(expenses_min_row, COLUMN()) &amp; ":" &amp; ADDRESS(expenses_max_row, COLUMN())))</f>
        <v>0</v>
      </c>
      <c r="BG102" s="21" cm="1">
        <f t="array" aca="1" ref="BG102" ca="1">SUM(INDIRECT(ADDRESS(expenses_min_row, COLUMN()) &amp; ":" &amp; ADDRESS(expenses_max_row, COLUMN())))</f>
        <v>0</v>
      </c>
      <c r="BI102" s="21" cm="1">
        <f t="array" aca="1" ref="BI102" ca="1">SUM(INDIRECT(ADDRESS(expenses_min_row, COLUMN()) &amp; ":" &amp; ADDRESS(expenses_max_row, COLUMN())))</f>
        <v>0</v>
      </c>
      <c r="BJ102" s="21" cm="1">
        <f t="array" aca="1" ref="BJ102" ca="1">SUM(INDIRECT(ADDRESS(expenses_min_row, COLUMN()) &amp; ":" &amp; ADDRESS(expenses_max_row, COLUMN())))</f>
        <v>0</v>
      </c>
      <c r="BK102" s="21" cm="1">
        <f t="array" aca="1" ref="BK102" ca="1">SUM(INDIRECT(ADDRESS(expenses_min_row, COLUMN()) &amp; ":" &amp; ADDRESS(expenses_max_row, COLUMN())))</f>
        <v>0</v>
      </c>
      <c r="BL102" s="21" cm="1">
        <f t="array" aca="1" ref="BL102" ca="1">SUM(INDIRECT(ADDRESS(expenses_min_row, COLUMN()) &amp; ":" &amp; ADDRESS(expenses_max_row, COLUMN())))</f>
        <v>0</v>
      </c>
      <c r="BM102" s="21" cm="1">
        <f t="array" aca="1" ref="BM102" ca="1">SUM(INDIRECT(ADDRESS(expenses_min_row, COLUMN()) &amp; ":" &amp; ADDRESS(expenses_max_row, COLUMN())))</f>
        <v>0</v>
      </c>
      <c r="BN102" s="21" cm="1">
        <f t="array" aca="1" ref="BN102" ca="1">SUM(INDIRECT(ADDRESS(expenses_min_row, COLUMN()) &amp; ":" &amp; ADDRESS(expenses_max_row, COLUMN())))</f>
        <v>0</v>
      </c>
      <c r="BO102" s="21" cm="1">
        <f t="array" aca="1" ref="BO102" ca="1">SUM(INDIRECT(ADDRESS(expenses_min_row, COLUMN()) &amp; ":" &amp; ADDRESS(expenses_max_row, COLUMN())))</f>
        <v>0</v>
      </c>
      <c r="BP102" s="21" cm="1">
        <f t="array" aca="1" ref="BP102" ca="1">SUM(INDIRECT(ADDRESS(expenses_min_row, COLUMN()) &amp; ":" &amp; ADDRESS(expenses_max_row, COLUMN())))</f>
        <v>0</v>
      </c>
      <c r="BQ102" s="21" cm="1">
        <f t="array" aca="1" ref="BQ102" ca="1">SUM(INDIRECT(ADDRESS(expenses_min_row, COLUMN()) &amp; ":" &amp; ADDRESS(expenses_max_row, COLUMN())))</f>
        <v>0</v>
      </c>
      <c r="BR102" s="21" cm="1">
        <f t="array" aca="1" ref="BR102" ca="1">SUM(INDIRECT(ADDRESS(expenses_min_row, COLUMN()) &amp; ":" &amp; ADDRESS(expenses_max_row, COLUMN())))</f>
        <v>0</v>
      </c>
      <c r="BS102" s="21" cm="1">
        <f t="array" aca="1" ref="BS102" ca="1">SUM(INDIRECT(ADDRESS(expenses_min_row, COLUMN()) &amp; ":" &amp; ADDRESS(expenses_max_row, COLUMN())))</f>
        <v>0</v>
      </c>
      <c r="BT102" s="21" cm="1">
        <f t="array" aca="1" ref="BT102" ca="1">SUM(INDIRECT(ADDRESS(expenses_min_row, COLUMN()) &amp; ":" &amp; ADDRESS(expenses_max_row, COLUMN())))</f>
        <v>0</v>
      </c>
      <c r="BU102" s="21" cm="1">
        <f t="array" aca="1" ref="BU102" ca="1">SUM(INDIRECT(ADDRESS(expenses_min_row, COLUMN()) &amp; ":" &amp; ADDRESS(expenses_max_row, COLUMN())))</f>
        <v>0</v>
      </c>
      <c r="BW102" s="21" cm="1">
        <f t="array" aca="1" ref="BW102" ca="1">SUM(INDIRECT(ADDRESS(expenses_min_row, COLUMN()) &amp; ":" &amp; ADDRESS(expenses_max_row, COLUMN())))</f>
        <v>0</v>
      </c>
      <c r="BX102" s="21" cm="1">
        <f t="array" aca="1" ref="BX102" ca="1">SUM(INDIRECT(ADDRESS(expenses_min_row, COLUMN()) &amp; ":" &amp; ADDRESS(expenses_max_row, COLUMN())))</f>
        <v>0</v>
      </c>
      <c r="BY102" s="21" cm="1">
        <f t="array" aca="1" ref="BY102" ca="1">SUM(INDIRECT(ADDRESS(expenses_min_row, COLUMN()) &amp; ":" &amp; ADDRESS(expenses_max_row, COLUMN())))</f>
        <v>0</v>
      </c>
      <c r="BZ102" s="21" cm="1">
        <f t="array" aca="1" ref="BZ102" ca="1">SUM(INDIRECT(ADDRESS(expenses_min_row, COLUMN()) &amp; ":" &amp; ADDRESS(expenses_max_row, COLUMN())))</f>
        <v>0</v>
      </c>
      <c r="CA102" s="21" cm="1">
        <f t="array" aca="1" ref="CA102" ca="1">SUM(INDIRECT(ADDRESS(expenses_min_row, COLUMN()) &amp; ":" &amp; ADDRESS(expenses_max_row, COLUMN())))</f>
        <v>0</v>
      </c>
      <c r="CB102" s="21" cm="1">
        <f t="array" aca="1" ref="CB102" ca="1">SUM(INDIRECT(ADDRESS(expenses_min_row, COLUMN()) &amp; ":" &amp; ADDRESS(expenses_max_row, COLUMN())))</f>
        <v>0</v>
      </c>
      <c r="CC102" s="21" cm="1">
        <f t="array" aca="1" ref="CC102" ca="1">SUM(INDIRECT(ADDRESS(expenses_min_row, COLUMN()) &amp; ":" &amp; ADDRESS(expenses_max_row, COLUMN())))</f>
        <v>0</v>
      </c>
      <c r="CD102" s="21" cm="1">
        <f t="array" aca="1" ref="CD102" ca="1">SUM(INDIRECT(ADDRESS(expenses_min_row, COLUMN()) &amp; ":" &amp; ADDRESS(expenses_max_row, COLUMN())))</f>
        <v>0</v>
      </c>
      <c r="CE102" s="21" cm="1">
        <f t="array" aca="1" ref="CE102" ca="1">SUM(INDIRECT(ADDRESS(expenses_min_row, COLUMN()) &amp; ":" &amp; ADDRESS(expenses_max_row, COLUMN())))</f>
        <v>0</v>
      </c>
      <c r="CF102" s="21" cm="1">
        <f t="array" aca="1" ref="CF102" ca="1">SUM(INDIRECT(ADDRESS(expenses_min_row, COLUMN()) &amp; ":" &amp; ADDRESS(expenses_max_row, COLUMN())))</f>
        <v>0</v>
      </c>
      <c r="CG102" s="21" cm="1">
        <f t="array" aca="1" ref="CG102" ca="1">SUM(INDIRECT(ADDRESS(expenses_min_row, COLUMN()) &amp; ":" &amp; ADDRESS(expenses_max_row, COLUMN())))</f>
        <v>0</v>
      </c>
      <c r="CH102" s="21" cm="1">
        <f t="array" aca="1" ref="CH102" ca="1">SUM(INDIRECT(ADDRESS(expenses_min_row, COLUMN()) &amp; ":" &amp; ADDRESS(expenses_max_row, COLUMN())))</f>
        <v>0</v>
      </c>
      <c r="CI102" s="21" cm="1">
        <f t="array" aca="1" ref="CI102" ca="1">SUM(INDIRECT(ADDRESS(expenses_min_row, COLUMN()) &amp; ":" &amp; ADDRESS(expenses_max_row, COLUMN())))</f>
        <v>0</v>
      </c>
      <c r="CK102" s="21" cm="1">
        <f t="array" aca="1" ref="CK102" ca="1">SUM(INDIRECT(ADDRESS(expenses_min_row, COLUMN()) &amp; ":" &amp; ADDRESS(expenses_max_row, COLUMN())))</f>
        <v>0</v>
      </c>
      <c r="CL102" s="21" cm="1">
        <f t="array" aca="1" ref="CL102" ca="1">SUM(INDIRECT(ADDRESS(expenses_min_row, COLUMN()) &amp; ":" &amp; ADDRESS(expenses_max_row, COLUMN())))</f>
        <v>0</v>
      </c>
      <c r="CM102" s="21" cm="1">
        <f t="array" aca="1" ref="CM102" ca="1">SUM(INDIRECT(ADDRESS(expenses_min_row, COLUMN()) &amp; ":" &amp; ADDRESS(expenses_max_row, COLUMN())))</f>
        <v>0</v>
      </c>
      <c r="CN102" s="21" cm="1">
        <f t="array" aca="1" ref="CN102" ca="1">SUM(INDIRECT(ADDRESS(expenses_min_row, COLUMN()) &amp; ":" &amp; ADDRESS(expenses_max_row, COLUMN())))</f>
        <v>0</v>
      </c>
      <c r="CO102" s="21" cm="1">
        <f t="array" aca="1" ref="CO102" ca="1">SUM(INDIRECT(ADDRESS(expenses_min_row, COLUMN()) &amp; ":" &amp; ADDRESS(expenses_max_row, COLUMN())))</f>
        <v>0</v>
      </c>
      <c r="CP102" s="21" cm="1">
        <f t="array" aca="1" ref="CP102" ca="1">SUM(INDIRECT(ADDRESS(expenses_min_row, COLUMN()) &amp; ":" &amp; ADDRESS(expenses_max_row, COLUMN())))</f>
        <v>0</v>
      </c>
      <c r="CQ102" s="21" cm="1">
        <f t="array" aca="1" ref="CQ102" ca="1">SUM(INDIRECT(ADDRESS(expenses_min_row, COLUMN()) &amp; ":" &amp; ADDRESS(expenses_max_row, COLUMN())))</f>
        <v>0</v>
      </c>
      <c r="CR102" s="21" cm="1">
        <f t="array" aca="1" ref="CR102" ca="1">SUM(INDIRECT(ADDRESS(expenses_min_row, COLUMN()) &amp; ":" &amp; ADDRESS(expenses_max_row, COLUMN())))</f>
        <v>0</v>
      </c>
      <c r="CS102" s="21" cm="1">
        <f t="array" aca="1" ref="CS102" ca="1">SUM(INDIRECT(ADDRESS(expenses_min_row, COLUMN()) &amp; ":" &amp; ADDRESS(expenses_max_row, COLUMN())))</f>
        <v>0</v>
      </c>
      <c r="CT102" s="21" cm="1">
        <f t="array" aca="1" ref="CT102" ca="1">SUM(INDIRECT(ADDRESS(expenses_min_row, COLUMN()) &amp; ":" &amp; ADDRESS(expenses_max_row, COLUMN())))</f>
        <v>0</v>
      </c>
      <c r="CU102" s="21" cm="1">
        <f t="array" aca="1" ref="CU102" ca="1">SUM(INDIRECT(ADDRESS(expenses_min_row, COLUMN()) &amp; ":" &amp; ADDRESS(expenses_max_row, COLUMN())))</f>
        <v>0</v>
      </c>
      <c r="CV102" s="21" cm="1">
        <f t="array" aca="1" ref="CV102" ca="1">SUM(INDIRECT(ADDRESS(expenses_min_row, COLUMN()) &amp; ":" &amp; ADDRESS(expenses_max_row, COLUMN())))</f>
        <v>0</v>
      </c>
      <c r="CW102" s="21" cm="1">
        <f t="array" aca="1" ref="CW102" ca="1">SUM(INDIRECT(ADDRESS(expenses_min_row, COLUMN()) &amp; ":" &amp; ADDRESS(expenses_max_row, COLUMN())))</f>
        <v>0</v>
      </c>
      <c r="CY102" s="21" cm="1">
        <f t="array" aca="1" ref="CY102" ca="1">SUM(INDIRECT(ADDRESS(expenses_min_row, COLUMN()) &amp; ":" &amp; ADDRESS(expenses_max_row, COLUMN())))</f>
        <v>0</v>
      </c>
      <c r="CZ102" s="21" cm="1">
        <f t="array" aca="1" ref="CZ102" ca="1">SUM(INDIRECT(ADDRESS(expenses_min_row, COLUMN()) &amp; ":" &amp; ADDRESS(expenses_max_row, COLUMN())))</f>
        <v>0</v>
      </c>
      <c r="DA102" s="21" cm="1">
        <f t="array" aca="1" ref="DA102" ca="1">SUM(INDIRECT(ADDRESS(expenses_min_row, COLUMN()) &amp; ":" &amp; ADDRESS(expenses_max_row, COLUMN())))</f>
        <v>0</v>
      </c>
      <c r="DB102" s="21" cm="1">
        <f t="array" aca="1" ref="DB102" ca="1">SUM(INDIRECT(ADDRESS(expenses_min_row, COLUMN()) &amp; ":" &amp; ADDRESS(expenses_max_row, COLUMN())))</f>
        <v>0</v>
      </c>
      <c r="DC102" s="21" cm="1">
        <f t="array" aca="1" ref="DC102" ca="1">SUM(INDIRECT(ADDRESS(expenses_min_row, COLUMN()) &amp; ":" &amp; ADDRESS(expenses_max_row, COLUMN())))</f>
        <v>0</v>
      </c>
      <c r="DD102" s="21" cm="1">
        <f t="array" aca="1" ref="DD102" ca="1">SUM(INDIRECT(ADDRESS(expenses_min_row, COLUMN()) &amp; ":" &amp; ADDRESS(expenses_max_row, COLUMN())))</f>
        <v>0</v>
      </c>
      <c r="DE102" s="21" cm="1">
        <f t="array" aca="1" ref="DE102" ca="1">SUM(INDIRECT(ADDRESS(expenses_min_row, COLUMN()) &amp; ":" &amp; ADDRESS(expenses_max_row, COLUMN())))</f>
        <v>0</v>
      </c>
      <c r="DF102" s="21" cm="1">
        <f t="array" aca="1" ref="DF102" ca="1">SUM(INDIRECT(ADDRESS(expenses_min_row, COLUMN()) &amp; ":" &amp; ADDRESS(expenses_max_row, COLUMN())))</f>
        <v>0</v>
      </c>
      <c r="DG102" s="21" cm="1">
        <f t="array" aca="1" ref="DG102" ca="1">SUM(INDIRECT(ADDRESS(expenses_min_row, COLUMN()) &amp; ":" &amp; ADDRESS(expenses_max_row, COLUMN())))</f>
        <v>0</v>
      </c>
      <c r="DH102" s="21" cm="1">
        <f t="array" aca="1" ref="DH102" ca="1">SUM(INDIRECT(ADDRESS(expenses_min_row, COLUMN()) &amp; ":" &amp; ADDRESS(expenses_max_row, COLUMN())))</f>
        <v>0</v>
      </c>
      <c r="DI102" s="21" cm="1">
        <f t="array" aca="1" ref="DI102" ca="1">SUM(INDIRECT(ADDRESS(expenses_min_row, COLUMN()) &amp; ":" &amp; ADDRESS(expenses_max_row, COLUMN())))</f>
        <v>0</v>
      </c>
      <c r="DJ102" s="21" cm="1">
        <f t="array" aca="1" ref="DJ102" ca="1">SUM(INDIRECT(ADDRESS(expenses_min_row, COLUMN()) &amp; ":" &amp; ADDRESS(expenses_max_row, COLUMN())))</f>
        <v>0</v>
      </c>
      <c r="DK102" s="21" cm="1">
        <f t="array" aca="1" ref="DK102" ca="1">SUM(INDIRECT(ADDRESS(expenses_min_row, COLUMN()) &amp; ":" &amp; ADDRESS(expenses_max_row, COLUMN())))</f>
        <v>0</v>
      </c>
      <c r="DM102" s="21" cm="1">
        <f t="array" aca="1" ref="DM102" ca="1">SUM(INDIRECT(ADDRESS(expenses_min_row, COLUMN()) &amp; ":" &amp; ADDRESS(expenses_max_row, COLUMN())))</f>
        <v>0</v>
      </c>
      <c r="DN102" s="21" cm="1">
        <f t="array" aca="1" ref="DN102" ca="1">SUM(INDIRECT(ADDRESS(expenses_min_row, COLUMN()) &amp; ":" &amp; ADDRESS(expenses_max_row, COLUMN())))</f>
        <v>0</v>
      </c>
      <c r="DO102" s="21" cm="1">
        <f t="array" aca="1" ref="DO102" ca="1">SUM(INDIRECT(ADDRESS(expenses_min_row, COLUMN()) &amp; ":" &amp; ADDRESS(expenses_max_row, COLUMN())))</f>
        <v>0</v>
      </c>
      <c r="DP102" s="21" cm="1">
        <f t="array" aca="1" ref="DP102" ca="1">SUM(INDIRECT(ADDRESS(expenses_min_row, COLUMN()) &amp; ":" &amp; ADDRESS(expenses_max_row, COLUMN())))</f>
        <v>0</v>
      </c>
      <c r="DQ102" s="21" cm="1">
        <f t="array" aca="1" ref="DQ102" ca="1">SUM(INDIRECT(ADDRESS(expenses_min_row, COLUMN()) &amp; ":" &amp; ADDRESS(expenses_max_row, COLUMN())))</f>
        <v>0</v>
      </c>
      <c r="DR102" s="21" cm="1">
        <f t="array" aca="1" ref="DR102" ca="1">SUM(INDIRECT(ADDRESS(expenses_min_row, COLUMN()) &amp; ":" &amp; ADDRESS(expenses_max_row, COLUMN())))</f>
        <v>0</v>
      </c>
      <c r="DS102" s="21" cm="1">
        <f t="array" aca="1" ref="DS102" ca="1">SUM(INDIRECT(ADDRESS(expenses_min_row, COLUMN()) &amp; ":" &amp; ADDRESS(expenses_max_row, COLUMN())))</f>
        <v>0</v>
      </c>
      <c r="DT102" s="21" cm="1">
        <f t="array" aca="1" ref="DT102" ca="1">SUM(INDIRECT(ADDRESS(expenses_min_row, COLUMN()) &amp; ":" &amp; ADDRESS(expenses_max_row, COLUMN())))</f>
        <v>0</v>
      </c>
      <c r="DU102" s="21" cm="1">
        <f t="array" aca="1" ref="DU102" ca="1">SUM(INDIRECT(ADDRESS(expenses_min_row, COLUMN()) &amp; ":" &amp; ADDRESS(expenses_max_row, COLUMN())))</f>
        <v>0</v>
      </c>
      <c r="DV102" s="21" cm="1">
        <f t="array" aca="1" ref="DV102" ca="1">SUM(INDIRECT(ADDRESS(expenses_min_row, COLUMN()) &amp; ":" &amp; ADDRESS(expenses_max_row, COLUMN())))</f>
        <v>0</v>
      </c>
      <c r="DW102" s="21" cm="1">
        <f t="array" aca="1" ref="DW102" ca="1">SUM(INDIRECT(ADDRESS(expenses_min_row, COLUMN()) &amp; ":" &amp; ADDRESS(expenses_max_row, COLUMN())))</f>
        <v>0</v>
      </c>
      <c r="DX102" s="21" cm="1">
        <f t="array" aca="1" ref="DX102" ca="1">SUM(INDIRECT(ADDRESS(expenses_min_row, COLUMN()) &amp; ":" &amp; ADDRESS(expenses_max_row, COLUMN())))</f>
        <v>0</v>
      </c>
      <c r="DY102" s="21" cm="1">
        <f t="array" aca="1" ref="DY102" ca="1">SUM(INDIRECT(ADDRESS(expenses_min_row, COLUMN()) &amp; ":" &amp; ADDRESS(expenses_max_row, COLUMN())))</f>
        <v>0</v>
      </c>
      <c r="EA102" s="21" cm="1">
        <f t="array" aca="1" ref="EA102" ca="1">SUM(INDIRECT(ADDRESS(expenses_min_row, COLUMN()) &amp; ":" &amp; ADDRESS(expenses_max_row, COLUMN())))</f>
        <v>0</v>
      </c>
      <c r="EB102" s="21" cm="1">
        <f t="array" aca="1" ref="EB102" ca="1">SUM(INDIRECT(ADDRESS(expenses_min_row, COLUMN()) &amp; ":" &amp; ADDRESS(expenses_max_row, COLUMN())))</f>
        <v>0</v>
      </c>
      <c r="EC102" s="21" cm="1">
        <f t="array" aca="1" ref="EC102" ca="1">SUM(INDIRECT(ADDRESS(expenses_min_row, COLUMN()) &amp; ":" &amp; ADDRESS(expenses_max_row, COLUMN())))</f>
        <v>0</v>
      </c>
      <c r="ED102" s="21" cm="1">
        <f t="array" aca="1" ref="ED102" ca="1">SUM(INDIRECT(ADDRESS(expenses_min_row, COLUMN()) &amp; ":" &amp; ADDRESS(expenses_max_row, COLUMN())))</f>
        <v>0</v>
      </c>
      <c r="EE102" s="21" cm="1">
        <f t="array" aca="1" ref="EE102" ca="1">SUM(INDIRECT(ADDRESS(expenses_min_row, COLUMN()) &amp; ":" &amp; ADDRESS(expenses_max_row, COLUMN())))</f>
        <v>0</v>
      </c>
      <c r="EF102" s="21" cm="1">
        <f t="array" aca="1" ref="EF102" ca="1">SUM(INDIRECT(ADDRESS(expenses_min_row, COLUMN()) &amp; ":" &amp; ADDRESS(expenses_max_row, COLUMN())))</f>
        <v>0</v>
      </c>
      <c r="EG102" s="21" cm="1">
        <f t="array" aca="1" ref="EG102" ca="1">SUM(INDIRECT(ADDRESS(expenses_min_row, COLUMN()) &amp; ":" &amp; ADDRESS(expenses_max_row, COLUMN())))</f>
        <v>0</v>
      </c>
      <c r="EH102" s="21" cm="1">
        <f t="array" aca="1" ref="EH102" ca="1">SUM(INDIRECT(ADDRESS(expenses_min_row, COLUMN()) &amp; ":" &amp; ADDRESS(expenses_max_row, COLUMN())))</f>
        <v>0</v>
      </c>
      <c r="EI102" s="21" cm="1">
        <f t="array" aca="1" ref="EI102" ca="1">SUM(INDIRECT(ADDRESS(expenses_min_row, COLUMN()) &amp; ":" &amp; ADDRESS(expenses_max_row, COLUMN())))</f>
        <v>0</v>
      </c>
      <c r="EJ102" s="21" cm="1">
        <f t="array" aca="1" ref="EJ102" ca="1">SUM(INDIRECT(ADDRESS(expenses_min_row, COLUMN()) &amp; ":" &amp; ADDRESS(expenses_max_row, COLUMN())))</f>
        <v>0</v>
      </c>
      <c r="EK102" s="21" cm="1">
        <f t="array" aca="1" ref="EK102" ca="1">SUM(INDIRECT(ADDRESS(expenses_min_row, COLUMN()) &amp; ":" &amp; ADDRESS(expenses_max_row, COLUMN())))</f>
        <v>0</v>
      </c>
      <c r="EL102" s="21" cm="1">
        <f t="array" aca="1" ref="EL102" ca="1">SUM(INDIRECT(ADDRESS(expenses_min_row, COLUMN()) &amp; ":" &amp; ADDRESS(expenses_max_row, COLUMN())))</f>
        <v>0</v>
      </c>
      <c r="EM102" s="21" cm="1">
        <f t="array" aca="1" ref="EM102" ca="1">SUM(INDIRECT(ADDRESS(expenses_min_row, COLUMN()) &amp; ":" &amp; ADDRESS(expenses_max_row, COLUMN())))</f>
        <v>0</v>
      </c>
    </row>
    <row r="104" spans="3:143" x14ac:dyDescent="0.2">
      <c r="C104" s="15" t="s">
        <v>62</v>
      </c>
      <c r="E104" s="25">
        <f>DATE(E$5,1,1)</f>
        <v>45292</v>
      </c>
      <c r="F104" s="25">
        <f>DATE(E$5,2,1)</f>
        <v>45323</v>
      </c>
      <c r="G104" s="25">
        <f>DATE(E$5,3,1)</f>
        <v>45352</v>
      </c>
      <c r="H104" s="25">
        <f>DATE(E$5,4,1)</f>
        <v>45383</v>
      </c>
      <c r="I104" s="25">
        <f>DATE(E$5,5,1)</f>
        <v>45413</v>
      </c>
      <c r="J104" s="25">
        <f>DATE(E$5,6,1)</f>
        <v>45444</v>
      </c>
      <c r="K104" s="25">
        <f>DATE(E$5,7,1)</f>
        <v>45474</v>
      </c>
      <c r="L104" s="25">
        <f>DATE(E$5,8,1)</f>
        <v>45505</v>
      </c>
      <c r="M104" s="25">
        <f>DATE(E$5,9,1)</f>
        <v>45536</v>
      </c>
      <c r="N104" s="25">
        <f>DATE(E$5,10,1)</f>
        <v>45566</v>
      </c>
      <c r="O104" s="25">
        <f>DATE(E$5,11,1)</f>
        <v>45597</v>
      </c>
      <c r="P104" s="25">
        <f>DATE(E$5,12,1)</f>
        <v>45627</v>
      </c>
      <c r="Q104" s="26">
        <f>E$5</f>
        <v>2024</v>
      </c>
      <c r="S104" s="25">
        <f>DATE(S$5,1,1)</f>
        <v>45658</v>
      </c>
      <c r="T104" s="25">
        <f>DATE(S$5,2,1)</f>
        <v>45689</v>
      </c>
      <c r="U104" s="25">
        <f>DATE(S$5,3,1)</f>
        <v>45717</v>
      </c>
      <c r="V104" s="25">
        <f>DATE(S$5,4,1)</f>
        <v>45748</v>
      </c>
      <c r="W104" s="25">
        <f>DATE(S$5,5,1)</f>
        <v>45778</v>
      </c>
      <c r="X104" s="25">
        <f>DATE(S$5,6,1)</f>
        <v>45809</v>
      </c>
      <c r="Y104" s="25">
        <f>DATE(S$5,7,1)</f>
        <v>45839</v>
      </c>
      <c r="Z104" s="25">
        <f>DATE(S$5,8,1)</f>
        <v>45870</v>
      </c>
      <c r="AA104" s="25">
        <f>DATE(S$5,9,1)</f>
        <v>45901</v>
      </c>
      <c r="AB104" s="25">
        <f>DATE(S$5,10,1)</f>
        <v>45931</v>
      </c>
      <c r="AC104" s="25">
        <f>DATE(S$5,11,1)</f>
        <v>45962</v>
      </c>
      <c r="AD104" s="25">
        <f>DATE(S$5,12,1)</f>
        <v>45992</v>
      </c>
      <c r="AE104" s="26">
        <f>S$5</f>
        <v>2025</v>
      </c>
      <c r="AG104" s="25">
        <f t="shared" ref="AG104" si="427">DATE(AG$5,1,1)</f>
        <v>46023</v>
      </c>
      <c r="AH104" s="25">
        <f t="shared" ref="AH104" si="428">DATE(AG$5,2,1)</f>
        <v>46054</v>
      </c>
      <c r="AI104" s="25">
        <f t="shared" ref="AI104" si="429">DATE(AG$5,3,1)</f>
        <v>46082</v>
      </c>
      <c r="AJ104" s="25">
        <f t="shared" ref="AJ104" si="430">DATE(AG$5,4,1)</f>
        <v>46113</v>
      </c>
      <c r="AK104" s="25">
        <f t="shared" ref="AK104" si="431">DATE(AG$5,5,1)</f>
        <v>46143</v>
      </c>
      <c r="AL104" s="25">
        <f t="shared" ref="AL104" si="432">DATE(AG$5,6,1)</f>
        <v>46174</v>
      </c>
      <c r="AM104" s="25">
        <f t="shared" ref="AM104" si="433">DATE(AG$5,7,1)</f>
        <v>46204</v>
      </c>
      <c r="AN104" s="25">
        <f t="shared" ref="AN104" si="434">DATE(AG$5,8,1)</f>
        <v>46235</v>
      </c>
      <c r="AO104" s="25">
        <f t="shared" ref="AO104" si="435">DATE(AG$5,9,1)</f>
        <v>46266</v>
      </c>
      <c r="AP104" s="25">
        <f t="shared" ref="AP104" si="436">DATE(AG$5,10,1)</f>
        <v>46296</v>
      </c>
      <c r="AQ104" s="25">
        <f t="shared" ref="AQ104" si="437">DATE(AG$5,11,1)</f>
        <v>46327</v>
      </c>
      <c r="AR104" s="25">
        <f t="shared" ref="AR104" si="438">DATE(AG$5,12,1)</f>
        <v>46357</v>
      </c>
      <c r="AS104" s="26">
        <f t="shared" ref="AS104" si="439">AG$5</f>
        <v>2026</v>
      </c>
      <c r="AU104" s="25">
        <f t="shared" ref="AU104" si="440">DATE(AU$5,1,1)</f>
        <v>46388</v>
      </c>
      <c r="AV104" s="25">
        <f t="shared" ref="AV104" si="441">DATE(AU$5,2,1)</f>
        <v>46419</v>
      </c>
      <c r="AW104" s="25">
        <f t="shared" ref="AW104" si="442">DATE(AU$5,3,1)</f>
        <v>46447</v>
      </c>
      <c r="AX104" s="25">
        <f t="shared" ref="AX104" si="443">DATE(AU$5,4,1)</f>
        <v>46478</v>
      </c>
      <c r="AY104" s="25">
        <f t="shared" ref="AY104" si="444">DATE(AU$5,5,1)</f>
        <v>46508</v>
      </c>
      <c r="AZ104" s="25">
        <f t="shared" ref="AZ104" si="445">DATE(AU$5,6,1)</f>
        <v>46539</v>
      </c>
      <c r="BA104" s="25">
        <f t="shared" ref="BA104" si="446">DATE(AU$5,7,1)</f>
        <v>46569</v>
      </c>
      <c r="BB104" s="25">
        <f t="shared" ref="BB104" si="447">DATE(AU$5,8,1)</f>
        <v>46600</v>
      </c>
      <c r="BC104" s="25">
        <f t="shared" ref="BC104" si="448">DATE(AU$5,9,1)</f>
        <v>46631</v>
      </c>
      <c r="BD104" s="25">
        <f t="shared" ref="BD104" si="449">DATE(AU$5,10,1)</f>
        <v>46661</v>
      </c>
      <c r="BE104" s="25">
        <f t="shared" ref="BE104" si="450">DATE(AU$5,11,1)</f>
        <v>46692</v>
      </c>
      <c r="BF104" s="25">
        <f t="shared" ref="BF104" si="451">DATE(AU$5,12,1)</f>
        <v>46722</v>
      </c>
      <c r="BG104" s="26">
        <f t="shared" ref="BG104" si="452">AU$5</f>
        <v>2027</v>
      </c>
      <c r="BI104" s="25">
        <f t="shared" ref="BI104" si="453">DATE(BI$5,1,1)</f>
        <v>46753</v>
      </c>
      <c r="BJ104" s="25">
        <f t="shared" ref="BJ104" si="454">DATE(BI$5,2,1)</f>
        <v>46784</v>
      </c>
      <c r="BK104" s="25">
        <f t="shared" ref="BK104" si="455">DATE(BI$5,3,1)</f>
        <v>46813</v>
      </c>
      <c r="BL104" s="25">
        <f t="shared" ref="BL104" si="456">DATE(BI$5,4,1)</f>
        <v>46844</v>
      </c>
      <c r="BM104" s="25">
        <f t="shared" ref="BM104" si="457">DATE(BI$5,5,1)</f>
        <v>46874</v>
      </c>
      <c r="BN104" s="25">
        <f t="shared" ref="BN104" si="458">DATE(BI$5,6,1)</f>
        <v>46905</v>
      </c>
      <c r="BO104" s="25">
        <f t="shared" ref="BO104" si="459">DATE(BI$5,7,1)</f>
        <v>46935</v>
      </c>
      <c r="BP104" s="25">
        <f t="shared" ref="BP104" si="460">DATE(BI$5,8,1)</f>
        <v>46966</v>
      </c>
      <c r="BQ104" s="25">
        <f t="shared" ref="BQ104" si="461">DATE(BI$5,9,1)</f>
        <v>46997</v>
      </c>
      <c r="BR104" s="25">
        <f t="shared" ref="BR104" si="462">DATE(BI$5,10,1)</f>
        <v>47027</v>
      </c>
      <c r="BS104" s="25">
        <f t="shared" ref="BS104" si="463">DATE(BI$5,11,1)</f>
        <v>47058</v>
      </c>
      <c r="BT104" s="25">
        <f t="shared" ref="BT104" si="464">DATE(BI$5,12,1)</f>
        <v>47088</v>
      </c>
      <c r="BU104" s="26">
        <f t="shared" ref="BU104" si="465">BI$5</f>
        <v>2028</v>
      </c>
      <c r="BW104" s="25">
        <f t="shared" ref="BW104" si="466">DATE(BW$5,1,1)</f>
        <v>47119</v>
      </c>
      <c r="BX104" s="25">
        <f t="shared" ref="BX104" si="467">DATE(BW$5,2,1)</f>
        <v>47150</v>
      </c>
      <c r="BY104" s="25">
        <f t="shared" ref="BY104" si="468">DATE(BW$5,3,1)</f>
        <v>47178</v>
      </c>
      <c r="BZ104" s="25">
        <f t="shared" ref="BZ104" si="469">DATE(BW$5,4,1)</f>
        <v>47209</v>
      </c>
      <c r="CA104" s="25">
        <f t="shared" ref="CA104" si="470">DATE(BW$5,5,1)</f>
        <v>47239</v>
      </c>
      <c r="CB104" s="25">
        <f t="shared" ref="CB104" si="471">DATE(BW$5,6,1)</f>
        <v>47270</v>
      </c>
      <c r="CC104" s="25">
        <f t="shared" ref="CC104" si="472">DATE(BW$5,7,1)</f>
        <v>47300</v>
      </c>
      <c r="CD104" s="25">
        <f t="shared" ref="CD104" si="473">DATE(BW$5,8,1)</f>
        <v>47331</v>
      </c>
      <c r="CE104" s="25">
        <f t="shared" ref="CE104" si="474">DATE(BW$5,9,1)</f>
        <v>47362</v>
      </c>
      <c r="CF104" s="25">
        <f t="shared" ref="CF104" si="475">DATE(BW$5,10,1)</f>
        <v>47392</v>
      </c>
      <c r="CG104" s="25">
        <f t="shared" ref="CG104" si="476">DATE(BW$5,11,1)</f>
        <v>47423</v>
      </c>
      <c r="CH104" s="25">
        <f t="shared" ref="CH104" si="477">DATE(BW$5,12,1)</f>
        <v>47453</v>
      </c>
      <c r="CI104" s="26">
        <f t="shared" ref="CI104" si="478">BW$5</f>
        <v>2029</v>
      </c>
      <c r="CK104" s="25">
        <f t="shared" ref="CK104" si="479">DATE(CK$5,1,1)</f>
        <v>47484</v>
      </c>
      <c r="CL104" s="25">
        <f t="shared" ref="CL104" si="480">DATE(CK$5,2,1)</f>
        <v>47515</v>
      </c>
      <c r="CM104" s="25">
        <f t="shared" ref="CM104" si="481">DATE(CK$5,3,1)</f>
        <v>47543</v>
      </c>
      <c r="CN104" s="25">
        <f t="shared" ref="CN104" si="482">DATE(CK$5,4,1)</f>
        <v>47574</v>
      </c>
      <c r="CO104" s="25">
        <f t="shared" ref="CO104" si="483">DATE(CK$5,5,1)</f>
        <v>47604</v>
      </c>
      <c r="CP104" s="25">
        <f t="shared" ref="CP104" si="484">DATE(CK$5,6,1)</f>
        <v>47635</v>
      </c>
      <c r="CQ104" s="25">
        <f t="shared" ref="CQ104" si="485">DATE(CK$5,7,1)</f>
        <v>47665</v>
      </c>
      <c r="CR104" s="25">
        <f t="shared" ref="CR104" si="486">DATE(CK$5,8,1)</f>
        <v>47696</v>
      </c>
      <c r="CS104" s="25">
        <f t="shared" ref="CS104" si="487">DATE(CK$5,9,1)</f>
        <v>47727</v>
      </c>
      <c r="CT104" s="25">
        <f t="shared" ref="CT104" si="488">DATE(CK$5,10,1)</f>
        <v>47757</v>
      </c>
      <c r="CU104" s="25">
        <f t="shared" ref="CU104" si="489">DATE(CK$5,11,1)</f>
        <v>47788</v>
      </c>
      <c r="CV104" s="25">
        <f t="shared" ref="CV104" si="490">DATE(CK$5,12,1)</f>
        <v>47818</v>
      </c>
      <c r="CW104" s="26">
        <f t="shared" ref="CW104" si="491">CK$5</f>
        <v>2030</v>
      </c>
      <c r="CY104" s="25">
        <f t="shared" ref="CY104" si="492">DATE(CY$5,1,1)</f>
        <v>47849</v>
      </c>
      <c r="CZ104" s="25">
        <f t="shared" ref="CZ104" si="493">DATE(CY$5,2,1)</f>
        <v>47880</v>
      </c>
      <c r="DA104" s="25">
        <f t="shared" ref="DA104" si="494">DATE(CY$5,3,1)</f>
        <v>47908</v>
      </c>
      <c r="DB104" s="25">
        <f t="shared" ref="DB104" si="495">DATE(CY$5,4,1)</f>
        <v>47939</v>
      </c>
      <c r="DC104" s="25">
        <f t="shared" ref="DC104" si="496">DATE(CY$5,5,1)</f>
        <v>47969</v>
      </c>
      <c r="DD104" s="25">
        <f t="shared" ref="DD104" si="497">DATE(CY$5,6,1)</f>
        <v>48000</v>
      </c>
      <c r="DE104" s="25">
        <f t="shared" ref="DE104" si="498">DATE(CY$5,7,1)</f>
        <v>48030</v>
      </c>
      <c r="DF104" s="25">
        <f t="shared" ref="DF104" si="499">DATE(CY$5,8,1)</f>
        <v>48061</v>
      </c>
      <c r="DG104" s="25">
        <f t="shared" ref="DG104" si="500">DATE(CY$5,9,1)</f>
        <v>48092</v>
      </c>
      <c r="DH104" s="25">
        <f t="shared" ref="DH104" si="501">DATE(CY$5,10,1)</f>
        <v>48122</v>
      </c>
      <c r="DI104" s="25">
        <f t="shared" ref="DI104" si="502">DATE(CY$5,11,1)</f>
        <v>48153</v>
      </c>
      <c r="DJ104" s="25">
        <f t="shared" ref="DJ104" si="503">DATE(CY$5,12,1)</f>
        <v>48183</v>
      </c>
      <c r="DK104" s="26">
        <f t="shared" ref="DK104" si="504">CY$5</f>
        <v>2031</v>
      </c>
      <c r="DM104" s="25">
        <f t="shared" ref="DM104" si="505">DATE(DM$5,1,1)</f>
        <v>48214</v>
      </c>
      <c r="DN104" s="25">
        <f t="shared" ref="DN104" si="506">DATE(DM$5,2,1)</f>
        <v>48245</v>
      </c>
      <c r="DO104" s="25">
        <f t="shared" ref="DO104" si="507">DATE(DM$5,3,1)</f>
        <v>48274</v>
      </c>
      <c r="DP104" s="25">
        <f t="shared" ref="DP104" si="508">DATE(DM$5,4,1)</f>
        <v>48305</v>
      </c>
      <c r="DQ104" s="25">
        <f t="shared" ref="DQ104" si="509">DATE(DM$5,5,1)</f>
        <v>48335</v>
      </c>
      <c r="DR104" s="25">
        <f t="shared" ref="DR104" si="510">DATE(DM$5,6,1)</f>
        <v>48366</v>
      </c>
      <c r="DS104" s="25">
        <f t="shared" ref="DS104" si="511">DATE(DM$5,7,1)</f>
        <v>48396</v>
      </c>
      <c r="DT104" s="25">
        <f t="shared" ref="DT104" si="512">DATE(DM$5,8,1)</f>
        <v>48427</v>
      </c>
      <c r="DU104" s="25">
        <f t="shared" ref="DU104" si="513">DATE(DM$5,9,1)</f>
        <v>48458</v>
      </c>
      <c r="DV104" s="25">
        <f t="shared" ref="DV104" si="514">DATE(DM$5,10,1)</f>
        <v>48488</v>
      </c>
      <c r="DW104" s="25">
        <f t="shared" ref="DW104" si="515">DATE(DM$5,11,1)</f>
        <v>48519</v>
      </c>
      <c r="DX104" s="25">
        <f t="shared" ref="DX104" si="516">DATE(DM$5,12,1)</f>
        <v>48549</v>
      </c>
      <c r="DY104" s="26">
        <f t="shared" ref="DY104" si="517">DM$5</f>
        <v>2032</v>
      </c>
      <c r="EA104" s="25">
        <f t="shared" ref="EA104" si="518">DATE(EA$5,1,1)</f>
        <v>48580</v>
      </c>
      <c r="EB104" s="25">
        <f t="shared" ref="EB104" si="519">DATE(EA$5,2,1)</f>
        <v>48611</v>
      </c>
      <c r="EC104" s="25">
        <f t="shared" ref="EC104" si="520">DATE(EA$5,3,1)</f>
        <v>48639</v>
      </c>
      <c r="ED104" s="25">
        <f t="shared" ref="ED104" si="521">DATE(EA$5,4,1)</f>
        <v>48670</v>
      </c>
      <c r="EE104" s="25">
        <f t="shared" ref="EE104" si="522">DATE(EA$5,5,1)</f>
        <v>48700</v>
      </c>
      <c r="EF104" s="25">
        <f t="shared" ref="EF104" si="523">DATE(EA$5,6,1)</f>
        <v>48731</v>
      </c>
      <c r="EG104" s="25">
        <f t="shared" ref="EG104" si="524">DATE(EA$5,7,1)</f>
        <v>48761</v>
      </c>
      <c r="EH104" s="25">
        <f t="shared" ref="EH104" si="525">DATE(EA$5,8,1)</f>
        <v>48792</v>
      </c>
      <c r="EI104" s="25">
        <f t="shared" ref="EI104" si="526">DATE(EA$5,9,1)</f>
        <v>48823</v>
      </c>
      <c r="EJ104" s="25">
        <f t="shared" ref="EJ104" si="527">DATE(EA$5,10,1)</f>
        <v>48853</v>
      </c>
      <c r="EK104" s="25">
        <f t="shared" ref="EK104" si="528">DATE(EA$5,11,1)</f>
        <v>48884</v>
      </c>
      <c r="EL104" s="25">
        <f t="shared" ref="EL104" si="529">DATE(EA$5,12,1)</f>
        <v>48914</v>
      </c>
      <c r="EM104" s="26">
        <f t="shared" ref="EM104" si="530">EA$5</f>
        <v>2033</v>
      </c>
    </row>
    <row r="105" spans="3:143" x14ac:dyDescent="0.2">
      <c r="C105" s="19" t="s">
        <v>63</v>
      </c>
      <c r="E105" s="20"/>
      <c r="F105" s="20"/>
      <c r="G105" s="20"/>
      <c r="H105" s="20"/>
      <c r="I105" s="20"/>
      <c r="J105" s="20">
        <v>686</v>
      </c>
      <c r="K105" s="20">
        <v>686</v>
      </c>
      <c r="L105" s="20">
        <v>686</v>
      </c>
      <c r="M105" s="20">
        <v>686</v>
      </c>
      <c r="N105" s="20">
        <v>686</v>
      </c>
      <c r="O105" s="20">
        <v>686</v>
      </c>
      <c r="P105" s="20">
        <v>686</v>
      </c>
      <c r="Q105" s="22">
        <f t="shared" ref="Q105:Q108" si="531">SUM(E105:P105)</f>
        <v>4802</v>
      </c>
      <c r="S105" s="20">
        <v>686</v>
      </c>
      <c r="T105" s="20">
        <v>78</v>
      </c>
      <c r="U105" s="20">
        <v>78</v>
      </c>
      <c r="V105" s="20">
        <v>78</v>
      </c>
      <c r="W105" s="20">
        <v>78</v>
      </c>
      <c r="X105" s="20">
        <v>78</v>
      </c>
      <c r="Y105" s="20">
        <v>78</v>
      </c>
      <c r="Z105" s="20">
        <v>78</v>
      </c>
      <c r="AA105" s="20">
        <v>78</v>
      </c>
      <c r="AB105" s="20">
        <v>78</v>
      </c>
      <c r="AC105" s="20">
        <v>78</v>
      </c>
      <c r="AD105" s="20">
        <v>78</v>
      </c>
      <c r="AE105" s="22">
        <f>SUM(S105:AD105)</f>
        <v>1544</v>
      </c>
      <c r="AG105" s="20">
        <v>78</v>
      </c>
      <c r="AH105" s="20"/>
      <c r="AI105" s="20"/>
      <c r="AJ105" s="20"/>
      <c r="AK105" s="20"/>
      <c r="AL105" s="20"/>
      <c r="AM105" s="20"/>
      <c r="AN105" s="20"/>
      <c r="AO105" s="20"/>
      <c r="AP105" s="20"/>
      <c r="AQ105" s="20"/>
      <c r="AR105" s="20"/>
      <c r="AS105" s="22"/>
      <c r="AU105" s="20"/>
      <c r="AV105" s="20"/>
      <c r="AW105" s="20"/>
      <c r="AX105" s="20"/>
      <c r="AY105" s="20"/>
      <c r="AZ105" s="20"/>
      <c r="BA105" s="20"/>
      <c r="BB105" s="20"/>
      <c r="BC105" s="20"/>
      <c r="BD105" s="20"/>
      <c r="BE105" s="20"/>
      <c r="BF105" s="20"/>
      <c r="BG105" s="22">
        <f t="shared" ref="BG105" si="532">SUM(AU105:BF105)</f>
        <v>0</v>
      </c>
      <c r="BI105" s="20"/>
      <c r="BJ105" s="20"/>
      <c r="BK105" s="20"/>
      <c r="BL105" s="20"/>
      <c r="BM105" s="20"/>
      <c r="BN105" s="20"/>
      <c r="BO105" s="20"/>
      <c r="BP105" s="20"/>
      <c r="BQ105" s="20"/>
      <c r="BR105" s="20"/>
      <c r="BS105" s="20"/>
      <c r="BT105" s="20"/>
      <c r="BU105" s="22">
        <f t="shared" ref="BU105" si="533">SUM(BI105:BT105)</f>
        <v>0</v>
      </c>
      <c r="BW105" s="20"/>
      <c r="BX105" s="20"/>
      <c r="BY105" s="20"/>
      <c r="BZ105" s="20"/>
      <c r="CA105" s="20"/>
      <c r="CB105" s="20"/>
      <c r="CC105" s="20"/>
      <c r="CD105" s="20"/>
      <c r="CE105" s="20"/>
      <c r="CF105" s="20"/>
      <c r="CG105" s="20"/>
      <c r="CH105" s="20"/>
      <c r="CI105" s="22">
        <f t="shared" ref="CI105" si="534">SUM(BW105:CH105)</f>
        <v>0</v>
      </c>
      <c r="CK105" s="20"/>
      <c r="CL105" s="20"/>
      <c r="CM105" s="20"/>
      <c r="CN105" s="20"/>
      <c r="CO105" s="20"/>
      <c r="CP105" s="20"/>
      <c r="CQ105" s="20"/>
      <c r="CR105" s="20"/>
      <c r="CS105" s="20"/>
      <c r="CT105" s="20"/>
      <c r="CU105" s="20"/>
      <c r="CV105" s="20"/>
      <c r="CW105" s="22">
        <f t="shared" ref="CW105" si="535">SUM(CK105:CV105)</f>
        <v>0</v>
      </c>
      <c r="CY105" s="20"/>
      <c r="CZ105" s="20"/>
      <c r="DA105" s="20"/>
      <c r="DB105" s="20"/>
      <c r="DC105" s="20"/>
      <c r="DD105" s="20"/>
      <c r="DE105" s="20"/>
      <c r="DF105" s="20"/>
      <c r="DG105" s="20"/>
      <c r="DH105" s="20"/>
      <c r="DI105" s="20"/>
      <c r="DJ105" s="20"/>
      <c r="DK105" s="22">
        <f t="shared" ref="DK105" si="536">SUM(CY105:DJ105)</f>
        <v>0</v>
      </c>
      <c r="DM105" s="20"/>
      <c r="DN105" s="20"/>
      <c r="DO105" s="20"/>
      <c r="DP105" s="20"/>
      <c r="DQ105" s="20"/>
      <c r="DR105" s="20"/>
      <c r="DS105" s="20"/>
      <c r="DT105" s="20"/>
      <c r="DU105" s="20"/>
      <c r="DV105" s="20"/>
      <c r="DW105" s="20"/>
      <c r="DX105" s="20"/>
      <c r="DY105" s="22">
        <f t="shared" ref="DY105" si="537">SUM(DM105:DX105)</f>
        <v>0</v>
      </c>
      <c r="EA105" s="20"/>
      <c r="EB105" s="20"/>
      <c r="EC105" s="20"/>
      <c r="ED105" s="20"/>
      <c r="EE105" s="20"/>
      <c r="EF105" s="20"/>
      <c r="EG105" s="20"/>
      <c r="EH105" s="20"/>
      <c r="EI105" s="20"/>
      <c r="EJ105" s="20"/>
      <c r="EK105" s="20"/>
      <c r="EL105" s="20"/>
      <c r="EM105" s="22">
        <f t="shared" ref="EM105" si="538">SUM(EA105:EL105)</f>
        <v>0</v>
      </c>
    </row>
    <row r="106" spans="3:143" x14ac:dyDescent="0.2">
      <c r="C106" s="19" t="s">
        <v>64</v>
      </c>
      <c r="E106" s="20"/>
      <c r="F106" s="20"/>
      <c r="G106" s="20"/>
      <c r="H106" s="20"/>
      <c r="I106" s="20"/>
      <c r="J106" s="20">
        <v>200</v>
      </c>
      <c r="K106" s="20">
        <v>200</v>
      </c>
      <c r="L106" s="20">
        <v>200</v>
      </c>
      <c r="M106" s="20">
        <v>200</v>
      </c>
      <c r="N106" s="20">
        <v>200</v>
      </c>
      <c r="O106" s="20">
        <v>200</v>
      </c>
      <c r="P106" s="20">
        <v>200</v>
      </c>
      <c r="Q106" s="22">
        <f t="shared" si="531"/>
        <v>1400</v>
      </c>
      <c r="S106" s="20">
        <v>200</v>
      </c>
      <c r="T106" s="20">
        <v>200</v>
      </c>
      <c r="U106" s="20">
        <v>200</v>
      </c>
      <c r="V106" s="20">
        <v>200</v>
      </c>
      <c r="W106" s="20">
        <v>200</v>
      </c>
      <c r="X106" s="20">
        <v>200</v>
      </c>
      <c r="Y106" s="20">
        <v>200</v>
      </c>
      <c r="Z106" s="20">
        <v>200</v>
      </c>
      <c r="AA106" s="20">
        <v>200</v>
      </c>
      <c r="AB106" s="20">
        <v>200</v>
      </c>
      <c r="AC106" s="20">
        <v>200</v>
      </c>
      <c r="AD106" s="20">
        <v>200</v>
      </c>
      <c r="AE106" s="22">
        <f t="shared" ref="AE106:AE114" si="539">SUM(S106:AD106)</f>
        <v>2400</v>
      </c>
      <c r="AG106" s="20">
        <v>200</v>
      </c>
      <c r="AH106" s="20"/>
      <c r="AI106" s="20"/>
      <c r="AJ106" s="20"/>
      <c r="AK106" s="20"/>
      <c r="AL106" s="20"/>
      <c r="AM106" s="20"/>
      <c r="AN106" s="20"/>
      <c r="AO106" s="20"/>
      <c r="AP106" s="20"/>
      <c r="AQ106" s="20"/>
      <c r="AR106" s="20"/>
      <c r="AS106" s="22"/>
      <c r="AU106" s="20"/>
      <c r="AV106" s="20"/>
      <c r="AW106" s="20"/>
      <c r="AX106" s="20"/>
      <c r="AY106" s="20"/>
      <c r="AZ106" s="20"/>
      <c r="BA106" s="20"/>
      <c r="BB106" s="20"/>
      <c r="BC106" s="20"/>
      <c r="BD106" s="20"/>
      <c r="BE106" s="20"/>
      <c r="BF106" s="20"/>
      <c r="BG106" s="22">
        <f t="shared" ref="BG106:BG114" si="540">SUM(AU106:BF106)</f>
        <v>0</v>
      </c>
      <c r="BI106" s="20"/>
      <c r="BJ106" s="20"/>
      <c r="BK106" s="20"/>
      <c r="BL106" s="20"/>
      <c r="BM106" s="20"/>
      <c r="BN106" s="20"/>
      <c r="BO106" s="20"/>
      <c r="BP106" s="20"/>
      <c r="BQ106" s="20"/>
      <c r="BR106" s="20"/>
      <c r="BS106" s="20"/>
      <c r="BT106" s="20"/>
      <c r="BU106" s="22">
        <f t="shared" ref="BU106:BU114" si="541">SUM(BI106:BT106)</f>
        <v>0</v>
      </c>
      <c r="BW106" s="20"/>
      <c r="BX106" s="20"/>
      <c r="BY106" s="20"/>
      <c r="BZ106" s="20"/>
      <c r="CA106" s="20"/>
      <c r="CB106" s="20"/>
      <c r="CC106" s="20"/>
      <c r="CD106" s="20"/>
      <c r="CE106" s="20"/>
      <c r="CF106" s="20"/>
      <c r="CG106" s="20"/>
      <c r="CH106" s="20"/>
      <c r="CI106" s="22">
        <f t="shared" ref="CI106:CI114" si="542">SUM(BW106:CH106)</f>
        <v>0</v>
      </c>
      <c r="CK106" s="20"/>
      <c r="CL106" s="20"/>
      <c r="CM106" s="20"/>
      <c r="CN106" s="20"/>
      <c r="CO106" s="20"/>
      <c r="CP106" s="20"/>
      <c r="CQ106" s="20"/>
      <c r="CR106" s="20"/>
      <c r="CS106" s="20"/>
      <c r="CT106" s="20"/>
      <c r="CU106" s="20"/>
      <c r="CV106" s="20"/>
      <c r="CW106" s="22">
        <f t="shared" ref="CW106:CW114" si="543">SUM(CK106:CV106)</f>
        <v>0</v>
      </c>
      <c r="CY106" s="20"/>
      <c r="CZ106" s="20"/>
      <c r="DA106" s="20"/>
      <c r="DB106" s="20"/>
      <c r="DC106" s="20"/>
      <c r="DD106" s="20"/>
      <c r="DE106" s="20"/>
      <c r="DF106" s="20"/>
      <c r="DG106" s="20"/>
      <c r="DH106" s="20"/>
      <c r="DI106" s="20"/>
      <c r="DJ106" s="20"/>
      <c r="DK106" s="22">
        <f t="shared" ref="DK106:DK114" si="544">SUM(CY106:DJ106)</f>
        <v>0</v>
      </c>
      <c r="DM106" s="20"/>
      <c r="DN106" s="20"/>
      <c r="DO106" s="20"/>
      <c r="DP106" s="20"/>
      <c r="DQ106" s="20"/>
      <c r="DR106" s="20"/>
      <c r="DS106" s="20"/>
      <c r="DT106" s="20"/>
      <c r="DU106" s="20"/>
      <c r="DV106" s="20"/>
      <c r="DW106" s="20"/>
      <c r="DX106" s="20"/>
      <c r="DY106" s="22">
        <f t="shared" ref="DY106:DY114" si="545">SUM(DM106:DX106)</f>
        <v>0</v>
      </c>
      <c r="EA106" s="20"/>
      <c r="EB106" s="20"/>
      <c r="EC106" s="20"/>
      <c r="ED106" s="20"/>
      <c r="EE106" s="20"/>
      <c r="EF106" s="20"/>
      <c r="EG106" s="20"/>
      <c r="EH106" s="20"/>
      <c r="EI106" s="20"/>
      <c r="EJ106" s="20"/>
      <c r="EK106" s="20"/>
      <c r="EL106" s="20"/>
      <c r="EM106" s="22">
        <f t="shared" ref="EM106:EM114" si="546">SUM(EA106:EL106)</f>
        <v>0</v>
      </c>
    </row>
    <row r="107" spans="3:143" x14ac:dyDescent="0.2">
      <c r="C107" s="19" t="s">
        <v>65</v>
      </c>
      <c r="E107" s="20"/>
      <c r="F107" s="20"/>
      <c r="G107" s="20"/>
      <c r="H107" s="20"/>
      <c r="I107" s="20"/>
      <c r="J107" s="20">
        <v>0</v>
      </c>
      <c r="K107" s="20">
        <v>0</v>
      </c>
      <c r="L107" s="20">
        <v>0</v>
      </c>
      <c r="M107" s="20">
        <v>0</v>
      </c>
      <c r="N107" s="20">
        <v>0</v>
      </c>
      <c r="O107" s="20">
        <v>0</v>
      </c>
      <c r="P107" s="20">
        <v>0</v>
      </c>
      <c r="Q107" s="22">
        <f t="shared" si="531"/>
        <v>0</v>
      </c>
      <c r="S107" s="20">
        <v>0</v>
      </c>
      <c r="T107" s="20">
        <v>0</v>
      </c>
      <c r="U107" s="20">
        <v>0</v>
      </c>
      <c r="V107" s="20">
        <v>0</v>
      </c>
      <c r="W107" s="20">
        <v>0</v>
      </c>
      <c r="X107" s="20">
        <v>0</v>
      </c>
      <c r="Y107" s="20">
        <v>0</v>
      </c>
      <c r="Z107" s="20">
        <v>0</v>
      </c>
      <c r="AA107" s="20">
        <v>0</v>
      </c>
      <c r="AB107" s="20">
        <v>0</v>
      </c>
      <c r="AC107" s="20">
        <v>0</v>
      </c>
      <c r="AD107" s="20">
        <v>0</v>
      </c>
      <c r="AE107" s="22">
        <f t="shared" si="539"/>
        <v>0</v>
      </c>
      <c r="AG107" s="20">
        <v>0</v>
      </c>
      <c r="AH107" s="20"/>
      <c r="AI107" s="20"/>
      <c r="AJ107" s="20"/>
      <c r="AK107" s="20"/>
      <c r="AL107" s="20"/>
      <c r="AM107" s="20"/>
      <c r="AN107" s="20"/>
      <c r="AO107" s="20"/>
      <c r="AP107" s="20"/>
      <c r="AQ107" s="20"/>
      <c r="AR107" s="20"/>
      <c r="AS107" s="22"/>
      <c r="AU107" s="20"/>
      <c r="AV107" s="20"/>
      <c r="AW107" s="20"/>
      <c r="AX107" s="20"/>
      <c r="AY107" s="20"/>
      <c r="AZ107" s="20"/>
      <c r="BA107" s="20"/>
      <c r="BB107" s="20"/>
      <c r="BC107" s="20"/>
      <c r="BD107" s="20"/>
      <c r="BE107" s="20"/>
      <c r="BF107" s="20"/>
      <c r="BG107" s="22">
        <f t="shared" si="540"/>
        <v>0</v>
      </c>
      <c r="BI107" s="20"/>
      <c r="BJ107" s="20"/>
      <c r="BK107" s="20"/>
      <c r="BL107" s="20"/>
      <c r="BM107" s="20"/>
      <c r="BN107" s="20"/>
      <c r="BO107" s="20"/>
      <c r="BP107" s="20"/>
      <c r="BQ107" s="20"/>
      <c r="BR107" s="20"/>
      <c r="BS107" s="20"/>
      <c r="BT107" s="20"/>
      <c r="BU107" s="22">
        <f t="shared" si="541"/>
        <v>0</v>
      </c>
      <c r="BW107" s="20"/>
      <c r="BX107" s="20"/>
      <c r="BY107" s="20"/>
      <c r="BZ107" s="20"/>
      <c r="CA107" s="20"/>
      <c r="CB107" s="20"/>
      <c r="CC107" s="20"/>
      <c r="CD107" s="20"/>
      <c r="CE107" s="20"/>
      <c r="CF107" s="20"/>
      <c r="CG107" s="20"/>
      <c r="CH107" s="20"/>
      <c r="CI107" s="22">
        <f t="shared" si="542"/>
        <v>0</v>
      </c>
      <c r="CK107" s="20"/>
      <c r="CL107" s="20"/>
      <c r="CM107" s="20"/>
      <c r="CN107" s="20"/>
      <c r="CO107" s="20"/>
      <c r="CP107" s="20"/>
      <c r="CQ107" s="20"/>
      <c r="CR107" s="20"/>
      <c r="CS107" s="20"/>
      <c r="CT107" s="20"/>
      <c r="CU107" s="20"/>
      <c r="CV107" s="20"/>
      <c r="CW107" s="22">
        <f t="shared" si="543"/>
        <v>0</v>
      </c>
      <c r="CY107" s="20"/>
      <c r="CZ107" s="20"/>
      <c r="DA107" s="20"/>
      <c r="DB107" s="20"/>
      <c r="DC107" s="20"/>
      <c r="DD107" s="20"/>
      <c r="DE107" s="20"/>
      <c r="DF107" s="20"/>
      <c r="DG107" s="20"/>
      <c r="DH107" s="20"/>
      <c r="DI107" s="20"/>
      <c r="DJ107" s="20"/>
      <c r="DK107" s="22">
        <f t="shared" si="544"/>
        <v>0</v>
      </c>
      <c r="DM107" s="20"/>
      <c r="DN107" s="20"/>
      <c r="DO107" s="20"/>
      <c r="DP107" s="20"/>
      <c r="DQ107" s="20"/>
      <c r="DR107" s="20"/>
      <c r="DS107" s="20"/>
      <c r="DT107" s="20"/>
      <c r="DU107" s="20"/>
      <c r="DV107" s="20"/>
      <c r="DW107" s="20"/>
      <c r="DX107" s="20"/>
      <c r="DY107" s="22">
        <f t="shared" si="545"/>
        <v>0</v>
      </c>
      <c r="EA107" s="20"/>
      <c r="EB107" s="20"/>
      <c r="EC107" s="20"/>
      <c r="ED107" s="20"/>
      <c r="EE107" s="20"/>
      <c r="EF107" s="20"/>
      <c r="EG107" s="20"/>
      <c r="EH107" s="20"/>
      <c r="EI107" s="20"/>
      <c r="EJ107" s="20"/>
      <c r="EK107" s="20"/>
      <c r="EL107" s="20"/>
      <c r="EM107" s="22">
        <f t="shared" si="546"/>
        <v>0</v>
      </c>
    </row>
    <row r="108" spans="3:143" x14ac:dyDescent="0.2">
      <c r="C108" s="19" t="s">
        <v>62</v>
      </c>
      <c r="E108" s="20"/>
      <c r="F108" s="20"/>
      <c r="G108" s="20"/>
      <c r="H108" s="20"/>
      <c r="I108" s="20"/>
      <c r="J108" s="20">
        <v>300</v>
      </c>
      <c r="K108" s="20">
        <v>300</v>
      </c>
      <c r="L108" s="20">
        <v>300</v>
      </c>
      <c r="M108" s="20">
        <v>300</v>
      </c>
      <c r="N108" s="20">
        <v>300</v>
      </c>
      <c r="O108" s="20">
        <v>300</v>
      </c>
      <c r="P108" s="20">
        <v>300</v>
      </c>
      <c r="Q108" s="22">
        <f t="shared" si="531"/>
        <v>2100</v>
      </c>
      <c r="S108" s="20">
        <v>499</v>
      </c>
      <c r="T108" s="20">
        <v>127</v>
      </c>
      <c r="U108" s="20">
        <v>727</v>
      </c>
      <c r="V108" s="20">
        <v>727</v>
      </c>
      <c r="W108" s="20">
        <v>727</v>
      </c>
      <c r="X108" s="20">
        <v>727</v>
      </c>
      <c r="Y108" s="20">
        <v>927</v>
      </c>
      <c r="Z108" s="20">
        <v>927</v>
      </c>
      <c r="AA108" s="20">
        <v>927</v>
      </c>
      <c r="AB108" s="20">
        <v>927</v>
      </c>
      <c r="AC108" s="20">
        <v>927</v>
      </c>
      <c r="AD108" s="20">
        <v>927</v>
      </c>
      <c r="AE108" s="22">
        <f t="shared" si="539"/>
        <v>9096</v>
      </c>
      <c r="AG108" s="20">
        <v>652</v>
      </c>
      <c r="AH108" s="20"/>
      <c r="AI108" s="20"/>
      <c r="AJ108" s="20"/>
      <c r="AK108" s="20"/>
      <c r="AL108" s="20"/>
      <c r="AM108" s="20"/>
      <c r="AN108" s="20"/>
      <c r="AO108" s="20"/>
      <c r="AP108" s="20"/>
      <c r="AQ108" s="20"/>
      <c r="AR108" s="20"/>
      <c r="AS108" s="22"/>
      <c r="AU108" s="20"/>
      <c r="AV108" s="20"/>
      <c r="AW108" s="20"/>
      <c r="AX108" s="20"/>
      <c r="AY108" s="20"/>
      <c r="AZ108" s="20"/>
      <c r="BA108" s="20"/>
      <c r="BB108" s="20"/>
      <c r="BC108" s="20"/>
      <c r="BD108" s="20"/>
      <c r="BE108" s="20"/>
      <c r="BF108" s="20"/>
      <c r="BG108" s="22">
        <f t="shared" si="540"/>
        <v>0</v>
      </c>
      <c r="BI108" s="20"/>
      <c r="BJ108" s="20"/>
      <c r="BK108" s="20"/>
      <c r="BL108" s="20"/>
      <c r="BM108" s="20"/>
      <c r="BN108" s="20"/>
      <c r="BO108" s="20"/>
      <c r="BP108" s="20"/>
      <c r="BQ108" s="20"/>
      <c r="BR108" s="20"/>
      <c r="BS108" s="20"/>
      <c r="BT108" s="20"/>
      <c r="BU108" s="22">
        <f t="shared" si="541"/>
        <v>0</v>
      </c>
      <c r="BW108" s="20"/>
      <c r="BX108" s="20"/>
      <c r="BY108" s="20"/>
      <c r="BZ108" s="20"/>
      <c r="CA108" s="20"/>
      <c r="CB108" s="20"/>
      <c r="CC108" s="20"/>
      <c r="CD108" s="20"/>
      <c r="CE108" s="20"/>
      <c r="CF108" s="20"/>
      <c r="CG108" s="20"/>
      <c r="CH108" s="20"/>
      <c r="CI108" s="22">
        <f t="shared" si="542"/>
        <v>0</v>
      </c>
      <c r="CK108" s="20"/>
      <c r="CL108" s="20"/>
      <c r="CM108" s="20"/>
      <c r="CN108" s="20"/>
      <c r="CO108" s="20"/>
      <c r="CP108" s="20"/>
      <c r="CQ108" s="20"/>
      <c r="CR108" s="20"/>
      <c r="CS108" s="20"/>
      <c r="CT108" s="20"/>
      <c r="CU108" s="20"/>
      <c r="CV108" s="20"/>
      <c r="CW108" s="22">
        <f t="shared" si="543"/>
        <v>0</v>
      </c>
      <c r="CY108" s="20"/>
      <c r="CZ108" s="20"/>
      <c r="DA108" s="20"/>
      <c r="DB108" s="20"/>
      <c r="DC108" s="20"/>
      <c r="DD108" s="20"/>
      <c r="DE108" s="20"/>
      <c r="DF108" s="20"/>
      <c r="DG108" s="20"/>
      <c r="DH108" s="20"/>
      <c r="DI108" s="20"/>
      <c r="DJ108" s="20"/>
      <c r="DK108" s="22">
        <f t="shared" si="544"/>
        <v>0</v>
      </c>
      <c r="DM108" s="20"/>
      <c r="DN108" s="20"/>
      <c r="DO108" s="20"/>
      <c r="DP108" s="20"/>
      <c r="DQ108" s="20"/>
      <c r="DR108" s="20"/>
      <c r="DS108" s="20"/>
      <c r="DT108" s="20"/>
      <c r="DU108" s="20"/>
      <c r="DV108" s="20"/>
      <c r="DW108" s="20"/>
      <c r="DX108" s="20"/>
      <c r="DY108" s="22">
        <f t="shared" si="545"/>
        <v>0</v>
      </c>
      <c r="EA108" s="20"/>
      <c r="EB108" s="20"/>
      <c r="EC108" s="20"/>
      <c r="ED108" s="20"/>
      <c r="EE108" s="20"/>
      <c r="EF108" s="20"/>
      <c r="EG108" s="20"/>
      <c r="EH108" s="20"/>
      <c r="EI108" s="20"/>
      <c r="EJ108" s="20"/>
      <c r="EK108" s="20"/>
      <c r="EL108" s="20"/>
      <c r="EM108" s="22">
        <f t="shared" si="546"/>
        <v>0</v>
      </c>
    </row>
    <row r="109" spans="3:143" hidden="1" x14ac:dyDescent="0.2">
      <c r="C109" s="19" t="s">
        <v>66</v>
      </c>
      <c r="E109" s="20"/>
      <c r="F109" s="20"/>
      <c r="G109" s="20"/>
      <c r="H109" s="20"/>
      <c r="I109" s="20"/>
      <c r="J109" s="20"/>
      <c r="K109" s="20"/>
      <c r="L109" s="20"/>
      <c r="M109" s="20"/>
      <c r="N109" s="20"/>
      <c r="O109" s="20"/>
      <c r="P109" s="20"/>
      <c r="Q109" s="22">
        <f t="shared" ref="Q109:Q114" si="547">SUM(E109:P109)</f>
        <v>0</v>
      </c>
      <c r="S109" s="20"/>
      <c r="T109" s="20">
        <v>127</v>
      </c>
      <c r="U109" s="20"/>
      <c r="V109" s="20"/>
      <c r="W109" s="20"/>
      <c r="X109" s="20"/>
      <c r="Y109" s="20"/>
      <c r="Z109" s="20"/>
      <c r="AA109" s="20"/>
      <c r="AB109" s="20"/>
      <c r="AC109" s="20"/>
      <c r="AD109" s="20"/>
      <c r="AE109" s="22">
        <f t="shared" si="539"/>
        <v>127</v>
      </c>
      <c r="AG109" s="20"/>
      <c r="AH109" s="20"/>
      <c r="AI109" s="20"/>
      <c r="AJ109" s="20"/>
      <c r="AK109" s="20"/>
      <c r="AL109" s="20"/>
      <c r="AM109" s="20"/>
      <c r="AN109" s="20"/>
      <c r="AO109" s="20"/>
      <c r="AP109" s="20"/>
      <c r="AQ109" s="20"/>
      <c r="AR109" s="20"/>
      <c r="AS109" s="22">
        <f t="shared" ref="AS109:AS114" si="548">SUM(AG109:AR109)</f>
        <v>0</v>
      </c>
      <c r="AU109" s="20"/>
      <c r="AV109" s="20"/>
      <c r="AW109" s="20"/>
      <c r="AX109" s="20"/>
      <c r="AY109" s="20"/>
      <c r="AZ109" s="20"/>
      <c r="BA109" s="20"/>
      <c r="BB109" s="20"/>
      <c r="BC109" s="20"/>
      <c r="BD109" s="20"/>
      <c r="BE109" s="20"/>
      <c r="BF109" s="20"/>
      <c r="BG109" s="22">
        <f t="shared" si="540"/>
        <v>0</v>
      </c>
      <c r="BI109" s="20"/>
      <c r="BJ109" s="20"/>
      <c r="BK109" s="20"/>
      <c r="BL109" s="20"/>
      <c r="BM109" s="20"/>
      <c r="BN109" s="20"/>
      <c r="BO109" s="20"/>
      <c r="BP109" s="20"/>
      <c r="BQ109" s="20"/>
      <c r="BR109" s="20"/>
      <c r="BS109" s="20"/>
      <c r="BT109" s="20"/>
      <c r="BU109" s="22">
        <f t="shared" si="541"/>
        <v>0</v>
      </c>
      <c r="BW109" s="20"/>
      <c r="BX109" s="20"/>
      <c r="BY109" s="20"/>
      <c r="BZ109" s="20"/>
      <c r="CA109" s="20"/>
      <c r="CB109" s="20"/>
      <c r="CC109" s="20"/>
      <c r="CD109" s="20"/>
      <c r="CE109" s="20"/>
      <c r="CF109" s="20"/>
      <c r="CG109" s="20"/>
      <c r="CH109" s="20"/>
      <c r="CI109" s="22">
        <f t="shared" si="542"/>
        <v>0</v>
      </c>
      <c r="CK109" s="20"/>
      <c r="CL109" s="20"/>
      <c r="CM109" s="20"/>
      <c r="CN109" s="20"/>
      <c r="CO109" s="20"/>
      <c r="CP109" s="20"/>
      <c r="CQ109" s="20"/>
      <c r="CR109" s="20"/>
      <c r="CS109" s="20"/>
      <c r="CT109" s="20"/>
      <c r="CU109" s="20"/>
      <c r="CV109" s="20"/>
      <c r="CW109" s="22">
        <f t="shared" si="543"/>
        <v>0</v>
      </c>
      <c r="CY109" s="20"/>
      <c r="CZ109" s="20"/>
      <c r="DA109" s="20"/>
      <c r="DB109" s="20"/>
      <c r="DC109" s="20"/>
      <c r="DD109" s="20"/>
      <c r="DE109" s="20"/>
      <c r="DF109" s="20"/>
      <c r="DG109" s="20"/>
      <c r="DH109" s="20"/>
      <c r="DI109" s="20"/>
      <c r="DJ109" s="20"/>
      <c r="DK109" s="22">
        <f t="shared" si="544"/>
        <v>0</v>
      </c>
      <c r="DM109" s="20"/>
      <c r="DN109" s="20"/>
      <c r="DO109" s="20"/>
      <c r="DP109" s="20"/>
      <c r="DQ109" s="20"/>
      <c r="DR109" s="20"/>
      <c r="DS109" s="20"/>
      <c r="DT109" s="20"/>
      <c r="DU109" s="20"/>
      <c r="DV109" s="20"/>
      <c r="DW109" s="20"/>
      <c r="DX109" s="20"/>
      <c r="DY109" s="22">
        <f t="shared" si="545"/>
        <v>0</v>
      </c>
      <c r="EA109" s="20"/>
      <c r="EB109" s="20"/>
      <c r="EC109" s="20"/>
      <c r="ED109" s="20"/>
      <c r="EE109" s="20"/>
      <c r="EF109" s="20"/>
      <c r="EG109" s="20"/>
      <c r="EH109" s="20"/>
      <c r="EI109" s="20"/>
      <c r="EJ109" s="20"/>
      <c r="EK109" s="20"/>
      <c r="EL109" s="20"/>
      <c r="EM109" s="22">
        <f t="shared" si="546"/>
        <v>0</v>
      </c>
    </row>
    <row r="110" spans="3:143" hidden="1" x14ac:dyDescent="0.2">
      <c r="C110" s="19" t="s">
        <v>66</v>
      </c>
      <c r="E110" s="20"/>
      <c r="F110" s="20"/>
      <c r="G110" s="20"/>
      <c r="H110" s="20"/>
      <c r="I110" s="20"/>
      <c r="J110" s="20"/>
      <c r="K110" s="20"/>
      <c r="L110" s="20"/>
      <c r="M110" s="20"/>
      <c r="N110" s="20"/>
      <c r="O110" s="20"/>
      <c r="P110" s="20"/>
      <c r="Q110" s="22">
        <f t="shared" si="547"/>
        <v>0</v>
      </c>
      <c r="S110" s="20"/>
      <c r="T110" s="20">
        <v>127</v>
      </c>
      <c r="U110" s="20"/>
      <c r="V110" s="20"/>
      <c r="W110" s="20"/>
      <c r="X110" s="20"/>
      <c r="Y110" s="20"/>
      <c r="Z110" s="20"/>
      <c r="AA110" s="20"/>
      <c r="AB110" s="20"/>
      <c r="AC110" s="20"/>
      <c r="AD110" s="20"/>
      <c r="AE110" s="22">
        <f t="shared" si="539"/>
        <v>127</v>
      </c>
      <c r="AG110" s="20"/>
      <c r="AH110" s="20"/>
      <c r="AI110" s="20"/>
      <c r="AJ110" s="20"/>
      <c r="AK110" s="20"/>
      <c r="AL110" s="20"/>
      <c r="AM110" s="20"/>
      <c r="AN110" s="20"/>
      <c r="AO110" s="20"/>
      <c r="AP110" s="20"/>
      <c r="AQ110" s="20"/>
      <c r="AR110" s="20"/>
      <c r="AS110" s="22">
        <f t="shared" si="548"/>
        <v>0</v>
      </c>
      <c r="AU110" s="20"/>
      <c r="AV110" s="20"/>
      <c r="AW110" s="20"/>
      <c r="AX110" s="20"/>
      <c r="AY110" s="20"/>
      <c r="AZ110" s="20"/>
      <c r="BA110" s="20"/>
      <c r="BB110" s="20"/>
      <c r="BC110" s="20"/>
      <c r="BD110" s="20"/>
      <c r="BE110" s="20"/>
      <c r="BF110" s="20"/>
      <c r="BG110" s="22">
        <f t="shared" si="540"/>
        <v>0</v>
      </c>
      <c r="BI110" s="20"/>
      <c r="BJ110" s="20"/>
      <c r="BK110" s="20"/>
      <c r="BL110" s="20"/>
      <c r="BM110" s="20"/>
      <c r="BN110" s="20"/>
      <c r="BO110" s="20"/>
      <c r="BP110" s="20"/>
      <c r="BQ110" s="20"/>
      <c r="BR110" s="20"/>
      <c r="BS110" s="20"/>
      <c r="BT110" s="20"/>
      <c r="BU110" s="22">
        <f t="shared" si="541"/>
        <v>0</v>
      </c>
      <c r="BW110" s="20"/>
      <c r="BX110" s="20"/>
      <c r="BY110" s="20"/>
      <c r="BZ110" s="20"/>
      <c r="CA110" s="20"/>
      <c r="CB110" s="20"/>
      <c r="CC110" s="20"/>
      <c r="CD110" s="20"/>
      <c r="CE110" s="20"/>
      <c r="CF110" s="20"/>
      <c r="CG110" s="20"/>
      <c r="CH110" s="20"/>
      <c r="CI110" s="22">
        <f t="shared" si="542"/>
        <v>0</v>
      </c>
      <c r="CK110" s="20"/>
      <c r="CL110" s="20"/>
      <c r="CM110" s="20"/>
      <c r="CN110" s="20"/>
      <c r="CO110" s="20"/>
      <c r="CP110" s="20"/>
      <c r="CQ110" s="20"/>
      <c r="CR110" s="20"/>
      <c r="CS110" s="20"/>
      <c r="CT110" s="20"/>
      <c r="CU110" s="20"/>
      <c r="CV110" s="20"/>
      <c r="CW110" s="22">
        <f t="shared" si="543"/>
        <v>0</v>
      </c>
      <c r="CY110" s="20"/>
      <c r="CZ110" s="20"/>
      <c r="DA110" s="20"/>
      <c r="DB110" s="20"/>
      <c r="DC110" s="20"/>
      <c r="DD110" s="20"/>
      <c r="DE110" s="20"/>
      <c r="DF110" s="20"/>
      <c r="DG110" s="20"/>
      <c r="DH110" s="20"/>
      <c r="DI110" s="20"/>
      <c r="DJ110" s="20"/>
      <c r="DK110" s="22">
        <f t="shared" si="544"/>
        <v>0</v>
      </c>
      <c r="DM110" s="20"/>
      <c r="DN110" s="20"/>
      <c r="DO110" s="20"/>
      <c r="DP110" s="20"/>
      <c r="DQ110" s="20"/>
      <c r="DR110" s="20"/>
      <c r="DS110" s="20"/>
      <c r="DT110" s="20"/>
      <c r="DU110" s="20"/>
      <c r="DV110" s="20"/>
      <c r="DW110" s="20"/>
      <c r="DX110" s="20"/>
      <c r="DY110" s="22">
        <f t="shared" si="545"/>
        <v>0</v>
      </c>
      <c r="EA110" s="20"/>
      <c r="EB110" s="20"/>
      <c r="EC110" s="20"/>
      <c r="ED110" s="20"/>
      <c r="EE110" s="20"/>
      <c r="EF110" s="20"/>
      <c r="EG110" s="20"/>
      <c r="EH110" s="20"/>
      <c r="EI110" s="20"/>
      <c r="EJ110" s="20"/>
      <c r="EK110" s="20"/>
      <c r="EL110" s="20"/>
      <c r="EM110" s="22">
        <f t="shared" si="546"/>
        <v>0</v>
      </c>
    </row>
    <row r="111" spans="3:143" hidden="1" x14ac:dyDescent="0.2">
      <c r="C111" s="19" t="s">
        <v>66</v>
      </c>
      <c r="E111" s="20"/>
      <c r="F111" s="20"/>
      <c r="G111" s="20"/>
      <c r="H111" s="20"/>
      <c r="I111" s="20"/>
      <c r="J111" s="20"/>
      <c r="K111" s="20"/>
      <c r="L111" s="20"/>
      <c r="M111" s="20"/>
      <c r="N111" s="20"/>
      <c r="O111" s="20"/>
      <c r="P111" s="20"/>
      <c r="Q111" s="22">
        <f t="shared" si="547"/>
        <v>0</v>
      </c>
      <c r="S111" s="20"/>
      <c r="T111" s="20">
        <v>127</v>
      </c>
      <c r="U111" s="20"/>
      <c r="V111" s="20"/>
      <c r="W111" s="20"/>
      <c r="X111" s="20"/>
      <c r="Y111" s="20"/>
      <c r="Z111" s="20"/>
      <c r="AA111" s="20"/>
      <c r="AB111" s="20"/>
      <c r="AC111" s="20"/>
      <c r="AD111" s="20"/>
      <c r="AE111" s="22">
        <f t="shared" si="539"/>
        <v>127</v>
      </c>
      <c r="AG111" s="20"/>
      <c r="AH111" s="20"/>
      <c r="AI111" s="20"/>
      <c r="AJ111" s="20"/>
      <c r="AK111" s="20"/>
      <c r="AL111" s="20"/>
      <c r="AM111" s="20"/>
      <c r="AN111" s="20"/>
      <c r="AO111" s="20"/>
      <c r="AP111" s="20"/>
      <c r="AQ111" s="20"/>
      <c r="AR111" s="20"/>
      <c r="AS111" s="22">
        <f t="shared" si="548"/>
        <v>0</v>
      </c>
      <c r="AU111" s="20"/>
      <c r="AV111" s="20"/>
      <c r="AW111" s="20"/>
      <c r="AX111" s="20"/>
      <c r="AY111" s="20"/>
      <c r="AZ111" s="20"/>
      <c r="BA111" s="20"/>
      <c r="BB111" s="20"/>
      <c r="BC111" s="20"/>
      <c r="BD111" s="20"/>
      <c r="BE111" s="20"/>
      <c r="BF111" s="20"/>
      <c r="BG111" s="22">
        <f t="shared" si="540"/>
        <v>0</v>
      </c>
      <c r="BI111" s="20"/>
      <c r="BJ111" s="20"/>
      <c r="BK111" s="20"/>
      <c r="BL111" s="20"/>
      <c r="BM111" s="20"/>
      <c r="BN111" s="20"/>
      <c r="BO111" s="20"/>
      <c r="BP111" s="20"/>
      <c r="BQ111" s="20"/>
      <c r="BR111" s="20"/>
      <c r="BS111" s="20"/>
      <c r="BT111" s="20"/>
      <c r="BU111" s="22">
        <f t="shared" si="541"/>
        <v>0</v>
      </c>
      <c r="BW111" s="20"/>
      <c r="BX111" s="20"/>
      <c r="BY111" s="20"/>
      <c r="BZ111" s="20"/>
      <c r="CA111" s="20"/>
      <c r="CB111" s="20"/>
      <c r="CC111" s="20"/>
      <c r="CD111" s="20"/>
      <c r="CE111" s="20"/>
      <c r="CF111" s="20"/>
      <c r="CG111" s="20"/>
      <c r="CH111" s="20"/>
      <c r="CI111" s="22">
        <f t="shared" si="542"/>
        <v>0</v>
      </c>
      <c r="CK111" s="20"/>
      <c r="CL111" s="20"/>
      <c r="CM111" s="20"/>
      <c r="CN111" s="20"/>
      <c r="CO111" s="20"/>
      <c r="CP111" s="20"/>
      <c r="CQ111" s="20"/>
      <c r="CR111" s="20"/>
      <c r="CS111" s="20"/>
      <c r="CT111" s="20"/>
      <c r="CU111" s="20"/>
      <c r="CV111" s="20"/>
      <c r="CW111" s="22">
        <f t="shared" si="543"/>
        <v>0</v>
      </c>
      <c r="CY111" s="20"/>
      <c r="CZ111" s="20"/>
      <c r="DA111" s="20"/>
      <c r="DB111" s="20"/>
      <c r="DC111" s="20"/>
      <c r="DD111" s="20"/>
      <c r="DE111" s="20"/>
      <c r="DF111" s="20"/>
      <c r="DG111" s="20"/>
      <c r="DH111" s="20"/>
      <c r="DI111" s="20"/>
      <c r="DJ111" s="20"/>
      <c r="DK111" s="22">
        <f t="shared" si="544"/>
        <v>0</v>
      </c>
      <c r="DM111" s="20"/>
      <c r="DN111" s="20"/>
      <c r="DO111" s="20"/>
      <c r="DP111" s="20"/>
      <c r="DQ111" s="20"/>
      <c r="DR111" s="20"/>
      <c r="DS111" s="20"/>
      <c r="DT111" s="20"/>
      <c r="DU111" s="20"/>
      <c r="DV111" s="20"/>
      <c r="DW111" s="20"/>
      <c r="DX111" s="20"/>
      <c r="DY111" s="22">
        <f t="shared" si="545"/>
        <v>0</v>
      </c>
      <c r="EA111" s="20"/>
      <c r="EB111" s="20"/>
      <c r="EC111" s="20"/>
      <c r="ED111" s="20"/>
      <c r="EE111" s="20"/>
      <c r="EF111" s="20"/>
      <c r="EG111" s="20"/>
      <c r="EH111" s="20"/>
      <c r="EI111" s="20"/>
      <c r="EJ111" s="20"/>
      <c r="EK111" s="20"/>
      <c r="EL111" s="20"/>
      <c r="EM111" s="22">
        <f t="shared" si="546"/>
        <v>0</v>
      </c>
    </row>
    <row r="112" spans="3:143" hidden="1" x14ac:dyDescent="0.2">
      <c r="C112" s="19" t="s">
        <v>66</v>
      </c>
      <c r="E112" s="20"/>
      <c r="F112" s="20"/>
      <c r="G112" s="20"/>
      <c r="H112" s="20"/>
      <c r="I112" s="20"/>
      <c r="J112" s="20"/>
      <c r="K112" s="20"/>
      <c r="L112" s="20"/>
      <c r="M112" s="20"/>
      <c r="N112" s="20"/>
      <c r="O112" s="20"/>
      <c r="P112" s="20"/>
      <c r="Q112" s="22">
        <f t="shared" si="547"/>
        <v>0</v>
      </c>
      <c r="S112" s="20"/>
      <c r="T112" s="20">
        <v>127</v>
      </c>
      <c r="U112" s="20"/>
      <c r="V112" s="20"/>
      <c r="W112" s="20"/>
      <c r="X112" s="20"/>
      <c r="Y112" s="20"/>
      <c r="Z112" s="20"/>
      <c r="AA112" s="20"/>
      <c r="AB112" s="20"/>
      <c r="AC112" s="20"/>
      <c r="AD112" s="20"/>
      <c r="AE112" s="22">
        <f t="shared" si="539"/>
        <v>127</v>
      </c>
      <c r="AG112" s="20"/>
      <c r="AH112" s="20"/>
      <c r="AI112" s="20"/>
      <c r="AJ112" s="20"/>
      <c r="AK112" s="20"/>
      <c r="AL112" s="20"/>
      <c r="AM112" s="20"/>
      <c r="AN112" s="20"/>
      <c r="AO112" s="20"/>
      <c r="AP112" s="20"/>
      <c r="AQ112" s="20"/>
      <c r="AR112" s="20"/>
      <c r="AS112" s="22">
        <f t="shared" si="548"/>
        <v>0</v>
      </c>
      <c r="AU112" s="20"/>
      <c r="AV112" s="20"/>
      <c r="AW112" s="20"/>
      <c r="AX112" s="20"/>
      <c r="AY112" s="20"/>
      <c r="AZ112" s="20"/>
      <c r="BA112" s="20"/>
      <c r="BB112" s="20"/>
      <c r="BC112" s="20"/>
      <c r="BD112" s="20"/>
      <c r="BE112" s="20"/>
      <c r="BF112" s="20"/>
      <c r="BG112" s="22">
        <f t="shared" si="540"/>
        <v>0</v>
      </c>
      <c r="BI112" s="20"/>
      <c r="BJ112" s="20"/>
      <c r="BK112" s="20"/>
      <c r="BL112" s="20"/>
      <c r="BM112" s="20"/>
      <c r="BN112" s="20"/>
      <c r="BO112" s="20"/>
      <c r="BP112" s="20"/>
      <c r="BQ112" s="20"/>
      <c r="BR112" s="20"/>
      <c r="BS112" s="20"/>
      <c r="BT112" s="20"/>
      <c r="BU112" s="22">
        <f t="shared" si="541"/>
        <v>0</v>
      </c>
      <c r="BW112" s="20"/>
      <c r="BX112" s="20"/>
      <c r="BY112" s="20"/>
      <c r="BZ112" s="20"/>
      <c r="CA112" s="20"/>
      <c r="CB112" s="20"/>
      <c r="CC112" s="20"/>
      <c r="CD112" s="20"/>
      <c r="CE112" s="20"/>
      <c r="CF112" s="20"/>
      <c r="CG112" s="20"/>
      <c r="CH112" s="20"/>
      <c r="CI112" s="22">
        <f t="shared" si="542"/>
        <v>0</v>
      </c>
      <c r="CK112" s="20"/>
      <c r="CL112" s="20"/>
      <c r="CM112" s="20"/>
      <c r="CN112" s="20"/>
      <c r="CO112" s="20"/>
      <c r="CP112" s="20"/>
      <c r="CQ112" s="20"/>
      <c r="CR112" s="20"/>
      <c r="CS112" s="20"/>
      <c r="CT112" s="20"/>
      <c r="CU112" s="20"/>
      <c r="CV112" s="20"/>
      <c r="CW112" s="22">
        <f t="shared" si="543"/>
        <v>0</v>
      </c>
      <c r="CY112" s="20"/>
      <c r="CZ112" s="20"/>
      <c r="DA112" s="20"/>
      <c r="DB112" s="20"/>
      <c r="DC112" s="20"/>
      <c r="DD112" s="20"/>
      <c r="DE112" s="20"/>
      <c r="DF112" s="20"/>
      <c r="DG112" s="20"/>
      <c r="DH112" s="20"/>
      <c r="DI112" s="20"/>
      <c r="DJ112" s="20"/>
      <c r="DK112" s="22">
        <f t="shared" si="544"/>
        <v>0</v>
      </c>
      <c r="DM112" s="20"/>
      <c r="DN112" s="20"/>
      <c r="DO112" s="20"/>
      <c r="DP112" s="20"/>
      <c r="DQ112" s="20"/>
      <c r="DR112" s="20"/>
      <c r="DS112" s="20"/>
      <c r="DT112" s="20"/>
      <c r="DU112" s="20"/>
      <c r="DV112" s="20"/>
      <c r="DW112" s="20"/>
      <c r="DX112" s="20"/>
      <c r="DY112" s="22">
        <f t="shared" si="545"/>
        <v>0</v>
      </c>
      <c r="EA112" s="20"/>
      <c r="EB112" s="20"/>
      <c r="EC112" s="20"/>
      <c r="ED112" s="20"/>
      <c r="EE112" s="20"/>
      <c r="EF112" s="20"/>
      <c r="EG112" s="20"/>
      <c r="EH112" s="20"/>
      <c r="EI112" s="20"/>
      <c r="EJ112" s="20"/>
      <c r="EK112" s="20"/>
      <c r="EL112" s="20"/>
      <c r="EM112" s="22">
        <f t="shared" si="546"/>
        <v>0</v>
      </c>
    </row>
    <row r="113" spans="3:143" hidden="1" x14ac:dyDescent="0.2">
      <c r="C113" s="19" t="s">
        <v>66</v>
      </c>
      <c r="E113" s="20"/>
      <c r="F113" s="20"/>
      <c r="G113" s="20"/>
      <c r="H113" s="20"/>
      <c r="I113" s="20"/>
      <c r="J113" s="20"/>
      <c r="K113" s="20"/>
      <c r="L113" s="20"/>
      <c r="M113" s="20"/>
      <c r="N113" s="20"/>
      <c r="O113" s="20"/>
      <c r="P113" s="20"/>
      <c r="Q113" s="22">
        <f t="shared" si="547"/>
        <v>0</v>
      </c>
      <c r="S113" s="20"/>
      <c r="T113" s="20">
        <v>127</v>
      </c>
      <c r="U113" s="20"/>
      <c r="V113" s="20"/>
      <c r="W113" s="20"/>
      <c r="X113" s="20"/>
      <c r="Y113" s="20"/>
      <c r="Z113" s="20"/>
      <c r="AA113" s="20"/>
      <c r="AB113" s="20"/>
      <c r="AC113" s="20"/>
      <c r="AD113" s="20"/>
      <c r="AE113" s="22">
        <f t="shared" si="539"/>
        <v>127</v>
      </c>
      <c r="AG113" s="20"/>
      <c r="AH113" s="20"/>
      <c r="AI113" s="20"/>
      <c r="AJ113" s="20"/>
      <c r="AK113" s="20"/>
      <c r="AL113" s="20"/>
      <c r="AM113" s="20"/>
      <c r="AN113" s="20"/>
      <c r="AO113" s="20"/>
      <c r="AP113" s="20"/>
      <c r="AQ113" s="20"/>
      <c r="AR113" s="20"/>
      <c r="AS113" s="22">
        <f t="shared" si="548"/>
        <v>0</v>
      </c>
      <c r="AU113" s="20"/>
      <c r="AV113" s="20"/>
      <c r="AW113" s="20"/>
      <c r="AX113" s="20"/>
      <c r="AY113" s="20"/>
      <c r="AZ113" s="20"/>
      <c r="BA113" s="20"/>
      <c r="BB113" s="20"/>
      <c r="BC113" s="20"/>
      <c r="BD113" s="20"/>
      <c r="BE113" s="20"/>
      <c r="BF113" s="20"/>
      <c r="BG113" s="22">
        <f t="shared" si="540"/>
        <v>0</v>
      </c>
      <c r="BI113" s="20"/>
      <c r="BJ113" s="20"/>
      <c r="BK113" s="20"/>
      <c r="BL113" s="20"/>
      <c r="BM113" s="20"/>
      <c r="BN113" s="20"/>
      <c r="BO113" s="20"/>
      <c r="BP113" s="20"/>
      <c r="BQ113" s="20"/>
      <c r="BR113" s="20"/>
      <c r="BS113" s="20"/>
      <c r="BT113" s="20"/>
      <c r="BU113" s="22">
        <f t="shared" si="541"/>
        <v>0</v>
      </c>
      <c r="BW113" s="20"/>
      <c r="BX113" s="20"/>
      <c r="BY113" s="20"/>
      <c r="BZ113" s="20"/>
      <c r="CA113" s="20"/>
      <c r="CB113" s="20"/>
      <c r="CC113" s="20"/>
      <c r="CD113" s="20"/>
      <c r="CE113" s="20"/>
      <c r="CF113" s="20"/>
      <c r="CG113" s="20"/>
      <c r="CH113" s="20"/>
      <c r="CI113" s="22">
        <f t="shared" si="542"/>
        <v>0</v>
      </c>
      <c r="CK113" s="20"/>
      <c r="CL113" s="20"/>
      <c r="CM113" s="20"/>
      <c r="CN113" s="20"/>
      <c r="CO113" s="20"/>
      <c r="CP113" s="20"/>
      <c r="CQ113" s="20"/>
      <c r="CR113" s="20"/>
      <c r="CS113" s="20"/>
      <c r="CT113" s="20"/>
      <c r="CU113" s="20"/>
      <c r="CV113" s="20"/>
      <c r="CW113" s="22">
        <f t="shared" si="543"/>
        <v>0</v>
      </c>
      <c r="CY113" s="20"/>
      <c r="CZ113" s="20"/>
      <c r="DA113" s="20"/>
      <c r="DB113" s="20"/>
      <c r="DC113" s="20"/>
      <c r="DD113" s="20"/>
      <c r="DE113" s="20"/>
      <c r="DF113" s="20"/>
      <c r="DG113" s="20"/>
      <c r="DH113" s="20"/>
      <c r="DI113" s="20"/>
      <c r="DJ113" s="20"/>
      <c r="DK113" s="22">
        <f t="shared" si="544"/>
        <v>0</v>
      </c>
      <c r="DM113" s="20"/>
      <c r="DN113" s="20"/>
      <c r="DO113" s="20"/>
      <c r="DP113" s="20"/>
      <c r="DQ113" s="20"/>
      <c r="DR113" s="20"/>
      <c r="DS113" s="20"/>
      <c r="DT113" s="20"/>
      <c r="DU113" s="20"/>
      <c r="DV113" s="20"/>
      <c r="DW113" s="20"/>
      <c r="DX113" s="20"/>
      <c r="DY113" s="22">
        <f t="shared" si="545"/>
        <v>0</v>
      </c>
      <c r="EA113" s="20"/>
      <c r="EB113" s="20"/>
      <c r="EC113" s="20"/>
      <c r="ED113" s="20"/>
      <c r="EE113" s="20"/>
      <c r="EF113" s="20"/>
      <c r="EG113" s="20"/>
      <c r="EH113" s="20"/>
      <c r="EI113" s="20"/>
      <c r="EJ113" s="20"/>
      <c r="EK113" s="20"/>
      <c r="EL113" s="20"/>
      <c r="EM113" s="22">
        <f t="shared" si="546"/>
        <v>0</v>
      </c>
    </row>
    <row r="114" spans="3:143" hidden="1" x14ac:dyDescent="0.2">
      <c r="C114" s="19" t="s">
        <v>66</v>
      </c>
      <c r="E114" s="20"/>
      <c r="F114" s="20"/>
      <c r="G114" s="20"/>
      <c r="H114" s="20"/>
      <c r="I114" s="20"/>
      <c r="J114" s="20"/>
      <c r="K114" s="20"/>
      <c r="L114" s="20"/>
      <c r="M114" s="20"/>
      <c r="N114" s="20"/>
      <c r="O114" s="20"/>
      <c r="P114" s="20"/>
      <c r="Q114" s="22">
        <f t="shared" si="547"/>
        <v>0</v>
      </c>
      <c r="S114" s="20"/>
      <c r="T114" s="20">
        <v>127</v>
      </c>
      <c r="U114" s="20"/>
      <c r="V114" s="20"/>
      <c r="W114" s="20"/>
      <c r="X114" s="20"/>
      <c r="Y114" s="20"/>
      <c r="Z114" s="20"/>
      <c r="AA114" s="20"/>
      <c r="AB114" s="20"/>
      <c r="AC114" s="20"/>
      <c r="AD114" s="20"/>
      <c r="AE114" s="22">
        <f t="shared" si="539"/>
        <v>127</v>
      </c>
      <c r="AG114" s="20"/>
      <c r="AH114" s="20"/>
      <c r="AI114" s="20"/>
      <c r="AJ114" s="20"/>
      <c r="AK114" s="20"/>
      <c r="AL114" s="20"/>
      <c r="AM114" s="20"/>
      <c r="AN114" s="20"/>
      <c r="AO114" s="20"/>
      <c r="AP114" s="20"/>
      <c r="AQ114" s="20"/>
      <c r="AR114" s="20"/>
      <c r="AS114" s="22">
        <f t="shared" si="548"/>
        <v>0</v>
      </c>
      <c r="AU114" s="20"/>
      <c r="AV114" s="20"/>
      <c r="AW114" s="20"/>
      <c r="AX114" s="20"/>
      <c r="AY114" s="20"/>
      <c r="AZ114" s="20"/>
      <c r="BA114" s="20"/>
      <c r="BB114" s="20"/>
      <c r="BC114" s="20"/>
      <c r="BD114" s="20"/>
      <c r="BE114" s="20"/>
      <c r="BF114" s="20"/>
      <c r="BG114" s="22">
        <f t="shared" si="540"/>
        <v>0</v>
      </c>
      <c r="BI114" s="20"/>
      <c r="BJ114" s="20"/>
      <c r="BK114" s="20"/>
      <c r="BL114" s="20"/>
      <c r="BM114" s="20"/>
      <c r="BN114" s="20"/>
      <c r="BO114" s="20"/>
      <c r="BP114" s="20"/>
      <c r="BQ114" s="20"/>
      <c r="BR114" s="20"/>
      <c r="BS114" s="20"/>
      <c r="BT114" s="20"/>
      <c r="BU114" s="22">
        <f t="shared" si="541"/>
        <v>0</v>
      </c>
      <c r="BW114" s="20"/>
      <c r="BX114" s="20"/>
      <c r="BY114" s="20"/>
      <c r="BZ114" s="20"/>
      <c r="CA114" s="20"/>
      <c r="CB114" s="20"/>
      <c r="CC114" s="20"/>
      <c r="CD114" s="20"/>
      <c r="CE114" s="20"/>
      <c r="CF114" s="20"/>
      <c r="CG114" s="20"/>
      <c r="CH114" s="20"/>
      <c r="CI114" s="22">
        <f t="shared" si="542"/>
        <v>0</v>
      </c>
      <c r="CK114" s="20"/>
      <c r="CL114" s="20"/>
      <c r="CM114" s="20"/>
      <c r="CN114" s="20"/>
      <c r="CO114" s="20"/>
      <c r="CP114" s="20"/>
      <c r="CQ114" s="20"/>
      <c r="CR114" s="20"/>
      <c r="CS114" s="20"/>
      <c r="CT114" s="20"/>
      <c r="CU114" s="20"/>
      <c r="CV114" s="20"/>
      <c r="CW114" s="22">
        <f t="shared" si="543"/>
        <v>0</v>
      </c>
      <c r="CY114" s="20"/>
      <c r="CZ114" s="20"/>
      <c r="DA114" s="20"/>
      <c r="DB114" s="20"/>
      <c r="DC114" s="20"/>
      <c r="DD114" s="20"/>
      <c r="DE114" s="20"/>
      <c r="DF114" s="20"/>
      <c r="DG114" s="20"/>
      <c r="DH114" s="20"/>
      <c r="DI114" s="20"/>
      <c r="DJ114" s="20"/>
      <c r="DK114" s="22">
        <f t="shared" si="544"/>
        <v>0</v>
      </c>
      <c r="DM114" s="20"/>
      <c r="DN114" s="20"/>
      <c r="DO114" s="20"/>
      <c r="DP114" s="20"/>
      <c r="DQ114" s="20"/>
      <c r="DR114" s="20"/>
      <c r="DS114" s="20"/>
      <c r="DT114" s="20"/>
      <c r="DU114" s="20"/>
      <c r="DV114" s="20"/>
      <c r="DW114" s="20"/>
      <c r="DX114" s="20"/>
      <c r="DY114" s="22">
        <f t="shared" si="545"/>
        <v>0</v>
      </c>
      <c r="EA114" s="20"/>
      <c r="EB114" s="20"/>
      <c r="EC114" s="20"/>
      <c r="ED114" s="20"/>
      <c r="EE114" s="20"/>
      <c r="EF114" s="20"/>
      <c r="EG114" s="20"/>
      <c r="EH114" s="20"/>
      <c r="EI114" s="20"/>
      <c r="EJ114" s="20"/>
      <c r="EK114" s="20"/>
      <c r="EL114" s="20"/>
      <c r="EM114" s="22">
        <f t="shared" si="546"/>
        <v>0</v>
      </c>
    </row>
    <row r="115" spans="3:143" x14ac:dyDescent="0.2">
      <c r="C115" s="16" t="s">
        <v>46</v>
      </c>
      <c r="E115" s="21" cm="1">
        <f t="array" aca="1" ref="E115" ca="1">SUM(INDIRECT(ADDRESS(savings_min_row, COLUMN()) &amp; ":" &amp; ADDRESS(savings_max_row, COLUMN())))</f>
        <v>0</v>
      </c>
      <c r="F115" s="21" cm="1">
        <f t="array" aca="1" ref="F115" ca="1">SUM(INDIRECT(ADDRESS(savings_min_row, COLUMN()) &amp; ":" &amp; ADDRESS(savings_max_row, COLUMN())))</f>
        <v>0</v>
      </c>
      <c r="G115" s="21" cm="1">
        <f t="array" aca="1" ref="G115" ca="1">SUM(INDIRECT(ADDRESS(savings_min_row, COLUMN()) &amp; ":" &amp; ADDRESS(savings_max_row, COLUMN())))</f>
        <v>0</v>
      </c>
      <c r="H115" s="21" cm="1">
        <f t="array" aca="1" ref="H115" ca="1">SUM(INDIRECT(ADDRESS(savings_min_row, COLUMN()) &amp; ":" &amp; ADDRESS(savings_max_row, COLUMN())))</f>
        <v>0</v>
      </c>
      <c r="I115" s="21" cm="1">
        <f t="array" aca="1" ref="I115" ca="1">SUM(INDIRECT(ADDRESS(savings_min_row, COLUMN()) &amp; ":" &amp; ADDRESS(savings_max_row, COLUMN())))</f>
        <v>0</v>
      </c>
      <c r="J115" s="21" cm="1">
        <f t="array" aca="1" ref="J115" ca="1">SUM(INDIRECT(ADDRESS(savings_min_row, COLUMN()) &amp; ":" &amp; ADDRESS(savings_max_row, COLUMN())))</f>
        <v>1186</v>
      </c>
      <c r="K115" s="21" cm="1">
        <f t="array" aca="1" ref="K115" ca="1">SUM(INDIRECT(ADDRESS(savings_min_row, COLUMN()) &amp; ":" &amp; ADDRESS(savings_max_row, COLUMN())))</f>
        <v>1186</v>
      </c>
      <c r="L115" s="21" cm="1">
        <f t="array" aca="1" ref="L115" ca="1">SUM(INDIRECT(ADDRESS(savings_min_row, COLUMN()) &amp; ":" &amp; ADDRESS(savings_max_row, COLUMN())))</f>
        <v>1186</v>
      </c>
      <c r="M115" s="21" cm="1">
        <f t="array" aca="1" ref="M115" ca="1">SUM(INDIRECT(ADDRESS(savings_min_row, COLUMN()) &amp; ":" &amp; ADDRESS(savings_max_row, COLUMN())))</f>
        <v>1186</v>
      </c>
      <c r="N115" s="21" cm="1">
        <f t="array" aca="1" ref="N115" ca="1">SUM(INDIRECT(ADDRESS(savings_min_row, COLUMN()) &amp; ":" &amp; ADDRESS(savings_max_row, COLUMN())))</f>
        <v>1186</v>
      </c>
      <c r="O115" s="21" cm="1">
        <f t="array" aca="1" ref="O115" ca="1">SUM(INDIRECT(ADDRESS(savings_min_row, COLUMN()) &amp; ":" &amp; ADDRESS(savings_max_row, COLUMN())))</f>
        <v>1186</v>
      </c>
      <c r="P115" s="21" cm="1">
        <f t="array" aca="1" ref="P115" ca="1">SUM(INDIRECT(ADDRESS(savings_min_row, COLUMN()) &amp; ":" &amp; ADDRESS(savings_max_row, COLUMN())))</f>
        <v>1186</v>
      </c>
      <c r="Q115" s="21" cm="1">
        <f t="array" aca="1" ref="Q115" ca="1">SUM(INDIRECT(ADDRESS(savings_min_row, COLUMN()) &amp; ":" &amp; ADDRESS(savings_max_row, COLUMN())))</f>
        <v>8302</v>
      </c>
      <c r="S115" s="21" cm="1">
        <f t="array" aca="1" ref="S115" ca="1">SUM(INDIRECT(ADDRESS(savings_min_row, COLUMN()) &amp; ":" &amp; ADDRESS(savings_max_row, COLUMN())))</f>
        <v>1385</v>
      </c>
      <c r="T115" s="21" cm="1">
        <f t="array" aca="1" ref="T115" ca="1">SUM(INDIRECT(ADDRESS(savings_min_row, COLUMN()) &amp; ":" &amp; ADDRESS(savings_max_row, COLUMN())))</f>
        <v>405</v>
      </c>
      <c r="U115" s="21" cm="1">
        <f t="array" aca="1" ref="U115" ca="1">SUM(INDIRECT(ADDRESS(savings_min_row, COLUMN()) &amp; ":" &amp; ADDRESS(savings_max_row, COLUMN())))</f>
        <v>1005</v>
      </c>
      <c r="V115" s="21" cm="1">
        <f t="array" aca="1" ref="V115" ca="1">SUM(INDIRECT(ADDRESS(savings_min_row, COLUMN()) &amp; ":" &amp; ADDRESS(savings_max_row, COLUMN())))</f>
        <v>1005</v>
      </c>
      <c r="W115" s="21" cm="1">
        <f t="array" aca="1" ref="W115" ca="1">SUM(INDIRECT(ADDRESS(savings_min_row, COLUMN()) &amp; ":" &amp; ADDRESS(savings_max_row, COLUMN())))</f>
        <v>1005</v>
      </c>
      <c r="X115" s="21" cm="1">
        <f t="array" aca="1" ref="X115" ca="1">SUM(INDIRECT(ADDRESS(savings_min_row, COLUMN()) &amp; ":" &amp; ADDRESS(savings_max_row, COLUMN())))</f>
        <v>1005</v>
      </c>
      <c r="Y115" s="21" cm="1">
        <f t="array" aca="1" ref="Y115" ca="1">SUM(INDIRECT(ADDRESS(savings_min_row, COLUMN()) &amp; ":" &amp; ADDRESS(savings_max_row, COLUMN())))</f>
        <v>1205</v>
      </c>
      <c r="Z115" s="21" cm="1">
        <f t="array" aca="1" ref="Z115" ca="1">SUM(INDIRECT(ADDRESS(savings_min_row, COLUMN()) &amp; ":" &amp; ADDRESS(savings_max_row, COLUMN())))</f>
        <v>1205</v>
      </c>
      <c r="AA115" s="21" cm="1">
        <f t="array" aca="1" ref="AA115" ca="1">SUM(INDIRECT(ADDRESS(savings_min_row, COLUMN()) &amp; ":" &amp; ADDRESS(savings_max_row, COLUMN())))</f>
        <v>1205</v>
      </c>
      <c r="AB115" s="21" cm="1">
        <f t="array" aca="1" ref="AB115" ca="1">SUM(INDIRECT(ADDRESS(savings_min_row, COLUMN()) &amp; ":" &amp; ADDRESS(savings_max_row, COLUMN())))</f>
        <v>1205</v>
      </c>
      <c r="AC115" s="21" cm="1">
        <f t="array" aca="1" ref="AC115" ca="1">SUM(INDIRECT(ADDRESS(savings_min_row, COLUMN()) &amp; ":" &amp; ADDRESS(savings_max_row, COLUMN())))</f>
        <v>1205</v>
      </c>
      <c r="AD115" s="21" cm="1">
        <f t="array" aca="1" ref="AD115" ca="1">SUM(INDIRECT(ADDRESS(savings_min_row, COLUMN()) &amp; ":" &amp; ADDRESS(savings_max_row, COLUMN())))</f>
        <v>1205</v>
      </c>
      <c r="AE115" s="21" cm="1">
        <f t="array" aca="1" ref="AE115" ca="1">SUM(INDIRECT(ADDRESS(savings_min_row, COLUMN()) &amp; ":" &amp; ADDRESS(savings_max_row, COLUMN())))</f>
        <v>13040</v>
      </c>
      <c r="AG115" s="21" cm="1">
        <f t="array" aca="1" ref="AG115" ca="1">SUM(INDIRECT(ADDRESS(savings_min_row, COLUMN()) &amp; ":" &amp; ADDRESS(savings_max_row, COLUMN())))</f>
        <v>930</v>
      </c>
      <c r="AH115" s="21" cm="1">
        <f t="array" aca="1" ref="AH115" ca="1">SUM(INDIRECT(ADDRESS(savings_min_row, COLUMN()) &amp; ":" &amp; ADDRESS(savings_max_row, COLUMN())))</f>
        <v>0</v>
      </c>
      <c r="AI115" s="21" cm="1">
        <f t="array" aca="1" ref="AI115" ca="1">SUM(INDIRECT(ADDRESS(savings_min_row, COLUMN()) &amp; ":" &amp; ADDRESS(savings_max_row, COLUMN())))</f>
        <v>0</v>
      </c>
      <c r="AJ115" s="21" cm="1">
        <f t="array" aca="1" ref="AJ115" ca="1">SUM(INDIRECT(ADDRESS(savings_min_row, COLUMN()) &amp; ":" &amp; ADDRESS(savings_max_row, COLUMN())))</f>
        <v>0</v>
      </c>
      <c r="AK115" s="21" cm="1">
        <f t="array" aca="1" ref="AK115" ca="1">SUM(INDIRECT(ADDRESS(savings_min_row, COLUMN()) &amp; ":" &amp; ADDRESS(savings_max_row, COLUMN())))</f>
        <v>0</v>
      </c>
      <c r="AL115" s="21" cm="1">
        <f t="array" aca="1" ref="AL115" ca="1">SUM(INDIRECT(ADDRESS(savings_min_row, COLUMN()) &amp; ":" &amp; ADDRESS(savings_max_row, COLUMN())))</f>
        <v>0</v>
      </c>
      <c r="AM115" s="21" cm="1">
        <f t="array" aca="1" ref="AM115" ca="1">SUM(INDIRECT(ADDRESS(savings_min_row, COLUMN()) &amp; ":" &amp; ADDRESS(savings_max_row, COLUMN())))</f>
        <v>0</v>
      </c>
      <c r="AN115" s="21" cm="1">
        <f t="array" aca="1" ref="AN115" ca="1">SUM(INDIRECT(ADDRESS(savings_min_row, COLUMN()) &amp; ":" &amp; ADDRESS(savings_max_row, COLUMN())))</f>
        <v>0</v>
      </c>
      <c r="AO115" s="21" cm="1">
        <f t="array" aca="1" ref="AO115" ca="1">SUM(INDIRECT(ADDRESS(savings_min_row, COLUMN()) &amp; ":" &amp; ADDRESS(savings_max_row, COLUMN())))</f>
        <v>0</v>
      </c>
      <c r="AP115" s="21" cm="1">
        <f t="array" aca="1" ref="AP115" ca="1">SUM(INDIRECT(ADDRESS(savings_min_row, COLUMN()) &amp; ":" &amp; ADDRESS(savings_max_row, COLUMN())))</f>
        <v>0</v>
      </c>
      <c r="AQ115" s="21" cm="1">
        <f t="array" aca="1" ref="AQ115" ca="1">SUM(INDIRECT(ADDRESS(savings_min_row, COLUMN()) &amp; ":" &amp; ADDRESS(savings_max_row, COLUMN())))</f>
        <v>0</v>
      </c>
      <c r="AR115" s="21" cm="1">
        <f t="array" aca="1" ref="AR115" ca="1">SUM(INDIRECT(ADDRESS(savings_min_row, COLUMN()) &amp; ":" &amp; ADDRESS(savings_max_row, COLUMN())))</f>
        <v>0</v>
      </c>
      <c r="AS115" s="21" cm="1">
        <f t="array" aca="1" ref="AS115" ca="1">SUM(INDIRECT(ADDRESS(savings_min_row, COLUMN()) &amp; ":" &amp; ADDRESS(savings_max_row, COLUMN())))</f>
        <v>0</v>
      </c>
      <c r="AU115" s="21" cm="1">
        <f t="array" aca="1" ref="AU115" ca="1">SUM(INDIRECT(ADDRESS(savings_min_row, COLUMN()) &amp; ":" &amp; ADDRESS(savings_max_row, COLUMN())))</f>
        <v>0</v>
      </c>
      <c r="AV115" s="21" cm="1">
        <f t="array" aca="1" ref="AV115" ca="1">SUM(INDIRECT(ADDRESS(savings_min_row, COLUMN()) &amp; ":" &amp; ADDRESS(savings_max_row, COLUMN())))</f>
        <v>0</v>
      </c>
      <c r="AW115" s="21" cm="1">
        <f t="array" aca="1" ref="AW115" ca="1">SUM(INDIRECT(ADDRESS(savings_min_row, COLUMN()) &amp; ":" &amp; ADDRESS(savings_max_row, COLUMN())))</f>
        <v>0</v>
      </c>
      <c r="AX115" s="21" cm="1">
        <f t="array" aca="1" ref="AX115" ca="1">SUM(INDIRECT(ADDRESS(savings_min_row, COLUMN()) &amp; ":" &amp; ADDRESS(savings_max_row, COLUMN())))</f>
        <v>0</v>
      </c>
      <c r="AY115" s="21" cm="1">
        <f t="array" aca="1" ref="AY115" ca="1">SUM(INDIRECT(ADDRESS(savings_min_row, COLUMN()) &amp; ":" &amp; ADDRESS(savings_max_row, COLUMN())))</f>
        <v>0</v>
      </c>
      <c r="AZ115" s="21" cm="1">
        <f t="array" aca="1" ref="AZ115" ca="1">SUM(INDIRECT(ADDRESS(savings_min_row, COLUMN()) &amp; ":" &amp; ADDRESS(savings_max_row, COLUMN())))</f>
        <v>0</v>
      </c>
      <c r="BA115" s="21" cm="1">
        <f t="array" aca="1" ref="BA115" ca="1">SUM(INDIRECT(ADDRESS(savings_min_row, COLUMN()) &amp; ":" &amp; ADDRESS(savings_max_row, COLUMN())))</f>
        <v>0</v>
      </c>
      <c r="BB115" s="21" cm="1">
        <f t="array" aca="1" ref="BB115" ca="1">SUM(INDIRECT(ADDRESS(savings_min_row, COLUMN()) &amp; ":" &amp; ADDRESS(savings_max_row, COLUMN())))</f>
        <v>0</v>
      </c>
      <c r="BC115" s="21" cm="1">
        <f t="array" aca="1" ref="BC115" ca="1">SUM(INDIRECT(ADDRESS(savings_min_row, COLUMN()) &amp; ":" &amp; ADDRESS(savings_max_row, COLUMN())))</f>
        <v>0</v>
      </c>
      <c r="BD115" s="21" cm="1">
        <f t="array" aca="1" ref="BD115" ca="1">SUM(INDIRECT(ADDRESS(savings_min_row, COLUMN()) &amp; ":" &amp; ADDRESS(savings_max_row, COLUMN())))</f>
        <v>0</v>
      </c>
      <c r="BE115" s="21" cm="1">
        <f t="array" aca="1" ref="BE115" ca="1">SUM(INDIRECT(ADDRESS(savings_min_row, COLUMN()) &amp; ":" &amp; ADDRESS(savings_max_row, COLUMN())))</f>
        <v>0</v>
      </c>
      <c r="BF115" s="21" cm="1">
        <f t="array" aca="1" ref="BF115" ca="1">SUM(INDIRECT(ADDRESS(savings_min_row, COLUMN()) &amp; ":" &amp; ADDRESS(savings_max_row, COLUMN())))</f>
        <v>0</v>
      </c>
      <c r="BG115" s="21" cm="1">
        <f t="array" aca="1" ref="BG115" ca="1">SUM(INDIRECT(ADDRESS(savings_min_row, COLUMN()) &amp; ":" &amp; ADDRESS(savings_max_row, COLUMN())))</f>
        <v>0</v>
      </c>
      <c r="BI115" s="21" cm="1">
        <f t="array" aca="1" ref="BI115" ca="1">SUM(INDIRECT(ADDRESS(savings_min_row, COLUMN()) &amp; ":" &amp; ADDRESS(savings_max_row, COLUMN())))</f>
        <v>0</v>
      </c>
      <c r="BJ115" s="21" cm="1">
        <f t="array" aca="1" ref="BJ115" ca="1">SUM(INDIRECT(ADDRESS(savings_min_row, COLUMN()) &amp; ":" &amp; ADDRESS(savings_max_row, COLUMN())))</f>
        <v>0</v>
      </c>
      <c r="BK115" s="21" cm="1">
        <f t="array" aca="1" ref="BK115" ca="1">SUM(INDIRECT(ADDRESS(savings_min_row, COLUMN()) &amp; ":" &amp; ADDRESS(savings_max_row, COLUMN())))</f>
        <v>0</v>
      </c>
      <c r="BL115" s="21" cm="1">
        <f t="array" aca="1" ref="BL115" ca="1">SUM(INDIRECT(ADDRESS(savings_min_row, COLUMN()) &amp; ":" &amp; ADDRESS(savings_max_row, COLUMN())))</f>
        <v>0</v>
      </c>
      <c r="BM115" s="21" cm="1">
        <f t="array" aca="1" ref="BM115" ca="1">SUM(INDIRECT(ADDRESS(savings_min_row, COLUMN()) &amp; ":" &amp; ADDRESS(savings_max_row, COLUMN())))</f>
        <v>0</v>
      </c>
      <c r="BN115" s="21" cm="1">
        <f t="array" aca="1" ref="BN115" ca="1">SUM(INDIRECT(ADDRESS(savings_min_row, COLUMN()) &amp; ":" &amp; ADDRESS(savings_max_row, COLUMN())))</f>
        <v>0</v>
      </c>
      <c r="BO115" s="21" cm="1">
        <f t="array" aca="1" ref="BO115" ca="1">SUM(INDIRECT(ADDRESS(savings_min_row, COLUMN()) &amp; ":" &amp; ADDRESS(savings_max_row, COLUMN())))</f>
        <v>0</v>
      </c>
      <c r="BP115" s="21" cm="1">
        <f t="array" aca="1" ref="BP115" ca="1">SUM(INDIRECT(ADDRESS(savings_min_row, COLUMN()) &amp; ":" &amp; ADDRESS(savings_max_row, COLUMN())))</f>
        <v>0</v>
      </c>
      <c r="BQ115" s="21" cm="1">
        <f t="array" aca="1" ref="BQ115" ca="1">SUM(INDIRECT(ADDRESS(savings_min_row, COLUMN()) &amp; ":" &amp; ADDRESS(savings_max_row, COLUMN())))</f>
        <v>0</v>
      </c>
      <c r="BR115" s="21" cm="1">
        <f t="array" aca="1" ref="BR115" ca="1">SUM(INDIRECT(ADDRESS(savings_min_row, COLUMN()) &amp; ":" &amp; ADDRESS(savings_max_row, COLUMN())))</f>
        <v>0</v>
      </c>
      <c r="BS115" s="21" cm="1">
        <f t="array" aca="1" ref="BS115" ca="1">SUM(INDIRECT(ADDRESS(savings_min_row, COLUMN()) &amp; ":" &amp; ADDRESS(savings_max_row, COLUMN())))</f>
        <v>0</v>
      </c>
      <c r="BT115" s="21" cm="1">
        <f t="array" aca="1" ref="BT115" ca="1">SUM(INDIRECT(ADDRESS(savings_min_row, COLUMN()) &amp; ":" &amp; ADDRESS(savings_max_row, COLUMN())))</f>
        <v>0</v>
      </c>
      <c r="BU115" s="21" cm="1">
        <f t="array" aca="1" ref="BU115" ca="1">SUM(INDIRECT(ADDRESS(savings_min_row, COLUMN()) &amp; ":" &amp; ADDRESS(savings_max_row, COLUMN())))</f>
        <v>0</v>
      </c>
      <c r="BW115" s="21" cm="1">
        <f t="array" aca="1" ref="BW115" ca="1">SUM(INDIRECT(ADDRESS(savings_min_row, COLUMN()) &amp; ":" &amp; ADDRESS(savings_max_row, COLUMN())))</f>
        <v>0</v>
      </c>
      <c r="BX115" s="21" cm="1">
        <f t="array" aca="1" ref="BX115" ca="1">SUM(INDIRECT(ADDRESS(savings_min_row, COLUMN()) &amp; ":" &amp; ADDRESS(savings_max_row, COLUMN())))</f>
        <v>0</v>
      </c>
      <c r="BY115" s="21" cm="1">
        <f t="array" aca="1" ref="BY115" ca="1">SUM(INDIRECT(ADDRESS(savings_min_row, COLUMN()) &amp; ":" &amp; ADDRESS(savings_max_row, COLUMN())))</f>
        <v>0</v>
      </c>
      <c r="BZ115" s="21" cm="1">
        <f t="array" aca="1" ref="BZ115" ca="1">SUM(INDIRECT(ADDRESS(savings_min_row, COLUMN()) &amp; ":" &amp; ADDRESS(savings_max_row, COLUMN())))</f>
        <v>0</v>
      </c>
      <c r="CA115" s="21" cm="1">
        <f t="array" aca="1" ref="CA115" ca="1">SUM(INDIRECT(ADDRESS(savings_min_row, COLUMN()) &amp; ":" &amp; ADDRESS(savings_max_row, COLUMN())))</f>
        <v>0</v>
      </c>
      <c r="CB115" s="21" cm="1">
        <f t="array" aca="1" ref="CB115" ca="1">SUM(INDIRECT(ADDRESS(savings_min_row, COLUMN()) &amp; ":" &amp; ADDRESS(savings_max_row, COLUMN())))</f>
        <v>0</v>
      </c>
      <c r="CC115" s="21" cm="1">
        <f t="array" aca="1" ref="CC115" ca="1">SUM(INDIRECT(ADDRESS(savings_min_row, COLUMN()) &amp; ":" &amp; ADDRESS(savings_max_row, COLUMN())))</f>
        <v>0</v>
      </c>
      <c r="CD115" s="21" cm="1">
        <f t="array" aca="1" ref="CD115" ca="1">SUM(INDIRECT(ADDRESS(savings_min_row, COLUMN()) &amp; ":" &amp; ADDRESS(savings_max_row, COLUMN())))</f>
        <v>0</v>
      </c>
      <c r="CE115" s="21" cm="1">
        <f t="array" aca="1" ref="CE115" ca="1">SUM(INDIRECT(ADDRESS(savings_min_row, COLUMN()) &amp; ":" &amp; ADDRESS(savings_max_row, COLUMN())))</f>
        <v>0</v>
      </c>
      <c r="CF115" s="21" cm="1">
        <f t="array" aca="1" ref="CF115" ca="1">SUM(INDIRECT(ADDRESS(savings_min_row, COLUMN()) &amp; ":" &amp; ADDRESS(savings_max_row, COLUMN())))</f>
        <v>0</v>
      </c>
      <c r="CG115" s="21" cm="1">
        <f t="array" aca="1" ref="CG115" ca="1">SUM(INDIRECT(ADDRESS(savings_min_row, COLUMN()) &amp; ":" &amp; ADDRESS(savings_max_row, COLUMN())))</f>
        <v>0</v>
      </c>
      <c r="CH115" s="21" cm="1">
        <f t="array" aca="1" ref="CH115" ca="1">SUM(INDIRECT(ADDRESS(savings_min_row, COLUMN()) &amp; ":" &amp; ADDRESS(savings_max_row, COLUMN())))</f>
        <v>0</v>
      </c>
      <c r="CI115" s="21" cm="1">
        <f t="array" aca="1" ref="CI115" ca="1">SUM(INDIRECT(ADDRESS(savings_min_row, COLUMN()) &amp; ":" &amp; ADDRESS(savings_max_row, COLUMN())))</f>
        <v>0</v>
      </c>
      <c r="CK115" s="21" cm="1">
        <f t="array" aca="1" ref="CK115" ca="1">SUM(INDIRECT(ADDRESS(savings_min_row, COLUMN()) &amp; ":" &amp; ADDRESS(savings_max_row, COLUMN())))</f>
        <v>0</v>
      </c>
      <c r="CL115" s="21" cm="1">
        <f t="array" aca="1" ref="CL115" ca="1">SUM(INDIRECT(ADDRESS(savings_min_row, COLUMN()) &amp; ":" &amp; ADDRESS(savings_max_row, COLUMN())))</f>
        <v>0</v>
      </c>
      <c r="CM115" s="21" cm="1">
        <f t="array" aca="1" ref="CM115" ca="1">SUM(INDIRECT(ADDRESS(savings_min_row, COLUMN()) &amp; ":" &amp; ADDRESS(savings_max_row, COLUMN())))</f>
        <v>0</v>
      </c>
      <c r="CN115" s="21" cm="1">
        <f t="array" aca="1" ref="CN115" ca="1">SUM(INDIRECT(ADDRESS(savings_min_row, COLUMN()) &amp; ":" &amp; ADDRESS(savings_max_row, COLUMN())))</f>
        <v>0</v>
      </c>
      <c r="CO115" s="21" cm="1">
        <f t="array" aca="1" ref="CO115" ca="1">SUM(INDIRECT(ADDRESS(savings_min_row, COLUMN()) &amp; ":" &amp; ADDRESS(savings_max_row, COLUMN())))</f>
        <v>0</v>
      </c>
      <c r="CP115" s="21" cm="1">
        <f t="array" aca="1" ref="CP115" ca="1">SUM(INDIRECT(ADDRESS(savings_min_row, COLUMN()) &amp; ":" &amp; ADDRESS(savings_max_row, COLUMN())))</f>
        <v>0</v>
      </c>
      <c r="CQ115" s="21" cm="1">
        <f t="array" aca="1" ref="CQ115" ca="1">SUM(INDIRECT(ADDRESS(savings_min_row, COLUMN()) &amp; ":" &amp; ADDRESS(savings_max_row, COLUMN())))</f>
        <v>0</v>
      </c>
      <c r="CR115" s="21" cm="1">
        <f t="array" aca="1" ref="CR115" ca="1">SUM(INDIRECT(ADDRESS(savings_min_row, COLUMN()) &amp; ":" &amp; ADDRESS(savings_max_row, COLUMN())))</f>
        <v>0</v>
      </c>
      <c r="CS115" s="21" cm="1">
        <f t="array" aca="1" ref="CS115" ca="1">SUM(INDIRECT(ADDRESS(savings_min_row, COLUMN()) &amp; ":" &amp; ADDRESS(savings_max_row, COLUMN())))</f>
        <v>0</v>
      </c>
      <c r="CT115" s="21" cm="1">
        <f t="array" aca="1" ref="CT115" ca="1">SUM(INDIRECT(ADDRESS(savings_min_row, COLUMN()) &amp; ":" &amp; ADDRESS(savings_max_row, COLUMN())))</f>
        <v>0</v>
      </c>
      <c r="CU115" s="21" cm="1">
        <f t="array" aca="1" ref="CU115" ca="1">SUM(INDIRECT(ADDRESS(savings_min_row, COLUMN()) &amp; ":" &amp; ADDRESS(savings_max_row, COLUMN())))</f>
        <v>0</v>
      </c>
      <c r="CV115" s="21" cm="1">
        <f t="array" aca="1" ref="CV115" ca="1">SUM(INDIRECT(ADDRESS(savings_min_row, COLUMN()) &amp; ":" &amp; ADDRESS(savings_max_row, COLUMN())))</f>
        <v>0</v>
      </c>
      <c r="CW115" s="21" cm="1">
        <f t="array" aca="1" ref="CW115" ca="1">SUM(INDIRECT(ADDRESS(savings_min_row, COLUMN()) &amp; ":" &amp; ADDRESS(savings_max_row, COLUMN())))</f>
        <v>0</v>
      </c>
      <c r="CY115" s="21" cm="1">
        <f t="array" aca="1" ref="CY115" ca="1">SUM(INDIRECT(ADDRESS(savings_min_row, COLUMN()) &amp; ":" &amp; ADDRESS(savings_max_row, COLUMN())))</f>
        <v>0</v>
      </c>
      <c r="CZ115" s="21" cm="1">
        <f t="array" aca="1" ref="CZ115" ca="1">SUM(INDIRECT(ADDRESS(savings_min_row, COLUMN()) &amp; ":" &amp; ADDRESS(savings_max_row, COLUMN())))</f>
        <v>0</v>
      </c>
      <c r="DA115" s="21" cm="1">
        <f t="array" aca="1" ref="DA115" ca="1">SUM(INDIRECT(ADDRESS(savings_min_row, COLUMN()) &amp; ":" &amp; ADDRESS(savings_max_row, COLUMN())))</f>
        <v>0</v>
      </c>
      <c r="DB115" s="21" cm="1">
        <f t="array" aca="1" ref="DB115" ca="1">SUM(INDIRECT(ADDRESS(savings_min_row, COLUMN()) &amp; ":" &amp; ADDRESS(savings_max_row, COLUMN())))</f>
        <v>0</v>
      </c>
      <c r="DC115" s="21" cm="1">
        <f t="array" aca="1" ref="DC115" ca="1">SUM(INDIRECT(ADDRESS(savings_min_row, COLUMN()) &amp; ":" &amp; ADDRESS(savings_max_row, COLUMN())))</f>
        <v>0</v>
      </c>
      <c r="DD115" s="21" cm="1">
        <f t="array" aca="1" ref="DD115" ca="1">SUM(INDIRECT(ADDRESS(savings_min_row, COLUMN()) &amp; ":" &amp; ADDRESS(savings_max_row, COLUMN())))</f>
        <v>0</v>
      </c>
      <c r="DE115" s="21" cm="1">
        <f t="array" aca="1" ref="DE115" ca="1">SUM(INDIRECT(ADDRESS(savings_min_row, COLUMN()) &amp; ":" &amp; ADDRESS(savings_max_row, COLUMN())))</f>
        <v>0</v>
      </c>
      <c r="DF115" s="21" cm="1">
        <f t="array" aca="1" ref="DF115" ca="1">SUM(INDIRECT(ADDRESS(savings_min_row, COLUMN()) &amp; ":" &amp; ADDRESS(savings_max_row, COLUMN())))</f>
        <v>0</v>
      </c>
      <c r="DG115" s="21" cm="1">
        <f t="array" aca="1" ref="DG115" ca="1">SUM(INDIRECT(ADDRESS(savings_min_row, COLUMN()) &amp; ":" &amp; ADDRESS(savings_max_row, COLUMN())))</f>
        <v>0</v>
      </c>
      <c r="DH115" s="21" cm="1">
        <f t="array" aca="1" ref="DH115" ca="1">SUM(INDIRECT(ADDRESS(savings_min_row, COLUMN()) &amp; ":" &amp; ADDRESS(savings_max_row, COLUMN())))</f>
        <v>0</v>
      </c>
      <c r="DI115" s="21" cm="1">
        <f t="array" aca="1" ref="DI115" ca="1">SUM(INDIRECT(ADDRESS(savings_min_row, COLUMN()) &amp; ":" &amp; ADDRESS(savings_max_row, COLUMN())))</f>
        <v>0</v>
      </c>
      <c r="DJ115" s="21" cm="1">
        <f t="array" aca="1" ref="DJ115" ca="1">SUM(INDIRECT(ADDRESS(savings_min_row, COLUMN()) &amp; ":" &amp; ADDRESS(savings_max_row, COLUMN())))</f>
        <v>0</v>
      </c>
      <c r="DK115" s="21" cm="1">
        <f t="array" aca="1" ref="DK115" ca="1">SUM(INDIRECT(ADDRESS(savings_min_row, COLUMN()) &amp; ":" &amp; ADDRESS(savings_max_row, COLUMN())))</f>
        <v>0</v>
      </c>
      <c r="DM115" s="21" cm="1">
        <f t="array" aca="1" ref="DM115" ca="1">SUM(INDIRECT(ADDRESS(savings_min_row, COLUMN()) &amp; ":" &amp; ADDRESS(savings_max_row, COLUMN())))</f>
        <v>0</v>
      </c>
      <c r="DN115" s="21" cm="1">
        <f t="array" aca="1" ref="DN115" ca="1">SUM(INDIRECT(ADDRESS(savings_min_row, COLUMN()) &amp; ":" &amp; ADDRESS(savings_max_row, COLUMN())))</f>
        <v>0</v>
      </c>
      <c r="DO115" s="21" cm="1">
        <f t="array" aca="1" ref="DO115" ca="1">SUM(INDIRECT(ADDRESS(savings_min_row, COLUMN()) &amp; ":" &amp; ADDRESS(savings_max_row, COLUMN())))</f>
        <v>0</v>
      </c>
      <c r="DP115" s="21" cm="1">
        <f t="array" aca="1" ref="DP115" ca="1">SUM(INDIRECT(ADDRESS(savings_min_row, COLUMN()) &amp; ":" &amp; ADDRESS(savings_max_row, COLUMN())))</f>
        <v>0</v>
      </c>
      <c r="DQ115" s="21" cm="1">
        <f t="array" aca="1" ref="DQ115" ca="1">SUM(INDIRECT(ADDRESS(savings_min_row, COLUMN()) &amp; ":" &amp; ADDRESS(savings_max_row, COLUMN())))</f>
        <v>0</v>
      </c>
      <c r="DR115" s="21" cm="1">
        <f t="array" aca="1" ref="DR115" ca="1">SUM(INDIRECT(ADDRESS(savings_min_row, COLUMN()) &amp; ":" &amp; ADDRESS(savings_max_row, COLUMN())))</f>
        <v>0</v>
      </c>
      <c r="DS115" s="21" cm="1">
        <f t="array" aca="1" ref="DS115" ca="1">SUM(INDIRECT(ADDRESS(savings_min_row, COLUMN()) &amp; ":" &amp; ADDRESS(savings_max_row, COLUMN())))</f>
        <v>0</v>
      </c>
      <c r="DT115" s="21" cm="1">
        <f t="array" aca="1" ref="DT115" ca="1">SUM(INDIRECT(ADDRESS(savings_min_row, COLUMN()) &amp; ":" &amp; ADDRESS(savings_max_row, COLUMN())))</f>
        <v>0</v>
      </c>
      <c r="DU115" s="21" cm="1">
        <f t="array" aca="1" ref="DU115" ca="1">SUM(INDIRECT(ADDRESS(savings_min_row, COLUMN()) &amp; ":" &amp; ADDRESS(savings_max_row, COLUMN())))</f>
        <v>0</v>
      </c>
      <c r="DV115" s="21" cm="1">
        <f t="array" aca="1" ref="DV115" ca="1">SUM(INDIRECT(ADDRESS(savings_min_row, COLUMN()) &amp; ":" &amp; ADDRESS(savings_max_row, COLUMN())))</f>
        <v>0</v>
      </c>
      <c r="DW115" s="21" cm="1">
        <f t="array" aca="1" ref="DW115" ca="1">SUM(INDIRECT(ADDRESS(savings_min_row, COLUMN()) &amp; ":" &amp; ADDRESS(savings_max_row, COLUMN())))</f>
        <v>0</v>
      </c>
      <c r="DX115" s="21" cm="1">
        <f t="array" aca="1" ref="DX115" ca="1">SUM(INDIRECT(ADDRESS(savings_min_row, COLUMN()) &amp; ":" &amp; ADDRESS(savings_max_row, COLUMN())))</f>
        <v>0</v>
      </c>
      <c r="DY115" s="21" cm="1">
        <f t="array" aca="1" ref="DY115" ca="1">SUM(INDIRECT(ADDRESS(savings_min_row, COLUMN()) &amp; ":" &amp; ADDRESS(savings_max_row, COLUMN())))</f>
        <v>0</v>
      </c>
      <c r="EA115" s="21" cm="1">
        <f t="array" aca="1" ref="EA115" ca="1">SUM(INDIRECT(ADDRESS(savings_min_row, COLUMN()) &amp; ":" &amp; ADDRESS(savings_max_row, COLUMN())))</f>
        <v>0</v>
      </c>
      <c r="EB115" s="21" cm="1">
        <f t="array" aca="1" ref="EB115" ca="1">SUM(INDIRECT(ADDRESS(savings_min_row, COLUMN()) &amp; ":" &amp; ADDRESS(savings_max_row, COLUMN())))</f>
        <v>0</v>
      </c>
      <c r="EC115" s="21" cm="1">
        <f t="array" aca="1" ref="EC115" ca="1">SUM(INDIRECT(ADDRESS(savings_min_row, COLUMN()) &amp; ":" &amp; ADDRESS(savings_max_row, COLUMN())))</f>
        <v>0</v>
      </c>
      <c r="ED115" s="21" cm="1">
        <f t="array" aca="1" ref="ED115" ca="1">SUM(INDIRECT(ADDRESS(savings_min_row, COLUMN()) &amp; ":" &amp; ADDRESS(savings_max_row, COLUMN())))</f>
        <v>0</v>
      </c>
      <c r="EE115" s="21" cm="1">
        <f t="array" aca="1" ref="EE115" ca="1">SUM(INDIRECT(ADDRESS(savings_min_row, COLUMN()) &amp; ":" &amp; ADDRESS(savings_max_row, COLUMN())))</f>
        <v>0</v>
      </c>
      <c r="EF115" s="21" cm="1">
        <f t="array" aca="1" ref="EF115" ca="1">SUM(INDIRECT(ADDRESS(savings_min_row, COLUMN()) &amp; ":" &amp; ADDRESS(savings_max_row, COLUMN())))</f>
        <v>0</v>
      </c>
      <c r="EG115" s="21" cm="1">
        <f t="array" aca="1" ref="EG115" ca="1">SUM(INDIRECT(ADDRESS(savings_min_row, COLUMN()) &amp; ":" &amp; ADDRESS(savings_max_row, COLUMN())))</f>
        <v>0</v>
      </c>
      <c r="EH115" s="21" cm="1">
        <f t="array" aca="1" ref="EH115" ca="1">SUM(INDIRECT(ADDRESS(savings_min_row, COLUMN()) &amp; ":" &amp; ADDRESS(savings_max_row, COLUMN())))</f>
        <v>0</v>
      </c>
      <c r="EI115" s="21" cm="1">
        <f t="array" aca="1" ref="EI115" ca="1">SUM(INDIRECT(ADDRESS(savings_min_row, COLUMN()) &amp; ":" &amp; ADDRESS(savings_max_row, COLUMN())))</f>
        <v>0</v>
      </c>
      <c r="EJ115" s="21" cm="1">
        <f t="array" aca="1" ref="EJ115" ca="1">SUM(INDIRECT(ADDRESS(savings_min_row, COLUMN()) &amp; ":" &amp; ADDRESS(savings_max_row, COLUMN())))</f>
        <v>0</v>
      </c>
      <c r="EK115" s="21" cm="1">
        <f t="array" aca="1" ref="EK115" ca="1">SUM(INDIRECT(ADDRESS(savings_min_row, COLUMN()) &amp; ":" &amp; ADDRESS(savings_max_row, COLUMN())))</f>
        <v>0</v>
      </c>
      <c r="EL115" s="21" cm="1">
        <f t="array" aca="1" ref="EL115" ca="1">SUM(INDIRECT(ADDRESS(savings_min_row, COLUMN()) &amp; ":" &amp; ADDRESS(savings_max_row, COLUMN())))</f>
        <v>0</v>
      </c>
      <c r="EM115" s="21" cm="1">
        <f t="array" aca="1" ref="EM115" ca="1">SUM(INDIRECT(ADDRESS(savings_min_row, COLUMN()) &amp; ":" &amp; ADDRESS(savings_max_row, COLUMN())))</f>
        <v>0</v>
      </c>
    </row>
  </sheetData>
  <mergeCells count="10">
    <mergeCell ref="BW5:CI5"/>
    <mergeCell ref="CK5:CW5"/>
    <mergeCell ref="CY5:DK5"/>
    <mergeCell ref="DM5:DY5"/>
    <mergeCell ref="EA5:EM5"/>
    <mergeCell ref="E5:Q5"/>
    <mergeCell ref="S5:AE5"/>
    <mergeCell ref="AG5:AS5"/>
    <mergeCell ref="AU5:BG5"/>
    <mergeCell ref="BI5:BU5"/>
  </mergeCells>
  <conditionalFormatting sqref="C23:C101 E23:Q101 S23:AE101 AG23:AS101 AU23:BG101 BI23:BU101 BW23:CI101 CK23:CW101 CY23:DK101 DM23:DY101 EA23:EM101">
    <cfRule type="expression" dxfId="36" priority="6">
      <formula>ROW(A23)&lt;=expenses_max_row</formula>
    </cfRule>
  </conditionalFormatting>
  <conditionalFormatting sqref="C105:C114 E105:Q114 S105:AE114 AU105:BG114 BI105:BU114 BW105:CI114 CK105:CW114 CY105:DK114 DM105:DY114 EA105:EM114 AG105:AS114">
    <cfRule type="expression" dxfId="35" priority="5">
      <formula>ROW(A105)&lt;=savings_max_row</formula>
    </cfRule>
  </conditionalFormatting>
  <conditionalFormatting sqref="E6:Q7 S6:AE7 AG6:AS7 AU6:BG7 BI6:BU7 BW6:CI7 CK6:CW7 CY6:DK7 DM6:DY7 EA6:EM7">
    <cfRule type="expression" dxfId="34" priority="90" stopIfTrue="1">
      <formula>AND(E$20=0, E$102=0, E$115=0)</formula>
    </cfRule>
    <cfRule type="expression" dxfId="33" priority="91" stopIfTrue="1">
      <formula>E$7=0</formula>
    </cfRule>
    <cfRule type="expression" dxfId="32" priority="92">
      <formula>E$7&lt;0</formula>
    </cfRule>
  </conditionalFormatting>
  <conditionalFormatting sqref="J10:P10">
    <cfRule type="expression" dxfId="31" priority="1">
      <formula>ROW(C10)&lt;=income_max_row</formula>
    </cfRule>
  </conditionalFormatting>
  <conditionalFormatting sqref="K10:Q10 E10:I13 C10:C19 S10:AE19 AU10:BG19 BI10:BU19 BW10:CI19 CK10:CW19 CY10:DK19 DM10:DY19 EA10:EM19 J11:Q13 E14:Q19 AG10:AS19">
    <cfRule type="expression" dxfId="30" priority="7">
      <formula>ROW(A10)&lt;=income_max_row</formula>
    </cfRule>
  </conditionalFormatting>
  <pageMargins left="0.7" right="0.7" top="0.75" bottom="0.75" header="0.3" footer="0.3"/>
  <pageSetup paperSize="9" orientation="portrait" horizontalDpi="0" verticalDpi="0"/>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7812-C1D6-4F5E-9E55-5F0959DBC947}">
  <sheetPr>
    <tabColor theme="0"/>
  </sheetPr>
  <dimension ref="B1:M1334"/>
  <sheetViews>
    <sheetView showGridLines="0" tabSelected="1" zoomScale="130" zoomScaleNormal="130" workbookViewId="0">
      <pane ySplit="11" topLeftCell="A895" activePane="bottomLeft" state="frozen"/>
      <selection activeCell="E1" sqref="E1"/>
      <selection pane="bottomLeft" activeCell="M92" sqref="M92"/>
    </sheetView>
  </sheetViews>
  <sheetFormatPr baseColWidth="10" defaultColWidth="8.83203125" defaultRowHeight="15" outlineLevelRow="1" x14ac:dyDescent="0.2"/>
  <cols>
    <col min="1" max="1" width="5.5" customWidth="1"/>
    <col min="2" max="2" width="2.83203125" customWidth="1"/>
    <col min="3" max="4" width="14.5" customWidth="1"/>
    <col min="5" max="5" width="27.83203125" customWidth="1"/>
    <col min="6" max="6" width="16.6640625" customWidth="1"/>
    <col min="7" max="7" width="28.1640625" customWidth="1"/>
    <col min="8" max="8" width="16.6640625" customWidth="1"/>
    <col min="9" max="9" width="17.83203125" customWidth="1"/>
  </cols>
  <sheetData>
    <row r="1" spans="2:13" s="1" customFormat="1" ht="7.25" customHeight="1" x14ac:dyDescent="0.2"/>
    <row r="2" spans="2:13" s="1" customFormat="1" ht="27.5" customHeight="1" x14ac:dyDescent="0.3">
      <c r="B2" s="2" t="s">
        <v>67</v>
      </c>
    </row>
    <row r="3" spans="2:13" s="1" customFormat="1" ht="7.25" customHeight="1" x14ac:dyDescent="0.2"/>
    <row r="11" spans="2:13" x14ac:dyDescent="0.2">
      <c r="C11" s="31" t="s">
        <v>68</v>
      </c>
      <c r="D11" s="31" t="s">
        <v>69</v>
      </c>
      <c r="E11" s="31" t="s">
        <v>70</v>
      </c>
      <c r="F11" s="31" t="s">
        <v>71</v>
      </c>
      <c r="G11" s="31" t="s">
        <v>72</v>
      </c>
      <c r="H11" s="36" t="s">
        <v>73</v>
      </c>
      <c r="I11" s="36" t="s">
        <v>74</v>
      </c>
    </row>
    <row r="12" spans="2:13" x14ac:dyDescent="0.2">
      <c r="C12" s="94">
        <v>45627</v>
      </c>
      <c r="D12" s="32" t="s">
        <v>40</v>
      </c>
      <c r="E12" s="32" t="s">
        <v>41</v>
      </c>
      <c r="F12" s="34">
        <v>7300</v>
      </c>
      <c r="G12" s="35"/>
      <c r="H12" s="37" cm="1">
        <f t="array" ref="H12">IFERROR(SUMPRODUCT(Tracking[Amount], --(Tracking[Date]&lt;=Tracking[[#This Row],[Date]]), (Tracking[Type]&lt;&gt;"Income") * (-1) + (Tracking[Type]="Income")), "-")</f>
        <v>6666</v>
      </c>
      <c r="I12" s="95">
        <f>IF(AND(Tracking[[#This Row],[Type]]="Income", shift_late_income_status="Active", DAY(Tracking[[#This Row],[Date]])&gt;=shift_late_income_starting_day),
      DATE(YEAR(Tracking[[#This Row],[Date]]), MONTH(Tracking[[#This Row],[Date]])+1, 1),
      Tracking[[#This Row],[Date]])</f>
        <v>45627</v>
      </c>
    </row>
    <row r="13" spans="2:13" hidden="1" outlineLevel="1" x14ac:dyDescent="0.2">
      <c r="C13" s="94">
        <v>45627</v>
      </c>
      <c r="D13" s="32" t="s">
        <v>47</v>
      </c>
      <c r="E13" s="32" t="s">
        <v>51</v>
      </c>
      <c r="F13" s="34">
        <v>84</v>
      </c>
      <c r="G13" s="35" t="s">
        <v>75</v>
      </c>
      <c r="H13" s="37" cm="1">
        <f t="array" ref="H13">IFERROR(SUMPRODUCT(Tracking[Amount], --(Tracking[Date]&lt;=Tracking[[#This Row],[Date]]), (Tracking[Type]&lt;&gt;"Income") * (-1) + (Tracking[Type]="Income")), "-")</f>
        <v>6666</v>
      </c>
      <c r="I13" s="95">
        <f>IF(AND(Tracking[[#This Row],[Type]]="Income", shift_late_income_status="Active", DAY(Tracking[[#This Row],[Date]])&gt;=shift_late_income_starting_day),
      DATE(YEAR(Tracking[[#This Row],[Date]]), MONTH(Tracking[[#This Row],[Date]])+1, 1),
      Tracking[[#This Row],[Date]])</f>
        <v>45627</v>
      </c>
      <c r="K13" s="53"/>
      <c r="M13" s="53"/>
    </row>
    <row r="14" spans="2:13" hidden="1" outlineLevel="1" x14ac:dyDescent="0.2">
      <c r="C14" s="94">
        <v>45627</v>
      </c>
      <c r="D14" s="32" t="s">
        <v>47</v>
      </c>
      <c r="E14" s="32" t="s">
        <v>56</v>
      </c>
      <c r="F14" s="34">
        <v>550</v>
      </c>
      <c r="G14" s="35" t="s">
        <v>76</v>
      </c>
      <c r="H14" s="37" cm="1">
        <f t="array" ref="H14">IFERROR(SUMPRODUCT(Tracking[Amount], --(Tracking[Date]&lt;=Tracking[[#This Row],[Date]]), (Tracking[Type]&lt;&gt;"Income") * (-1) + (Tracking[Type]="Income")), "-")</f>
        <v>6666</v>
      </c>
      <c r="I14" s="95">
        <f>IF(AND(Tracking[[#This Row],[Type]]="Income", shift_late_income_status="Active", DAY(Tracking[[#This Row],[Date]])&gt;=shift_late_income_starting_day),
      DATE(YEAR(Tracking[[#This Row],[Date]]), MONTH(Tracking[[#This Row],[Date]])+1, 1),
      Tracking[[#This Row],[Date]])</f>
        <v>45627</v>
      </c>
    </row>
    <row r="15" spans="2:13" hidden="1" outlineLevel="1" x14ac:dyDescent="0.2">
      <c r="C15" s="94">
        <v>45628</v>
      </c>
      <c r="D15" s="32" t="s">
        <v>47</v>
      </c>
      <c r="E15" s="32" t="s">
        <v>51</v>
      </c>
      <c r="F15" s="34">
        <v>24</v>
      </c>
      <c r="G15" s="35" t="s">
        <v>77</v>
      </c>
      <c r="H15" s="37" cm="1">
        <f t="array" ref="H15">IFERROR(SUMPRODUCT(Tracking[Amount], --(Tracking[Date]&lt;=Tracking[[#This Row],[Date]]), (Tracking[Type]&lt;&gt;"Income") * (-1) + (Tracking[Type]="Income")), "-")</f>
        <v>6481.5</v>
      </c>
      <c r="I15" s="95">
        <f>IF(AND(Tracking[[#This Row],[Type]]="Income", shift_late_income_status="Active", DAY(Tracking[[#This Row],[Date]])&gt;=shift_late_income_starting_day),
      DATE(YEAR(Tracking[[#This Row],[Date]]), MONTH(Tracking[[#This Row],[Date]])+1, 1),
      Tracking[[#This Row],[Date]])</f>
        <v>45628</v>
      </c>
    </row>
    <row r="16" spans="2:13" hidden="1" outlineLevel="1" x14ac:dyDescent="0.2">
      <c r="C16" s="94">
        <v>45628</v>
      </c>
      <c r="D16" s="32" t="s">
        <v>47</v>
      </c>
      <c r="E16" s="32" t="s">
        <v>54</v>
      </c>
      <c r="F16" s="34">
        <v>147</v>
      </c>
      <c r="G16" s="35" t="s">
        <v>78</v>
      </c>
      <c r="H16" s="37" cm="1">
        <f t="array" ref="H16">IFERROR(SUMPRODUCT(Tracking[Amount], --(Tracking[Date]&lt;=Tracking[[#This Row],[Date]]), (Tracking[Type]&lt;&gt;"Income") * (-1) + (Tracking[Type]="Income")), "-")</f>
        <v>6481.5</v>
      </c>
      <c r="I16" s="95">
        <f>IF(AND(Tracking[[#This Row],[Type]]="Income", shift_late_income_status="Active", DAY(Tracking[[#This Row],[Date]])&gt;=shift_late_income_starting_day),
      DATE(YEAR(Tracking[[#This Row],[Date]]), MONTH(Tracking[[#This Row],[Date]])+1, 1),
      Tracking[[#This Row],[Date]])</f>
        <v>45628</v>
      </c>
    </row>
    <row r="17" spans="3:9" hidden="1" outlineLevel="1" x14ac:dyDescent="0.2">
      <c r="C17" s="94">
        <v>45628</v>
      </c>
      <c r="D17" s="32" t="s">
        <v>47</v>
      </c>
      <c r="E17" s="32" t="s">
        <v>59</v>
      </c>
      <c r="F17" s="34">
        <v>13.5</v>
      </c>
      <c r="G17" s="35" t="s">
        <v>79</v>
      </c>
      <c r="H17" s="37" cm="1">
        <f t="array" ref="H17">IFERROR(SUMPRODUCT(Tracking[Amount], --(Tracking[Date]&lt;=Tracking[[#This Row],[Date]]), (Tracking[Type]&lt;&gt;"Income") * (-1) + (Tracking[Type]="Income")), "-")</f>
        <v>6481.5</v>
      </c>
      <c r="I17" s="95">
        <f>IF(AND(Tracking[[#This Row],[Type]]="Income", shift_late_income_status="Active", DAY(Tracking[[#This Row],[Date]])&gt;=shift_late_income_starting_day),
      DATE(YEAR(Tracking[[#This Row],[Date]]), MONTH(Tracking[[#This Row],[Date]])+1, 1),
      Tracking[[#This Row],[Date]])</f>
        <v>45628</v>
      </c>
    </row>
    <row r="18" spans="3:9" hidden="1" outlineLevel="1" x14ac:dyDescent="0.2">
      <c r="C18" s="94">
        <v>45629</v>
      </c>
      <c r="D18" s="32" t="s">
        <v>47</v>
      </c>
      <c r="E18" s="32" t="s">
        <v>49</v>
      </c>
      <c r="F18" s="34">
        <v>15</v>
      </c>
      <c r="G18" s="35" t="s">
        <v>80</v>
      </c>
      <c r="H18" s="37" cm="1">
        <f t="array" ref="H18">IFERROR(SUMPRODUCT(Tracking[Amount], --(Tracking[Date]&lt;=Tracking[[#This Row],[Date]]), (Tracking[Type]&lt;&gt;"Income") * (-1) + (Tracking[Type]="Income")), "-")</f>
        <v>6447.5</v>
      </c>
      <c r="I18" s="95">
        <f>IF(AND(Tracking[[#This Row],[Type]]="Income", shift_late_income_status="Active", DAY(Tracking[[#This Row],[Date]])&gt;=shift_late_income_starting_day),
      DATE(YEAR(Tracking[[#This Row],[Date]]), MONTH(Tracking[[#This Row],[Date]])+1, 1),
      Tracking[[#This Row],[Date]])</f>
        <v>45629</v>
      </c>
    </row>
    <row r="19" spans="3:9" hidden="1" outlineLevel="1" x14ac:dyDescent="0.2">
      <c r="C19" s="94">
        <v>45629</v>
      </c>
      <c r="D19" s="32" t="s">
        <v>47</v>
      </c>
      <c r="E19" s="32" t="s">
        <v>49</v>
      </c>
      <c r="F19" s="34">
        <v>9</v>
      </c>
      <c r="G19" s="35" t="s">
        <v>81</v>
      </c>
      <c r="H19" s="37" cm="1">
        <f t="array" ref="H19">IFERROR(SUMPRODUCT(Tracking[Amount], --(Tracking[Date]&lt;=Tracking[[#This Row],[Date]]), (Tracking[Type]&lt;&gt;"Income") * (-1) + (Tracking[Type]="Income")), "-")</f>
        <v>6447.5</v>
      </c>
      <c r="I19" s="95">
        <f>IF(AND(Tracking[[#This Row],[Type]]="Income", shift_late_income_status="Active", DAY(Tracking[[#This Row],[Date]])&gt;=shift_late_income_starting_day),
      DATE(YEAR(Tracking[[#This Row],[Date]]), MONTH(Tracking[[#This Row],[Date]])+1, 1),
      Tracking[[#This Row],[Date]])</f>
        <v>45629</v>
      </c>
    </row>
    <row r="20" spans="3:9" hidden="1" outlineLevel="1" x14ac:dyDescent="0.2">
      <c r="C20" s="94">
        <v>45629</v>
      </c>
      <c r="D20" s="32" t="s">
        <v>47</v>
      </c>
      <c r="E20" s="32" t="s">
        <v>50</v>
      </c>
      <c r="F20" s="34">
        <v>10</v>
      </c>
      <c r="G20" s="35" t="s">
        <v>82</v>
      </c>
      <c r="H20" s="37" cm="1">
        <f t="array" ref="H20">IFERROR(SUMPRODUCT(Tracking[Amount], --(Tracking[Date]&lt;=Tracking[[#This Row],[Date]]), (Tracking[Type]&lt;&gt;"Income") * (-1) + (Tracking[Type]="Income")), "-")</f>
        <v>6447.5</v>
      </c>
      <c r="I20" s="95">
        <f>IF(AND(Tracking[[#This Row],[Type]]="Income", shift_late_income_status="Active", DAY(Tracking[[#This Row],[Date]])&gt;=shift_late_income_starting_day),
      DATE(YEAR(Tracking[[#This Row],[Date]]), MONTH(Tracking[[#This Row],[Date]])+1, 1),
      Tracking[[#This Row],[Date]])</f>
        <v>45629</v>
      </c>
    </row>
    <row r="21" spans="3:9" hidden="1" outlineLevel="1" x14ac:dyDescent="0.2">
      <c r="C21" s="94">
        <v>45630</v>
      </c>
      <c r="D21" s="32" t="s">
        <v>47</v>
      </c>
      <c r="E21" s="32" t="s">
        <v>49</v>
      </c>
      <c r="F21" s="34">
        <v>18</v>
      </c>
      <c r="G21" s="35" t="s">
        <v>83</v>
      </c>
      <c r="H21" s="37" cm="1">
        <f t="array" ref="H21">IFERROR(SUMPRODUCT(Tracking[Amount], --(Tracking[Date]&lt;=Tracking[[#This Row],[Date]]), (Tracking[Type]&lt;&gt;"Income") * (-1) + (Tracking[Type]="Income")), "-")</f>
        <v>6371.5</v>
      </c>
      <c r="I21" s="95">
        <f>IF(AND(Tracking[[#This Row],[Type]]="Income", shift_late_income_status="Active", DAY(Tracking[[#This Row],[Date]])&gt;=shift_late_income_starting_day),
      DATE(YEAR(Tracking[[#This Row],[Date]]), MONTH(Tracking[[#This Row],[Date]])+1, 1),
      Tracking[[#This Row],[Date]])</f>
        <v>45630</v>
      </c>
    </row>
    <row r="22" spans="3:9" hidden="1" outlineLevel="1" x14ac:dyDescent="0.2">
      <c r="C22" s="94">
        <v>45630</v>
      </c>
      <c r="D22" s="32" t="s">
        <v>47</v>
      </c>
      <c r="E22" s="32" t="s">
        <v>50</v>
      </c>
      <c r="F22" s="34">
        <v>51</v>
      </c>
      <c r="G22" s="35" t="s">
        <v>84</v>
      </c>
      <c r="H22" s="37" cm="1">
        <f t="array" ref="H22">IFERROR(SUMPRODUCT(Tracking[Amount], --(Tracking[Date]&lt;=Tracking[[#This Row],[Date]]), (Tracking[Type]&lt;&gt;"Income") * (-1) + (Tracking[Type]="Income")), "-")</f>
        <v>6371.5</v>
      </c>
      <c r="I22" s="95">
        <f>IF(AND(Tracking[[#This Row],[Type]]="Income", shift_late_income_status="Active", DAY(Tracking[[#This Row],[Date]])&gt;=shift_late_income_starting_day),
      DATE(YEAR(Tracking[[#This Row],[Date]]), MONTH(Tracking[[#This Row],[Date]])+1, 1),
      Tracking[[#This Row],[Date]])</f>
        <v>45630</v>
      </c>
    </row>
    <row r="23" spans="3:9" hidden="1" outlineLevel="1" x14ac:dyDescent="0.2">
      <c r="C23" s="94">
        <v>45630</v>
      </c>
      <c r="D23" s="32" t="s">
        <v>47</v>
      </c>
      <c r="E23" s="32" t="s">
        <v>44</v>
      </c>
      <c r="F23" s="34">
        <v>7</v>
      </c>
      <c r="G23" s="35" t="s">
        <v>85</v>
      </c>
      <c r="H23" s="37" cm="1">
        <f t="array" ref="H23">IFERROR(SUMPRODUCT(Tracking[Amount], --(Tracking[Date]&lt;=Tracking[[#This Row],[Date]]), (Tracking[Type]&lt;&gt;"Income") * (-1) + (Tracking[Type]="Income")), "-")</f>
        <v>6371.5</v>
      </c>
      <c r="I23" s="95">
        <f>IF(AND(Tracking[[#This Row],[Type]]="Income", shift_late_income_status="Active", DAY(Tracking[[#This Row],[Date]])&gt;=shift_late_income_starting_day),
      DATE(YEAR(Tracking[[#This Row],[Date]]), MONTH(Tracking[[#This Row],[Date]])+1, 1),
      Tracking[[#This Row],[Date]])</f>
        <v>45630</v>
      </c>
    </row>
    <row r="24" spans="3:9" hidden="1" outlineLevel="1" x14ac:dyDescent="0.2">
      <c r="C24" s="94">
        <v>45631</v>
      </c>
      <c r="D24" s="32" t="s">
        <v>47</v>
      </c>
      <c r="E24" s="32" t="s">
        <v>49</v>
      </c>
      <c r="F24" s="34">
        <v>35</v>
      </c>
      <c r="G24" s="35" t="s">
        <v>86</v>
      </c>
      <c r="H24" s="37" cm="1">
        <f t="array" ref="H24">IFERROR(SUMPRODUCT(Tracking[Amount], --(Tracking[Date]&lt;=Tracking[[#This Row],[Date]]), (Tracking[Type]&lt;&gt;"Income") * (-1) + (Tracking[Type]="Income")), "-")</f>
        <v>6336.5</v>
      </c>
      <c r="I24" s="95">
        <f>IF(AND(Tracking[[#This Row],[Type]]="Income", shift_late_income_status="Active", DAY(Tracking[[#This Row],[Date]])&gt;=shift_late_income_starting_day),
      DATE(YEAR(Tracking[[#This Row],[Date]]), MONTH(Tracking[[#This Row],[Date]])+1, 1),
      Tracking[[#This Row],[Date]])</f>
        <v>45631</v>
      </c>
    </row>
    <row r="25" spans="3:9" hidden="1" outlineLevel="1" x14ac:dyDescent="0.2">
      <c r="C25" s="33">
        <v>45632</v>
      </c>
      <c r="D25" s="32" t="s">
        <v>47</v>
      </c>
      <c r="E25" s="32" t="s">
        <v>48</v>
      </c>
      <c r="F25" s="34">
        <v>58</v>
      </c>
      <c r="G25" s="35" t="s">
        <v>87</v>
      </c>
      <c r="H25" s="37" cm="1">
        <f t="array" ref="H25">IFERROR(SUMPRODUCT(Tracking[Amount], --(Tracking[Date]&lt;=Tracking[[#This Row],[Date]]), (Tracking[Type]&lt;&gt;"Income") * (-1) + (Tracking[Type]="Income")), "-")</f>
        <v>5791.5</v>
      </c>
      <c r="I25" s="39">
        <f>IF(AND(Tracking[[#This Row],[Type]]="Income", shift_late_income_status="Active", DAY(Tracking[[#This Row],[Date]])&gt;=shift_late_income_starting_day),
      DATE(YEAR(Tracking[[#This Row],[Date]]), MONTH(Tracking[[#This Row],[Date]])+1, 1),
      Tracking[[#This Row],[Date]])</f>
        <v>45632</v>
      </c>
    </row>
    <row r="26" spans="3:9" hidden="1" outlineLevel="1" x14ac:dyDescent="0.2">
      <c r="C26" s="94">
        <v>45632</v>
      </c>
      <c r="D26" s="32" t="s">
        <v>47</v>
      </c>
      <c r="E26" s="32" t="s">
        <v>48</v>
      </c>
      <c r="F26" s="34">
        <v>10</v>
      </c>
      <c r="G26" s="35" t="s">
        <v>88</v>
      </c>
      <c r="H26" s="37" cm="1">
        <f t="array" ref="H26">IFERROR(SUMPRODUCT(Tracking[Amount], --(Tracking[Date]&lt;=Tracking[[#This Row],[Date]]), (Tracking[Type]&lt;&gt;"Income") * (-1) + (Tracking[Type]="Income")), "-")</f>
        <v>5791.5</v>
      </c>
      <c r="I26" s="95">
        <f>IF(AND(Tracking[[#This Row],[Type]]="Income", shift_late_income_status="Active", DAY(Tracking[[#This Row],[Date]])&gt;=shift_late_income_starting_day),
      DATE(YEAR(Tracking[[#This Row],[Date]]), MONTH(Tracking[[#This Row],[Date]])+1, 1),
      Tracking[[#This Row],[Date]])</f>
        <v>45632</v>
      </c>
    </row>
    <row r="27" spans="3:9" hidden="1" outlineLevel="1" x14ac:dyDescent="0.2">
      <c r="C27" s="94">
        <v>45632</v>
      </c>
      <c r="D27" s="32" t="s">
        <v>47</v>
      </c>
      <c r="E27" s="32" t="s">
        <v>48</v>
      </c>
      <c r="F27" s="34">
        <v>22</v>
      </c>
      <c r="G27" s="35" t="s">
        <v>89</v>
      </c>
      <c r="H27" s="37" cm="1">
        <f t="array" ref="H27">IFERROR(SUMPRODUCT(Tracking[Amount], --(Tracking[Date]&lt;=Tracking[[#This Row],[Date]]), (Tracking[Type]&lt;&gt;"Income") * (-1) + (Tracking[Type]="Income")), "-")</f>
        <v>5791.5</v>
      </c>
      <c r="I27" s="95">
        <f>IF(AND(Tracking[[#This Row],[Type]]="Income", shift_late_income_status="Active", DAY(Tracking[[#This Row],[Date]])&gt;=shift_late_income_starting_day),
      DATE(YEAR(Tracking[[#This Row],[Date]]), MONTH(Tracking[[#This Row],[Date]])+1, 1),
      Tracking[[#This Row],[Date]])</f>
        <v>45632</v>
      </c>
    </row>
    <row r="28" spans="3:9" hidden="1" outlineLevel="1" x14ac:dyDescent="0.2">
      <c r="C28" s="94">
        <v>45632</v>
      </c>
      <c r="D28" s="32" t="s">
        <v>47</v>
      </c>
      <c r="E28" s="32" t="s">
        <v>53</v>
      </c>
      <c r="F28" s="34">
        <v>57</v>
      </c>
      <c r="G28" s="35" t="s">
        <v>90</v>
      </c>
      <c r="H28" s="37" cm="1">
        <f t="array" ref="H28">IFERROR(SUMPRODUCT(Tracking[Amount], --(Tracking[Date]&lt;=Tracking[[#This Row],[Date]]), (Tracking[Type]&lt;&gt;"Income") * (-1) + (Tracking[Type]="Income")), "-")</f>
        <v>5791.5</v>
      </c>
      <c r="I28" s="95">
        <f>IF(AND(Tracking[[#This Row],[Type]]="Income", shift_late_income_status="Active", DAY(Tracking[[#This Row],[Date]])&gt;=shift_late_income_starting_day),
      DATE(YEAR(Tracking[[#This Row],[Date]]), MONTH(Tracking[[#This Row],[Date]])+1, 1),
      Tracking[[#This Row],[Date]])</f>
        <v>45632</v>
      </c>
    </row>
    <row r="29" spans="3:9" hidden="1" outlineLevel="1" x14ac:dyDescent="0.2">
      <c r="C29" s="94">
        <v>45632</v>
      </c>
      <c r="D29" s="32" t="s">
        <v>47</v>
      </c>
      <c r="E29" s="32" t="s">
        <v>56</v>
      </c>
      <c r="F29" s="34">
        <v>398</v>
      </c>
      <c r="G29" s="35" t="s">
        <v>91</v>
      </c>
      <c r="H29" s="37" cm="1">
        <f t="array" ref="H29">IFERROR(SUMPRODUCT(Tracking[Amount], --(Tracking[Date]&lt;=Tracking[[#This Row],[Date]]), (Tracking[Type]&lt;&gt;"Income") * (-1) + (Tracking[Type]="Income")), "-")</f>
        <v>5791.5</v>
      </c>
      <c r="I29" s="95">
        <f>IF(AND(Tracking[[#This Row],[Type]]="Income", shift_late_income_status="Active", DAY(Tracking[[#This Row],[Date]])&gt;=shift_late_income_starting_day),
      DATE(YEAR(Tracking[[#This Row],[Date]]), MONTH(Tracking[[#This Row],[Date]])+1, 1),
      Tracking[[#This Row],[Date]])</f>
        <v>45632</v>
      </c>
    </row>
    <row r="30" spans="3:9" hidden="1" outlineLevel="1" x14ac:dyDescent="0.2">
      <c r="C30" s="94">
        <v>45633</v>
      </c>
      <c r="D30" s="32" t="s">
        <v>47</v>
      </c>
      <c r="E30" s="32" t="s">
        <v>48</v>
      </c>
      <c r="F30" s="34">
        <v>33</v>
      </c>
      <c r="G30" s="35" t="s">
        <v>92</v>
      </c>
      <c r="H30" s="37" cm="1">
        <f t="array" ref="H30">IFERROR(SUMPRODUCT(Tracking[Amount], --(Tracking[Date]&lt;=Tracking[[#This Row],[Date]]), (Tracking[Type]&lt;&gt;"Income") * (-1) + (Tracking[Type]="Income")), "-")</f>
        <v>5564.5</v>
      </c>
      <c r="I30" s="95">
        <f>IF(AND(Tracking[[#This Row],[Type]]="Income", shift_late_income_status="Active", DAY(Tracking[[#This Row],[Date]])&gt;=shift_late_income_starting_day),
      DATE(YEAR(Tracking[[#This Row],[Date]]), MONTH(Tracking[[#This Row],[Date]])+1, 1),
      Tracking[[#This Row],[Date]])</f>
        <v>45633</v>
      </c>
    </row>
    <row r="31" spans="3:9" hidden="1" outlineLevel="1" x14ac:dyDescent="0.2">
      <c r="C31" s="94">
        <v>45633</v>
      </c>
      <c r="D31" s="32" t="s">
        <v>47</v>
      </c>
      <c r="E31" s="32" t="s">
        <v>48</v>
      </c>
      <c r="F31" s="34">
        <v>14</v>
      </c>
      <c r="G31" s="35" t="s">
        <v>93</v>
      </c>
      <c r="H31" s="37" cm="1">
        <f t="array" ref="H31">IFERROR(SUMPRODUCT(Tracking[Amount], --(Tracking[Date]&lt;=Tracking[[#This Row],[Date]]), (Tracking[Type]&lt;&gt;"Income") * (-1) + (Tracking[Type]="Income")), "-")</f>
        <v>5564.5</v>
      </c>
      <c r="I31" s="95">
        <f>IF(AND(Tracking[[#This Row],[Type]]="Income", shift_late_income_status="Active", DAY(Tracking[[#This Row],[Date]])&gt;=shift_late_income_starting_day),
      DATE(YEAR(Tracking[[#This Row],[Date]]), MONTH(Tracking[[#This Row],[Date]])+1, 1),
      Tracking[[#This Row],[Date]])</f>
        <v>45633</v>
      </c>
    </row>
    <row r="32" spans="3:9" hidden="1" outlineLevel="1" x14ac:dyDescent="0.2">
      <c r="C32" s="94">
        <v>45633</v>
      </c>
      <c r="D32" s="32" t="s">
        <v>47</v>
      </c>
      <c r="E32" s="32" t="s">
        <v>56</v>
      </c>
      <c r="F32" s="34">
        <v>180</v>
      </c>
      <c r="G32" s="35" t="s">
        <v>94</v>
      </c>
      <c r="H32" s="37" cm="1">
        <f t="array" ref="H32">IFERROR(SUMPRODUCT(Tracking[Amount], --(Tracking[Date]&lt;=Tracking[[#This Row],[Date]]), (Tracking[Type]&lt;&gt;"Income") * (-1) + (Tracking[Type]="Income")), "-")</f>
        <v>5564.5</v>
      </c>
      <c r="I32" s="95">
        <f>IF(AND(Tracking[[#This Row],[Type]]="Income", shift_late_income_status="Active", DAY(Tracking[[#This Row],[Date]])&gt;=shift_late_income_starting_day),
      DATE(YEAR(Tracking[[#This Row],[Date]]), MONTH(Tracking[[#This Row],[Date]])+1, 1),
      Tracking[[#This Row],[Date]])</f>
        <v>45633</v>
      </c>
    </row>
    <row r="33" spans="3:9" hidden="1" outlineLevel="1" x14ac:dyDescent="0.2">
      <c r="C33" s="94">
        <v>45634</v>
      </c>
      <c r="D33" s="32" t="s">
        <v>47</v>
      </c>
      <c r="E33" s="32" t="s">
        <v>55</v>
      </c>
      <c r="F33" s="34">
        <v>82</v>
      </c>
      <c r="G33" s="35" t="s">
        <v>95</v>
      </c>
      <c r="H33" s="37" cm="1">
        <f t="array" ref="H33">IFERROR(SUMPRODUCT(Tracking[Amount], --(Tracking[Date]&lt;=Tracking[[#This Row],[Date]]), (Tracking[Type]&lt;&gt;"Income") * (-1) + (Tracking[Type]="Income")), "-")</f>
        <v>5482.5</v>
      </c>
      <c r="I33" s="95">
        <f>IF(AND(Tracking[[#This Row],[Type]]="Income", shift_late_income_status="Active", DAY(Tracking[[#This Row],[Date]])&gt;=shift_late_income_starting_day),
      DATE(YEAR(Tracking[[#This Row],[Date]]), MONTH(Tracking[[#This Row],[Date]])+1, 1),
      Tracking[[#This Row],[Date]])</f>
        <v>45634</v>
      </c>
    </row>
    <row r="34" spans="3:9" hidden="1" outlineLevel="1" x14ac:dyDescent="0.2">
      <c r="C34" s="94">
        <v>45635</v>
      </c>
      <c r="D34" s="32" t="s">
        <v>47</v>
      </c>
      <c r="E34" s="32" t="s">
        <v>52</v>
      </c>
      <c r="F34" s="34">
        <v>41</v>
      </c>
      <c r="G34" s="35" t="s">
        <v>96</v>
      </c>
      <c r="H34" s="37" cm="1">
        <f t="array" ref="H34">IFERROR(SUMPRODUCT(Tracking[Amount], --(Tracking[Date]&lt;=Tracking[[#This Row],[Date]]), (Tracking[Type]&lt;&gt;"Income") * (-1) + (Tracking[Type]="Income")), "-")</f>
        <v>5722.5</v>
      </c>
      <c r="I34" s="95">
        <f>IF(AND(Tracking[[#This Row],[Type]]="Income", shift_late_income_status="Active", DAY(Tracking[[#This Row],[Date]])&gt;=shift_late_income_starting_day),
      DATE(YEAR(Tracking[[#This Row],[Date]]), MONTH(Tracking[[#This Row],[Date]])+1, 1),
      Tracking[[#This Row],[Date]])</f>
        <v>45635</v>
      </c>
    </row>
    <row r="35" spans="3:9" hidden="1" outlineLevel="1" x14ac:dyDescent="0.2">
      <c r="C35" s="94">
        <v>45635</v>
      </c>
      <c r="D35" s="32" t="s">
        <v>47</v>
      </c>
      <c r="E35" s="32" t="s">
        <v>59</v>
      </c>
      <c r="F35" s="34">
        <v>9</v>
      </c>
      <c r="G35" s="35" t="s">
        <v>97</v>
      </c>
      <c r="H35" s="37" cm="1">
        <f t="array" ref="H35">IFERROR(SUMPRODUCT(Tracking[Amount], --(Tracking[Date]&lt;=Tracking[[#This Row],[Date]]), (Tracking[Type]&lt;&gt;"Income") * (-1) + (Tracking[Type]="Income")), "-")</f>
        <v>5722.5</v>
      </c>
      <c r="I35" s="95">
        <f>IF(AND(Tracking[[#This Row],[Type]]="Income", shift_late_income_status="Active", DAY(Tracking[[#This Row],[Date]])&gt;=shift_late_income_starting_day),
      DATE(YEAR(Tracking[[#This Row],[Date]]), MONTH(Tracking[[#This Row],[Date]])+1, 1),
      Tracking[[#This Row],[Date]])</f>
        <v>45635</v>
      </c>
    </row>
    <row r="36" spans="3:9" hidden="1" outlineLevel="1" x14ac:dyDescent="0.2">
      <c r="C36" s="94">
        <v>45635</v>
      </c>
      <c r="D36" s="32" t="s">
        <v>40</v>
      </c>
      <c r="E36" s="32" t="s">
        <v>44</v>
      </c>
      <c r="F36" s="34">
        <v>310</v>
      </c>
      <c r="G36" s="35" t="s">
        <v>98</v>
      </c>
      <c r="H36" s="37" cm="1">
        <f t="array" ref="H36">IFERROR(SUMPRODUCT(Tracking[Amount], --(Tracking[Date]&lt;=Tracking[[#This Row],[Date]]), (Tracking[Type]&lt;&gt;"Income") * (-1) + (Tracking[Type]="Income")), "-")</f>
        <v>5722.5</v>
      </c>
      <c r="I36" s="95">
        <f>IF(AND(Tracking[[#This Row],[Type]]="Income", shift_late_income_status="Active", DAY(Tracking[[#This Row],[Date]])&gt;=shift_late_income_starting_day),
      DATE(YEAR(Tracking[[#This Row],[Date]]), MONTH(Tracking[[#This Row],[Date]])+1, 1),
      Tracking[[#This Row],[Date]])</f>
        <v>45635</v>
      </c>
    </row>
    <row r="37" spans="3:9" hidden="1" outlineLevel="1" x14ac:dyDescent="0.2">
      <c r="C37" s="94">
        <v>45635</v>
      </c>
      <c r="D37" s="32" t="s">
        <v>47</v>
      </c>
      <c r="E37" s="32" t="s">
        <v>44</v>
      </c>
      <c r="F37" s="34">
        <v>20</v>
      </c>
      <c r="G37" s="35" t="s">
        <v>99</v>
      </c>
      <c r="H37" s="37" cm="1">
        <f t="array" ref="H37">IFERROR(SUMPRODUCT(Tracking[Amount], --(Tracking[Date]&lt;=Tracking[[#This Row],[Date]]), (Tracking[Type]&lt;&gt;"Income") * (-1) + (Tracking[Type]="Income")), "-")</f>
        <v>5722.5</v>
      </c>
      <c r="I37" s="95">
        <f>IF(AND(Tracking[[#This Row],[Type]]="Income", shift_late_income_status="Active", DAY(Tracking[[#This Row],[Date]])&gt;=shift_late_income_starting_day),
      DATE(YEAR(Tracking[[#This Row],[Date]]), MONTH(Tracking[[#This Row],[Date]])+1, 1),
      Tracking[[#This Row],[Date]])</f>
        <v>45635</v>
      </c>
    </row>
    <row r="38" spans="3:9" hidden="1" outlineLevel="1" x14ac:dyDescent="0.2">
      <c r="C38" s="94">
        <v>45636</v>
      </c>
      <c r="D38" s="32" t="s">
        <v>47</v>
      </c>
      <c r="E38" s="32" t="s">
        <v>48</v>
      </c>
      <c r="F38" s="34">
        <v>43</v>
      </c>
      <c r="G38" s="35" t="s">
        <v>100</v>
      </c>
      <c r="H38" s="37" cm="1">
        <f t="array" ref="H38">IFERROR(SUMPRODUCT(Tracking[Amount], --(Tracking[Date]&lt;=Tracking[[#This Row],[Date]]), (Tracking[Type]&lt;&gt;"Income") * (-1) + (Tracking[Type]="Income")), "-")</f>
        <v>5559.5</v>
      </c>
      <c r="I38" s="95">
        <f>IF(AND(Tracking[[#This Row],[Type]]="Income", shift_late_income_status="Active", DAY(Tracking[[#This Row],[Date]])&gt;=shift_late_income_starting_day),
      DATE(YEAR(Tracking[[#This Row],[Date]]), MONTH(Tracking[[#This Row],[Date]])+1, 1),
      Tracking[[#This Row],[Date]])</f>
        <v>45636</v>
      </c>
    </row>
    <row r="39" spans="3:9" hidden="1" outlineLevel="1" x14ac:dyDescent="0.2">
      <c r="C39" s="94">
        <v>45636</v>
      </c>
      <c r="D39" s="32" t="s">
        <v>47</v>
      </c>
      <c r="E39" s="32" t="s">
        <v>56</v>
      </c>
      <c r="F39" s="34">
        <v>120</v>
      </c>
      <c r="G39" s="35" t="s">
        <v>101</v>
      </c>
      <c r="H39" s="37" cm="1">
        <f t="array" ref="H39">IFERROR(SUMPRODUCT(Tracking[Amount], --(Tracking[Date]&lt;=Tracking[[#This Row],[Date]]), (Tracking[Type]&lt;&gt;"Income") * (-1) + (Tracking[Type]="Income")), "-")</f>
        <v>5559.5</v>
      </c>
      <c r="I39" s="95">
        <f>IF(AND(Tracking[[#This Row],[Type]]="Income", shift_late_income_status="Active", DAY(Tracking[[#This Row],[Date]])&gt;=shift_late_income_starting_day),
      DATE(YEAR(Tracking[[#This Row],[Date]]), MONTH(Tracking[[#This Row],[Date]])+1, 1),
      Tracking[[#This Row],[Date]])</f>
        <v>45636</v>
      </c>
    </row>
    <row r="40" spans="3:9" hidden="1" outlineLevel="1" x14ac:dyDescent="0.2">
      <c r="C40" s="94">
        <v>45637</v>
      </c>
      <c r="D40" s="32" t="s">
        <v>47</v>
      </c>
      <c r="E40" s="32" t="s">
        <v>49</v>
      </c>
      <c r="F40" s="34">
        <v>3</v>
      </c>
      <c r="G40" s="35" t="s">
        <v>102</v>
      </c>
      <c r="H40" s="37" cm="1">
        <f t="array" ref="H40">IFERROR(SUMPRODUCT(Tracking[Amount], --(Tracking[Date]&lt;=Tracking[[#This Row],[Date]]), (Tracking[Type]&lt;&gt;"Income") * (-1) + (Tracking[Type]="Income")), "-")</f>
        <v>5450.5</v>
      </c>
      <c r="I40" s="95">
        <f>IF(AND(Tracking[[#This Row],[Type]]="Income", shift_late_income_status="Active", DAY(Tracking[[#This Row],[Date]])&gt;=shift_late_income_starting_day),
      DATE(YEAR(Tracking[[#This Row],[Date]]), MONTH(Tracking[[#This Row],[Date]])+1, 1),
      Tracking[[#This Row],[Date]])</f>
        <v>45637</v>
      </c>
    </row>
    <row r="41" spans="3:9" hidden="1" outlineLevel="1" x14ac:dyDescent="0.2">
      <c r="C41" s="94">
        <v>45637</v>
      </c>
      <c r="D41" s="32" t="s">
        <v>47</v>
      </c>
      <c r="E41" s="32" t="s">
        <v>49</v>
      </c>
      <c r="F41" s="34">
        <v>23</v>
      </c>
      <c r="G41" s="35" t="s">
        <v>103</v>
      </c>
      <c r="H41" s="37" cm="1">
        <f t="array" ref="H41">IFERROR(SUMPRODUCT(Tracking[Amount], --(Tracking[Date]&lt;=Tracking[[#This Row],[Date]]), (Tracking[Type]&lt;&gt;"Income") * (-1) + (Tracking[Type]="Income")), "-")</f>
        <v>5450.5</v>
      </c>
      <c r="I41" s="95">
        <f>IF(AND(Tracking[[#This Row],[Type]]="Income", shift_late_income_status="Active", DAY(Tracking[[#This Row],[Date]])&gt;=shift_late_income_starting_day),
      DATE(YEAR(Tracking[[#This Row],[Date]]), MONTH(Tracking[[#This Row],[Date]])+1, 1),
      Tracking[[#This Row],[Date]])</f>
        <v>45637</v>
      </c>
    </row>
    <row r="42" spans="3:9" hidden="1" outlineLevel="1" x14ac:dyDescent="0.2">
      <c r="C42" s="94">
        <v>45637</v>
      </c>
      <c r="D42" s="32" t="s">
        <v>47</v>
      </c>
      <c r="E42" s="32" t="s">
        <v>50</v>
      </c>
      <c r="F42" s="34">
        <v>83</v>
      </c>
      <c r="G42" s="35" t="s">
        <v>104</v>
      </c>
      <c r="H42" s="37" cm="1">
        <f t="array" ref="H42">IFERROR(SUMPRODUCT(Tracking[Amount], --(Tracking[Date]&lt;=Tracking[[#This Row],[Date]]), (Tracking[Type]&lt;&gt;"Income") * (-1) + (Tracking[Type]="Income")), "-")</f>
        <v>5450.5</v>
      </c>
      <c r="I42" s="95">
        <f>IF(AND(Tracking[[#This Row],[Type]]="Income", shift_late_income_status="Active", DAY(Tracking[[#This Row],[Date]])&gt;=shift_late_income_starting_day),
      DATE(YEAR(Tracking[[#This Row],[Date]]), MONTH(Tracking[[#This Row],[Date]])+1, 1),
      Tracking[[#This Row],[Date]])</f>
        <v>45637</v>
      </c>
    </row>
    <row r="43" spans="3:9" hidden="1" outlineLevel="1" x14ac:dyDescent="0.2">
      <c r="C43" s="94">
        <v>45638</v>
      </c>
      <c r="D43" s="32" t="s">
        <v>47</v>
      </c>
      <c r="E43" s="32" t="s">
        <v>48</v>
      </c>
      <c r="F43" s="34">
        <v>203</v>
      </c>
      <c r="G43" s="35" t="s">
        <v>100</v>
      </c>
      <c r="H43" s="37" cm="1">
        <f t="array" ref="H43">IFERROR(SUMPRODUCT(Tracking[Amount], --(Tracking[Date]&lt;=Tracking[[#This Row],[Date]]), (Tracking[Type]&lt;&gt;"Income") * (-1) + (Tracking[Type]="Income")), "-")</f>
        <v>5896.5</v>
      </c>
      <c r="I43" s="95">
        <f>IF(AND(Tracking[[#This Row],[Type]]="Income", shift_late_income_status="Active", DAY(Tracking[[#This Row],[Date]])&gt;=shift_late_income_starting_day),
      DATE(YEAR(Tracking[[#This Row],[Date]]), MONTH(Tracking[[#This Row],[Date]])+1, 1),
      Tracking[[#This Row],[Date]])</f>
        <v>45638</v>
      </c>
    </row>
    <row r="44" spans="3:9" hidden="1" outlineLevel="1" x14ac:dyDescent="0.2">
      <c r="C44" s="94">
        <v>45638</v>
      </c>
      <c r="D44" s="32" t="s">
        <v>47</v>
      </c>
      <c r="E44" s="32" t="s">
        <v>49</v>
      </c>
      <c r="F44" s="34">
        <v>5</v>
      </c>
      <c r="G44" s="35" t="s">
        <v>105</v>
      </c>
      <c r="H44" s="37" cm="1">
        <f t="array" ref="H44">IFERROR(SUMPRODUCT(Tracking[Amount], --(Tracking[Date]&lt;=Tracking[[#This Row],[Date]]), (Tracking[Type]&lt;&gt;"Income") * (-1) + (Tracking[Type]="Income")), "-")</f>
        <v>5896.5</v>
      </c>
      <c r="I44" s="95">
        <f>IF(AND(Tracking[[#This Row],[Type]]="Income", shift_late_income_status="Active", DAY(Tracking[[#This Row],[Date]])&gt;=shift_late_income_starting_day),
      DATE(YEAR(Tracking[[#This Row],[Date]]), MONTH(Tracking[[#This Row],[Date]])+1, 1),
      Tracking[[#This Row],[Date]])</f>
        <v>45638</v>
      </c>
    </row>
    <row r="45" spans="3:9" hidden="1" outlineLevel="1" x14ac:dyDescent="0.2">
      <c r="C45" s="94">
        <v>45638</v>
      </c>
      <c r="D45" s="32" t="s">
        <v>47</v>
      </c>
      <c r="E45" s="32" t="s">
        <v>50</v>
      </c>
      <c r="F45" s="34">
        <v>12</v>
      </c>
      <c r="G45" s="35" t="s">
        <v>106</v>
      </c>
      <c r="H45" s="37" cm="1">
        <f t="array" ref="H45">IFERROR(SUMPRODUCT(Tracking[Amount], --(Tracking[Date]&lt;=Tracking[[#This Row],[Date]]), (Tracking[Type]&lt;&gt;"Income") * (-1) + (Tracking[Type]="Income")), "-")</f>
        <v>5896.5</v>
      </c>
      <c r="I45" s="95">
        <f>IF(AND(Tracking[[#This Row],[Type]]="Income", shift_late_income_status="Active", DAY(Tracking[[#This Row],[Date]])&gt;=shift_late_income_starting_day),
      DATE(YEAR(Tracking[[#This Row],[Date]]), MONTH(Tracking[[#This Row],[Date]])+1, 1),
      Tracking[[#This Row],[Date]])</f>
        <v>45638</v>
      </c>
    </row>
    <row r="46" spans="3:9" hidden="1" outlineLevel="1" x14ac:dyDescent="0.2">
      <c r="C46" s="94">
        <v>45638</v>
      </c>
      <c r="D46" s="32" t="s">
        <v>40</v>
      </c>
      <c r="E46" s="32" t="s">
        <v>42</v>
      </c>
      <c r="F46" s="34">
        <v>666</v>
      </c>
      <c r="G46" s="35" t="s">
        <v>130</v>
      </c>
      <c r="H46" s="37" cm="1">
        <f t="array" ref="H46">IFERROR(SUMPRODUCT(Tracking[Amount], --(Tracking[Date]&lt;=Tracking[[#This Row],[Date]]), (Tracking[Type]&lt;&gt;"Income") * (-1) + (Tracking[Type]="Income")), "-")</f>
        <v>5896.5</v>
      </c>
      <c r="I46" s="95">
        <f>IF(AND(Tracking[[#This Row],[Type]]="Income", shift_late_income_status="Active", DAY(Tracking[[#This Row],[Date]])&gt;=shift_late_income_starting_day),
      DATE(YEAR(Tracking[[#This Row],[Date]]), MONTH(Tracking[[#This Row],[Date]])+1, 1),
      Tracking[[#This Row],[Date]])</f>
        <v>45638</v>
      </c>
    </row>
    <row r="47" spans="3:9" hidden="1" outlineLevel="1" x14ac:dyDescent="0.2">
      <c r="C47" s="94">
        <v>45639</v>
      </c>
      <c r="D47" s="32" t="s">
        <v>47</v>
      </c>
      <c r="E47" s="32" t="s">
        <v>49</v>
      </c>
      <c r="F47" s="34">
        <v>6</v>
      </c>
      <c r="G47" s="35" t="s">
        <v>102</v>
      </c>
      <c r="H47" s="37" cm="1">
        <f t="array" ref="H47">IFERROR(SUMPRODUCT(Tracking[Amount], --(Tracking[Date]&lt;=Tracking[[#This Row],[Date]]), (Tracking[Type]&lt;&gt;"Income") * (-1) + (Tracking[Type]="Income")), "-")</f>
        <v>5890.5</v>
      </c>
      <c r="I47" s="95">
        <f>IF(AND(Tracking[[#This Row],[Type]]="Income", shift_late_income_status="Active", DAY(Tracking[[#This Row],[Date]])&gt;=shift_late_income_starting_day),
      DATE(YEAR(Tracking[[#This Row],[Date]]), MONTH(Tracking[[#This Row],[Date]])+1, 1),
      Tracking[[#This Row],[Date]])</f>
        <v>45639</v>
      </c>
    </row>
    <row r="48" spans="3:9" hidden="1" outlineLevel="1" x14ac:dyDescent="0.2">
      <c r="C48" s="94">
        <v>45640</v>
      </c>
      <c r="D48" s="32" t="s">
        <v>47</v>
      </c>
      <c r="E48" s="32" t="s">
        <v>49</v>
      </c>
      <c r="F48" s="34">
        <v>30</v>
      </c>
      <c r="G48" s="35" t="s">
        <v>107</v>
      </c>
      <c r="H48" s="37" cm="1">
        <f t="array" ref="H48">IFERROR(SUMPRODUCT(Tracking[Amount], --(Tracking[Date]&lt;=Tracking[[#This Row],[Date]]), (Tracking[Type]&lt;&gt;"Income") * (-1) + (Tracking[Type]="Income")), "-")</f>
        <v>5837.5</v>
      </c>
      <c r="I48" s="95">
        <f>IF(AND(Tracking[[#This Row],[Type]]="Income", shift_late_income_status="Active", DAY(Tracking[[#This Row],[Date]])&gt;=shift_late_income_starting_day),
      DATE(YEAR(Tracking[[#This Row],[Date]]), MONTH(Tracking[[#This Row],[Date]])+1, 1),
      Tracking[[#This Row],[Date]])</f>
        <v>45640</v>
      </c>
    </row>
    <row r="49" spans="3:9" hidden="1" outlineLevel="1" x14ac:dyDescent="0.2">
      <c r="C49" s="94">
        <v>45640</v>
      </c>
      <c r="D49" s="32" t="s">
        <v>47</v>
      </c>
      <c r="E49" s="32" t="s">
        <v>54</v>
      </c>
      <c r="F49" s="34">
        <v>23</v>
      </c>
      <c r="G49" s="35" t="s">
        <v>108</v>
      </c>
      <c r="H49" s="37" cm="1">
        <f t="array" ref="H49">IFERROR(SUMPRODUCT(Tracking[Amount], --(Tracking[Date]&lt;=Tracking[[#This Row],[Date]]), (Tracking[Type]&lt;&gt;"Income") * (-1) + (Tracking[Type]="Income")), "-")</f>
        <v>5837.5</v>
      </c>
      <c r="I49" s="95">
        <f>IF(AND(Tracking[[#This Row],[Type]]="Income", shift_late_income_status="Active", DAY(Tracking[[#This Row],[Date]])&gt;=shift_late_income_starting_day),
      DATE(YEAR(Tracking[[#This Row],[Date]]), MONTH(Tracking[[#This Row],[Date]])+1, 1),
      Tracking[[#This Row],[Date]])</f>
        <v>45640</v>
      </c>
    </row>
    <row r="50" spans="3:9" hidden="1" outlineLevel="1" x14ac:dyDescent="0.2">
      <c r="C50" s="94">
        <v>45641</v>
      </c>
      <c r="D50" s="32" t="s">
        <v>47</v>
      </c>
      <c r="E50" s="32" t="s">
        <v>51</v>
      </c>
      <c r="F50" s="34">
        <v>85</v>
      </c>
      <c r="G50" s="35" t="s">
        <v>96</v>
      </c>
      <c r="H50" s="37" cm="1">
        <f t="array" ref="H50">IFERROR(SUMPRODUCT(Tracking[Amount], --(Tracking[Date]&lt;=Tracking[[#This Row],[Date]]), (Tracking[Type]&lt;&gt;"Income") * (-1) + (Tracking[Type]="Income")), "-")</f>
        <v>5700.5</v>
      </c>
      <c r="I50" s="95">
        <f>IF(AND(Tracking[[#This Row],[Type]]="Income", shift_late_income_status="Active", DAY(Tracking[[#This Row],[Date]])&gt;=shift_late_income_starting_day),
      DATE(YEAR(Tracking[[#This Row],[Date]]), MONTH(Tracking[[#This Row],[Date]])+1, 1),
      Tracking[[#This Row],[Date]])</f>
        <v>45641</v>
      </c>
    </row>
    <row r="51" spans="3:9" hidden="1" outlineLevel="1" x14ac:dyDescent="0.2">
      <c r="C51" s="94">
        <v>45641</v>
      </c>
      <c r="D51" s="32" t="s">
        <v>47</v>
      </c>
      <c r="E51" s="32" t="s">
        <v>48</v>
      </c>
      <c r="F51" s="34">
        <v>44</v>
      </c>
      <c r="G51" s="35" t="s">
        <v>109</v>
      </c>
      <c r="H51" s="37" cm="1">
        <f t="array" ref="H51">IFERROR(SUMPRODUCT(Tracking[Amount], --(Tracking[Date]&lt;=Tracking[[#This Row],[Date]]), (Tracking[Type]&lt;&gt;"Income") * (-1) + (Tracking[Type]="Income")), "-")</f>
        <v>5700.5</v>
      </c>
      <c r="I51" s="95">
        <f>IF(AND(Tracking[[#This Row],[Type]]="Income", shift_late_income_status="Active", DAY(Tracking[[#This Row],[Date]])&gt;=shift_late_income_starting_day),
      DATE(YEAR(Tracking[[#This Row],[Date]]), MONTH(Tracking[[#This Row],[Date]])+1, 1),
      Tracking[[#This Row],[Date]])</f>
        <v>45641</v>
      </c>
    </row>
    <row r="52" spans="3:9" hidden="1" outlineLevel="1" x14ac:dyDescent="0.2">
      <c r="C52" s="94">
        <v>45641</v>
      </c>
      <c r="D52" s="32" t="s">
        <v>47</v>
      </c>
      <c r="E52" s="32" t="s">
        <v>48</v>
      </c>
      <c r="F52" s="34">
        <v>7</v>
      </c>
      <c r="G52" s="35" t="s">
        <v>110</v>
      </c>
      <c r="H52" s="37" cm="1">
        <f t="array" ref="H52">IFERROR(SUMPRODUCT(Tracking[Amount], --(Tracking[Date]&lt;=Tracking[[#This Row],[Date]]), (Tracking[Type]&lt;&gt;"Income") * (-1) + (Tracking[Type]="Income")), "-")</f>
        <v>5700.5</v>
      </c>
      <c r="I52" s="95">
        <f>IF(AND(Tracking[[#This Row],[Type]]="Income", shift_late_income_status="Active", DAY(Tracking[[#This Row],[Date]])&gt;=shift_late_income_starting_day),
      DATE(YEAR(Tracking[[#This Row],[Date]]), MONTH(Tracking[[#This Row],[Date]])+1, 1),
      Tracking[[#This Row],[Date]])</f>
        <v>45641</v>
      </c>
    </row>
    <row r="53" spans="3:9" hidden="1" outlineLevel="1" x14ac:dyDescent="0.2">
      <c r="C53" s="94">
        <v>45641</v>
      </c>
      <c r="D53" s="32" t="s">
        <v>47</v>
      </c>
      <c r="E53" s="32" t="s">
        <v>60</v>
      </c>
      <c r="F53" s="34">
        <v>1</v>
      </c>
      <c r="G53" s="35" t="s">
        <v>111</v>
      </c>
      <c r="H53" s="37" cm="1">
        <f t="array" ref="H53">IFERROR(SUMPRODUCT(Tracking[Amount], --(Tracking[Date]&lt;=Tracking[[#This Row],[Date]]), (Tracking[Type]&lt;&gt;"Income") * (-1) + (Tracking[Type]="Income")), "-")</f>
        <v>5700.5</v>
      </c>
      <c r="I53" s="95">
        <f>IF(AND(Tracking[[#This Row],[Type]]="Income", shift_late_income_status="Active", DAY(Tracking[[#This Row],[Date]])&gt;=shift_late_income_starting_day),
      DATE(YEAR(Tracking[[#This Row],[Date]]), MONTH(Tracking[[#This Row],[Date]])+1, 1),
      Tracking[[#This Row],[Date]])</f>
        <v>45641</v>
      </c>
    </row>
    <row r="54" spans="3:9" hidden="1" outlineLevel="1" x14ac:dyDescent="0.2">
      <c r="C54" s="94">
        <v>45642</v>
      </c>
      <c r="D54" s="32" t="s">
        <v>47</v>
      </c>
      <c r="E54" s="32" t="s">
        <v>56</v>
      </c>
      <c r="F54" s="34">
        <v>190</v>
      </c>
      <c r="G54" s="35" t="s">
        <v>101</v>
      </c>
      <c r="H54" s="37" cm="1">
        <f t="array" ref="H54">IFERROR(SUMPRODUCT(Tracking[Amount], --(Tracking[Date]&lt;=Tracking[[#This Row],[Date]]), (Tracking[Type]&lt;&gt;"Income") * (-1) + (Tracking[Type]="Income")), "-")</f>
        <v>5510.5</v>
      </c>
      <c r="I54" s="95">
        <f>IF(AND(Tracking[[#This Row],[Type]]="Income", shift_late_income_status="Active", DAY(Tracking[[#This Row],[Date]])&gt;=shift_late_income_starting_day),
      DATE(YEAR(Tracking[[#This Row],[Date]]), MONTH(Tracking[[#This Row],[Date]])+1, 1),
      Tracking[[#This Row],[Date]])</f>
        <v>45642</v>
      </c>
    </row>
    <row r="55" spans="3:9" hidden="1" outlineLevel="1" x14ac:dyDescent="0.2">
      <c r="C55" s="94">
        <v>45643</v>
      </c>
      <c r="D55" s="32" t="s">
        <v>47</v>
      </c>
      <c r="E55" s="32" t="s">
        <v>56</v>
      </c>
      <c r="F55" s="34">
        <v>9</v>
      </c>
      <c r="G55" s="35" t="s">
        <v>112</v>
      </c>
      <c r="H55" s="37" cm="1">
        <f t="array" ref="H55">IFERROR(SUMPRODUCT(Tracking[Amount], --(Tracking[Date]&lt;=Tracking[[#This Row],[Date]]), (Tracking[Type]&lt;&gt;"Income") * (-1) + (Tracking[Type]="Income")), "-")</f>
        <v>5501.5</v>
      </c>
      <c r="I55" s="95">
        <f>IF(AND(Tracking[[#This Row],[Type]]="Income", shift_late_income_status="Active", DAY(Tracking[[#This Row],[Date]])&gt;=shift_late_income_starting_day),
      DATE(YEAR(Tracking[[#This Row],[Date]]), MONTH(Tracking[[#This Row],[Date]])+1, 1),
      Tracking[[#This Row],[Date]])</f>
        <v>45643</v>
      </c>
    </row>
    <row r="56" spans="3:9" hidden="1" outlineLevel="1" x14ac:dyDescent="0.2">
      <c r="C56" s="94">
        <v>45644</v>
      </c>
      <c r="D56" s="32" t="s">
        <v>47</v>
      </c>
      <c r="E56" s="32" t="s">
        <v>44</v>
      </c>
      <c r="F56" s="34">
        <v>73</v>
      </c>
      <c r="G56" s="35" t="s">
        <v>113</v>
      </c>
      <c r="H56" s="37" cm="1">
        <f t="array" ref="H56">IFERROR(SUMPRODUCT(Tracking[Amount], --(Tracking[Date]&lt;=Tracking[[#This Row],[Date]]), (Tracking[Type]&lt;&gt;"Income") * (-1) + (Tracking[Type]="Income")), "-")</f>
        <v>5678.5</v>
      </c>
      <c r="I56" s="95">
        <f>IF(AND(Tracking[[#This Row],[Type]]="Income", shift_late_income_status="Active", DAY(Tracking[[#This Row],[Date]])&gt;=shift_late_income_starting_day),
      DATE(YEAR(Tracking[[#This Row],[Date]]), MONTH(Tracking[[#This Row],[Date]])+1, 1),
      Tracking[[#This Row],[Date]])</f>
        <v>45644</v>
      </c>
    </row>
    <row r="57" spans="3:9" hidden="1" outlineLevel="1" x14ac:dyDescent="0.2">
      <c r="C57" s="94">
        <v>45644</v>
      </c>
      <c r="D57" s="32" t="s">
        <v>40</v>
      </c>
      <c r="E57" s="32" t="s">
        <v>43</v>
      </c>
      <c r="F57" s="34">
        <v>250</v>
      </c>
      <c r="G57" s="35" t="s">
        <v>114</v>
      </c>
      <c r="H57" s="37" cm="1">
        <f t="array" ref="H57">IFERROR(SUMPRODUCT(Tracking[Amount], --(Tracking[Date]&lt;=Tracking[[#This Row],[Date]]), (Tracking[Type]&lt;&gt;"Income") * (-1) + (Tracking[Type]="Income")), "-")</f>
        <v>5678.5</v>
      </c>
      <c r="I57" s="95">
        <f>IF(AND(Tracking[[#This Row],[Type]]="Income", shift_late_income_status="Active", DAY(Tracking[[#This Row],[Date]])&gt;=shift_late_income_starting_day),
      DATE(YEAR(Tracking[[#This Row],[Date]]), MONTH(Tracking[[#This Row],[Date]])+1, 1),
      Tracking[[#This Row],[Date]])</f>
        <v>45644</v>
      </c>
    </row>
    <row r="58" spans="3:9" hidden="1" outlineLevel="1" x14ac:dyDescent="0.2">
      <c r="C58" s="94">
        <v>45645</v>
      </c>
      <c r="D58" s="32" t="s">
        <v>47</v>
      </c>
      <c r="E58" s="32" t="s">
        <v>50</v>
      </c>
      <c r="F58" s="34">
        <v>34</v>
      </c>
      <c r="G58" s="35" t="s">
        <v>115</v>
      </c>
      <c r="H58" s="37" cm="1">
        <f t="array" ref="H58">IFERROR(SUMPRODUCT(Tracking[Amount], --(Tracking[Date]&lt;=Tracking[[#This Row],[Date]]), (Tracking[Type]&lt;&gt;"Income") * (-1) + (Tracking[Type]="Income")), "-")</f>
        <v>5420.5</v>
      </c>
      <c r="I58" s="95">
        <f>IF(AND(Tracking[[#This Row],[Type]]="Income", shift_late_income_status="Active", DAY(Tracking[[#This Row],[Date]])&gt;=shift_late_income_starting_day),
      DATE(YEAR(Tracking[[#This Row],[Date]]), MONTH(Tracking[[#This Row],[Date]])+1, 1),
      Tracking[[#This Row],[Date]])</f>
        <v>45645</v>
      </c>
    </row>
    <row r="59" spans="3:9" hidden="1" outlineLevel="1" x14ac:dyDescent="0.2">
      <c r="C59" s="94">
        <v>45645</v>
      </c>
      <c r="D59" s="32" t="s">
        <v>47</v>
      </c>
      <c r="E59" s="32" t="s">
        <v>51</v>
      </c>
      <c r="F59" s="34">
        <v>114</v>
      </c>
      <c r="G59" s="35" t="s">
        <v>116</v>
      </c>
      <c r="H59" s="37" cm="1">
        <f t="array" ref="H59">IFERROR(SUMPRODUCT(Tracking[Amount], --(Tracking[Date]&lt;=Tracking[[#This Row],[Date]]), (Tracking[Type]&lt;&gt;"Income") * (-1) + (Tracking[Type]="Income")), "-")</f>
        <v>5420.5</v>
      </c>
      <c r="I59" s="95">
        <f>IF(AND(Tracking[[#This Row],[Type]]="Income", shift_late_income_status="Active", DAY(Tracking[[#This Row],[Date]])&gt;=shift_late_income_starting_day),
      DATE(YEAR(Tracking[[#This Row],[Date]]), MONTH(Tracking[[#This Row],[Date]])+1, 1),
      Tracking[[#This Row],[Date]])</f>
        <v>45645</v>
      </c>
    </row>
    <row r="60" spans="3:9" hidden="1" outlineLevel="1" x14ac:dyDescent="0.2">
      <c r="C60" s="94">
        <v>45645</v>
      </c>
      <c r="D60" s="32" t="s">
        <v>47</v>
      </c>
      <c r="E60" s="32" t="s">
        <v>56</v>
      </c>
      <c r="F60" s="34">
        <v>110</v>
      </c>
      <c r="G60" s="35" t="s">
        <v>117</v>
      </c>
      <c r="H60" s="37" cm="1">
        <f t="array" ref="H60">IFERROR(SUMPRODUCT(Tracking[Amount], --(Tracking[Date]&lt;=Tracking[[#This Row],[Date]]), (Tracking[Type]&lt;&gt;"Income") * (-1) + (Tracking[Type]="Income")), "-")</f>
        <v>5420.5</v>
      </c>
      <c r="I60" s="95">
        <f>IF(AND(Tracking[[#This Row],[Type]]="Income", shift_late_income_status="Active", DAY(Tracking[[#This Row],[Date]])&gt;=shift_late_income_starting_day),
      DATE(YEAR(Tracking[[#This Row],[Date]]), MONTH(Tracking[[#This Row],[Date]])+1, 1),
      Tracking[[#This Row],[Date]])</f>
        <v>45645</v>
      </c>
    </row>
    <row r="61" spans="3:9" hidden="1" outlineLevel="1" x14ac:dyDescent="0.2">
      <c r="C61" s="94">
        <v>45646</v>
      </c>
      <c r="D61" s="32" t="s">
        <v>47</v>
      </c>
      <c r="E61" s="32" t="s">
        <v>48</v>
      </c>
      <c r="F61" s="34">
        <v>13</v>
      </c>
      <c r="G61" s="35" t="s">
        <v>118</v>
      </c>
      <c r="H61" s="37" cm="1">
        <f t="array" ref="H61">IFERROR(SUMPRODUCT(Tracking[Amount], --(Tracking[Date]&lt;=Tracking[[#This Row],[Date]]), (Tracking[Type]&lt;&gt;"Income") * (-1) + (Tracking[Type]="Income")), "-")</f>
        <v>4944.5</v>
      </c>
      <c r="I61" s="95">
        <f>IF(AND(Tracking[[#This Row],[Type]]="Income", shift_late_income_status="Active", DAY(Tracking[[#This Row],[Date]])&gt;=shift_late_income_starting_day),
      DATE(YEAR(Tracking[[#This Row],[Date]]), MONTH(Tracking[[#This Row],[Date]])+1, 1),
      Tracking[[#This Row],[Date]])</f>
        <v>45646</v>
      </c>
    </row>
    <row r="62" spans="3:9" hidden="1" outlineLevel="1" x14ac:dyDescent="0.2">
      <c r="C62" s="94">
        <v>45646</v>
      </c>
      <c r="D62" s="32" t="s">
        <v>47</v>
      </c>
      <c r="E62" s="32" t="s">
        <v>48</v>
      </c>
      <c r="F62" s="34">
        <v>136</v>
      </c>
      <c r="G62" s="35" t="s">
        <v>119</v>
      </c>
      <c r="H62" s="37" cm="1">
        <f t="array" ref="H62">IFERROR(SUMPRODUCT(Tracking[Amount], --(Tracking[Date]&lt;=Tracking[[#This Row],[Date]]), (Tracking[Type]&lt;&gt;"Income") * (-1) + (Tracking[Type]="Income")), "-")</f>
        <v>4944.5</v>
      </c>
      <c r="I62" s="95">
        <f>IF(AND(Tracking[[#This Row],[Type]]="Income", shift_late_income_status="Active", DAY(Tracking[[#This Row],[Date]])&gt;=shift_late_income_starting_day),
      DATE(YEAR(Tracking[[#This Row],[Date]]), MONTH(Tracking[[#This Row],[Date]])+1, 1),
      Tracking[[#This Row],[Date]])</f>
        <v>45646</v>
      </c>
    </row>
    <row r="63" spans="3:9" hidden="1" outlineLevel="1" x14ac:dyDescent="0.2">
      <c r="C63" s="94">
        <v>45646</v>
      </c>
      <c r="D63" s="32" t="s">
        <v>47</v>
      </c>
      <c r="E63" s="32" t="s">
        <v>44</v>
      </c>
      <c r="F63" s="34">
        <v>120</v>
      </c>
      <c r="G63" s="35" t="s">
        <v>120</v>
      </c>
      <c r="H63" s="37" cm="1">
        <f t="array" ref="H63">IFERROR(SUMPRODUCT(Tracking[Amount], --(Tracking[Date]&lt;=Tracking[[#This Row],[Date]]), (Tracking[Type]&lt;&gt;"Income") * (-1) + (Tracking[Type]="Income")), "-")</f>
        <v>4944.5</v>
      </c>
      <c r="I63" s="95">
        <f>IF(AND(Tracking[[#This Row],[Type]]="Income", shift_late_income_status="Active", DAY(Tracking[[#This Row],[Date]])&gt;=shift_late_income_starting_day),
      DATE(YEAR(Tracking[[#This Row],[Date]]), MONTH(Tracking[[#This Row],[Date]])+1, 1),
      Tracking[[#This Row],[Date]])</f>
        <v>45646</v>
      </c>
    </row>
    <row r="64" spans="3:9" hidden="1" outlineLevel="1" x14ac:dyDescent="0.2">
      <c r="C64" s="94">
        <v>45646</v>
      </c>
      <c r="D64" s="32" t="s">
        <v>47</v>
      </c>
      <c r="E64" s="32" t="s">
        <v>48</v>
      </c>
      <c r="F64" s="34">
        <v>165</v>
      </c>
      <c r="G64" s="35" t="s">
        <v>100</v>
      </c>
      <c r="H64" s="37" cm="1">
        <f t="array" ref="H64">IFERROR(SUMPRODUCT(Tracking[Amount], --(Tracking[Date]&lt;=Tracking[[#This Row],[Date]]), (Tracking[Type]&lt;&gt;"Income") * (-1) + (Tracking[Type]="Income")), "-")</f>
        <v>4944.5</v>
      </c>
      <c r="I64" s="95">
        <f>IF(AND(Tracking[[#This Row],[Type]]="Income", shift_late_income_status="Active", DAY(Tracking[[#This Row],[Date]])&gt;=shift_late_income_starting_day),
      DATE(YEAR(Tracking[[#This Row],[Date]]), MONTH(Tracking[[#This Row],[Date]])+1, 1),
      Tracking[[#This Row],[Date]])</f>
        <v>45646</v>
      </c>
    </row>
    <row r="65" spans="3:9" hidden="1" outlineLevel="1" x14ac:dyDescent="0.2">
      <c r="C65" s="94">
        <v>45646</v>
      </c>
      <c r="D65" s="32" t="s">
        <v>47</v>
      </c>
      <c r="E65" s="32" t="s">
        <v>49</v>
      </c>
      <c r="F65" s="34">
        <v>42</v>
      </c>
      <c r="G65" s="35" t="s">
        <v>121</v>
      </c>
      <c r="H65" s="37" cm="1">
        <f t="array" ref="H65">IFERROR(SUMPRODUCT(Tracking[Amount], --(Tracking[Date]&lt;=Tracking[[#This Row],[Date]]), (Tracking[Type]&lt;&gt;"Income") * (-1) + (Tracking[Type]="Income")), "-")</f>
        <v>4944.5</v>
      </c>
      <c r="I65" s="95">
        <f>IF(AND(Tracking[[#This Row],[Type]]="Income", shift_late_income_status="Active", DAY(Tracking[[#This Row],[Date]])&gt;=shift_late_income_starting_day),
      DATE(YEAR(Tracking[[#This Row],[Date]]), MONTH(Tracking[[#This Row],[Date]])+1, 1),
      Tracking[[#This Row],[Date]])</f>
        <v>45646</v>
      </c>
    </row>
    <row r="66" spans="3:9" hidden="1" outlineLevel="1" x14ac:dyDescent="0.2">
      <c r="C66" s="94">
        <v>45647</v>
      </c>
      <c r="D66" s="32" t="s">
        <v>47</v>
      </c>
      <c r="E66" s="32" t="s">
        <v>51</v>
      </c>
      <c r="F66" s="34">
        <v>10</v>
      </c>
      <c r="G66" s="35" t="s">
        <v>75</v>
      </c>
      <c r="H66" s="37" cm="1">
        <f t="array" ref="H66">IFERROR(SUMPRODUCT(Tracking[Amount], --(Tracking[Date]&lt;=Tracking[[#This Row],[Date]]), (Tracking[Type]&lt;&gt;"Income") * (-1) + (Tracking[Type]="Income")), "-")</f>
        <v>4532.5</v>
      </c>
      <c r="I66" s="95">
        <f>IF(AND(Tracking[[#This Row],[Type]]="Income", shift_late_income_status="Active", DAY(Tracking[[#This Row],[Date]])&gt;=shift_late_income_starting_day),
      DATE(YEAR(Tracking[[#This Row],[Date]]), MONTH(Tracking[[#This Row],[Date]])+1, 1),
      Tracking[[#This Row],[Date]])</f>
        <v>45647</v>
      </c>
    </row>
    <row r="67" spans="3:9" hidden="1" outlineLevel="1" x14ac:dyDescent="0.2">
      <c r="C67" s="94">
        <v>45647</v>
      </c>
      <c r="D67" s="32" t="s">
        <v>47</v>
      </c>
      <c r="E67" s="32" t="s">
        <v>44</v>
      </c>
      <c r="F67" s="34">
        <v>60</v>
      </c>
      <c r="G67" s="35" t="s">
        <v>122</v>
      </c>
      <c r="H67" s="37" cm="1">
        <f t="array" ref="H67">IFERROR(SUMPRODUCT(Tracking[Amount], --(Tracking[Date]&lt;=Tracking[[#This Row],[Date]]), (Tracking[Type]&lt;&gt;"Income") * (-1) + (Tracking[Type]="Income")), "-")</f>
        <v>4532.5</v>
      </c>
      <c r="I67" s="95">
        <f>IF(AND(Tracking[[#This Row],[Type]]="Income", shift_late_income_status="Active", DAY(Tracking[[#This Row],[Date]])&gt;=shift_late_income_starting_day),
      DATE(YEAR(Tracking[[#This Row],[Date]]), MONTH(Tracking[[#This Row],[Date]])+1, 1),
      Tracking[[#This Row],[Date]])</f>
        <v>45647</v>
      </c>
    </row>
    <row r="68" spans="3:9" hidden="1" outlineLevel="1" x14ac:dyDescent="0.2">
      <c r="C68" s="94">
        <v>45647</v>
      </c>
      <c r="D68" s="32" t="s">
        <v>47</v>
      </c>
      <c r="E68" s="32" t="s">
        <v>48</v>
      </c>
      <c r="F68" s="34">
        <v>3</v>
      </c>
      <c r="G68" s="35" t="s">
        <v>123</v>
      </c>
      <c r="H68" s="37" cm="1">
        <f t="array" ref="H68">IFERROR(SUMPRODUCT(Tracking[Amount], --(Tracking[Date]&lt;=Tracking[[#This Row],[Date]]), (Tracking[Type]&lt;&gt;"Income") * (-1) + (Tracking[Type]="Income")), "-")</f>
        <v>4532.5</v>
      </c>
      <c r="I68" s="95">
        <f>IF(AND(Tracking[[#This Row],[Type]]="Income", shift_late_income_status="Active", DAY(Tracking[[#This Row],[Date]])&gt;=shift_late_income_starting_day),
      DATE(YEAR(Tracking[[#This Row],[Date]]), MONTH(Tracking[[#This Row],[Date]])+1, 1),
      Tracking[[#This Row],[Date]])</f>
        <v>45647</v>
      </c>
    </row>
    <row r="69" spans="3:9" hidden="1" outlineLevel="1" x14ac:dyDescent="0.2">
      <c r="C69" s="94">
        <v>45647</v>
      </c>
      <c r="D69" s="32" t="s">
        <v>47</v>
      </c>
      <c r="E69" s="32" t="s">
        <v>49</v>
      </c>
      <c r="F69" s="34">
        <v>9</v>
      </c>
      <c r="G69" s="35" t="s">
        <v>124</v>
      </c>
      <c r="H69" s="37" cm="1">
        <f t="array" ref="H69">IFERROR(SUMPRODUCT(Tracking[Amount], --(Tracking[Date]&lt;=Tracking[[#This Row],[Date]]), (Tracking[Type]&lt;&gt;"Income") * (-1) + (Tracking[Type]="Income")), "-")</f>
        <v>4532.5</v>
      </c>
      <c r="I69" s="95">
        <f>IF(AND(Tracking[[#This Row],[Type]]="Income", shift_late_income_status="Active", DAY(Tracking[[#This Row],[Date]])&gt;=shift_late_income_starting_day),
      DATE(YEAR(Tracking[[#This Row],[Date]]), MONTH(Tracking[[#This Row],[Date]])+1, 1),
      Tracking[[#This Row],[Date]])</f>
        <v>45647</v>
      </c>
    </row>
    <row r="70" spans="3:9" hidden="1" outlineLevel="1" x14ac:dyDescent="0.2">
      <c r="C70" s="94">
        <v>45647</v>
      </c>
      <c r="D70" s="32" t="s">
        <v>47</v>
      </c>
      <c r="E70" s="32" t="s">
        <v>58</v>
      </c>
      <c r="F70" s="34">
        <v>49</v>
      </c>
      <c r="G70" s="35" t="s">
        <v>125</v>
      </c>
      <c r="H70" s="37" cm="1">
        <f t="array" ref="H70">IFERROR(SUMPRODUCT(Tracking[Amount], --(Tracking[Date]&lt;=Tracking[[#This Row],[Date]]), (Tracking[Type]&lt;&gt;"Income") * (-1) + (Tracking[Type]="Income")), "-")</f>
        <v>4532.5</v>
      </c>
      <c r="I70" s="95">
        <f>IF(AND(Tracking[[#This Row],[Type]]="Income", shift_late_income_status="Active", DAY(Tracking[[#This Row],[Date]])&gt;=shift_late_income_starting_day),
      DATE(YEAR(Tracking[[#This Row],[Date]]), MONTH(Tracking[[#This Row],[Date]])+1, 1),
      Tracking[[#This Row],[Date]])</f>
        <v>45647</v>
      </c>
    </row>
    <row r="71" spans="3:9" hidden="1" outlineLevel="1" x14ac:dyDescent="0.2">
      <c r="C71" s="94">
        <v>45647</v>
      </c>
      <c r="D71" s="32" t="s">
        <v>47</v>
      </c>
      <c r="E71" s="32" t="s">
        <v>60</v>
      </c>
      <c r="F71" s="34">
        <v>2</v>
      </c>
      <c r="G71" s="35" t="s">
        <v>126</v>
      </c>
      <c r="H71" s="37" cm="1">
        <f t="array" ref="H71">IFERROR(SUMPRODUCT(Tracking[Amount], --(Tracking[Date]&lt;=Tracking[[#This Row],[Date]]), (Tracking[Type]&lt;&gt;"Income") * (-1) + (Tracking[Type]="Income")), "-")</f>
        <v>4532.5</v>
      </c>
      <c r="I71" s="95">
        <f>IF(AND(Tracking[[#This Row],[Type]]="Income", shift_late_income_status="Active", DAY(Tracking[[#This Row],[Date]])&gt;=shift_late_income_starting_day),
      DATE(YEAR(Tracking[[#This Row],[Date]]), MONTH(Tracking[[#This Row],[Date]])+1, 1),
      Tracking[[#This Row],[Date]])</f>
        <v>45647</v>
      </c>
    </row>
    <row r="72" spans="3:9" hidden="1" outlineLevel="1" x14ac:dyDescent="0.2">
      <c r="C72" s="94">
        <v>45647</v>
      </c>
      <c r="D72" s="32" t="s">
        <v>47</v>
      </c>
      <c r="E72" s="32" t="s">
        <v>58</v>
      </c>
      <c r="F72" s="34">
        <v>215</v>
      </c>
      <c r="G72" s="35" t="s">
        <v>127</v>
      </c>
      <c r="H72" s="37" cm="1">
        <f t="array" ref="H72">IFERROR(SUMPRODUCT(Tracking[Amount], --(Tracking[Date]&lt;=Tracking[[#This Row],[Date]]), (Tracking[Type]&lt;&gt;"Income") * (-1) + (Tracking[Type]="Income")), "-")</f>
        <v>4532.5</v>
      </c>
      <c r="I72" s="95">
        <f>IF(AND(Tracking[[#This Row],[Type]]="Income", shift_late_income_status="Active", DAY(Tracking[[#This Row],[Date]])&gt;=shift_late_income_starting_day),
      DATE(YEAR(Tracking[[#This Row],[Date]]), MONTH(Tracking[[#This Row],[Date]])+1, 1),
      Tracking[[#This Row],[Date]])</f>
        <v>45647</v>
      </c>
    </row>
    <row r="73" spans="3:9" hidden="1" outlineLevel="1" x14ac:dyDescent="0.2">
      <c r="C73" s="94">
        <v>45647</v>
      </c>
      <c r="D73" s="32" t="s">
        <v>47</v>
      </c>
      <c r="E73" s="32" t="s">
        <v>52</v>
      </c>
      <c r="F73" s="34">
        <v>27</v>
      </c>
      <c r="G73" s="35" t="s">
        <v>128</v>
      </c>
      <c r="H73" s="37" cm="1">
        <f t="array" ref="H73">IFERROR(SUMPRODUCT(Tracking[Amount], --(Tracking[Date]&lt;=Tracking[[#This Row],[Date]]), (Tracking[Type]&lt;&gt;"Income") * (-1) + (Tracking[Type]="Income")), "-")</f>
        <v>4532.5</v>
      </c>
      <c r="I73" s="95">
        <f>IF(AND(Tracking[[#This Row],[Type]]="Income", shift_late_income_status="Active", DAY(Tracking[[#This Row],[Date]])&gt;=shift_late_income_starting_day),
      DATE(YEAR(Tracking[[#This Row],[Date]]), MONTH(Tracking[[#This Row],[Date]])+1, 1),
      Tracking[[#This Row],[Date]])</f>
        <v>45647</v>
      </c>
    </row>
    <row r="74" spans="3:9" hidden="1" outlineLevel="1" x14ac:dyDescent="0.2">
      <c r="C74" s="94">
        <v>45647</v>
      </c>
      <c r="D74" s="32" t="s">
        <v>47</v>
      </c>
      <c r="E74" s="32" t="s">
        <v>49</v>
      </c>
      <c r="F74" s="34">
        <v>37</v>
      </c>
      <c r="G74" s="35" t="s">
        <v>129</v>
      </c>
      <c r="H74" s="37" cm="1">
        <f t="array" ref="H74">IFERROR(SUMPRODUCT(Tracking[Amount], --(Tracking[Date]&lt;=Tracking[[#This Row],[Date]]), (Tracking[Type]&lt;&gt;"Income") * (-1) + (Tracking[Type]="Income")), "-")</f>
        <v>4532.5</v>
      </c>
      <c r="I74" s="95">
        <f>IF(AND(Tracking[[#This Row],[Type]]="Income", shift_late_income_status="Active", DAY(Tracking[[#This Row],[Date]])&gt;=shift_late_income_starting_day),
      DATE(YEAR(Tracking[[#This Row],[Date]]), MONTH(Tracking[[#This Row],[Date]])+1, 1),
      Tracking[[#This Row],[Date]])</f>
        <v>45647</v>
      </c>
    </row>
    <row r="75" spans="3:9" hidden="1" outlineLevel="1" x14ac:dyDescent="0.2">
      <c r="C75" s="94">
        <v>45648</v>
      </c>
      <c r="D75" s="32" t="s">
        <v>47</v>
      </c>
      <c r="E75" s="32" t="s">
        <v>51</v>
      </c>
      <c r="F75" s="34">
        <v>92</v>
      </c>
      <c r="G75" s="35" t="s">
        <v>131</v>
      </c>
      <c r="H75" s="37" cm="1">
        <f t="array" ref="H75">IFERROR(SUMPRODUCT(Tracking[Amount], --(Tracking[Date]&lt;=Tracking[[#This Row],[Date]]), (Tracking[Type]&lt;&gt;"Income") * (-1) + (Tracking[Type]="Income")), "-")</f>
        <v>4429.5</v>
      </c>
      <c r="I75" s="95">
        <f>IF(AND(Tracking[[#This Row],[Type]]="Income", shift_late_income_status="Active", DAY(Tracking[[#This Row],[Date]])&gt;=shift_late_income_starting_day),
      DATE(YEAR(Tracking[[#This Row],[Date]]), MONTH(Tracking[[#This Row],[Date]])+1, 1),
      Tracking[[#This Row],[Date]])</f>
        <v>45648</v>
      </c>
    </row>
    <row r="76" spans="3:9" hidden="1" outlineLevel="1" x14ac:dyDescent="0.2">
      <c r="C76" s="94">
        <v>45648</v>
      </c>
      <c r="D76" s="32" t="s">
        <v>47</v>
      </c>
      <c r="E76" s="32" t="s">
        <v>48</v>
      </c>
      <c r="F76" s="34">
        <v>11</v>
      </c>
      <c r="G76" s="35" t="s">
        <v>132</v>
      </c>
      <c r="H76" s="37" cm="1">
        <f t="array" ref="H76">IFERROR(SUMPRODUCT(Tracking[Amount], --(Tracking[Date]&lt;=Tracking[[#This Row],[Date]]), (Tracking[Type]&lt;&gt;"Income") * (-1) + (Tracking[Type]="Income")), "-")</f>
        <v>4429.5</v>
      </c>
      <c r="I76" s="95">
        <f>IF(AND(Tracking[[#This Row],[Type]]="Income", shift_late_income_status="Active", DAY(Tracking[[#This Row],[Date]])&gt;=shift_late_income_starting_day),
      DATE(YEAR(Tracking[[#This Row],[Date]]), MONTH(Tracking[[#This Row],[Date]])+1, 1),
      Tracking[[#This Row],[Date]])</f>
        <v>45648</v>
      </c>
    </row>
    <row r="77" spans="3:9" hidden="1" outlineLevel="1" x14ac:dyDescent="0.2">
      <c r="C77" s="94">
        <v>45649</v>
      </c>
      <c r="D77" s="32" t="s">
        <v>47</v>
      </c>
      <c r="E77" s="32" t="s">
        <v>44</v>
      </c>
      <c r="F77" s="34">
        <v>144</v>
      </c>
      <c r="G77" s="35" t="s">
        <v>138</v>
      </c>
      <c r="H77" s="37" cm="1">
        <f t="array" ref="H77">IFERROR(SUMPRODUCT(Tracking[Amount], --(Tracking[Date]&lt;=Tracking[[#This Row],[Date]]), (Tracking[Type]&lt;&gt;"Income") * (-1) + (Tracking[Type]="Income")), "-")</f>
        <v>4246.5</v>
      </c>
      <c r="I77" s="95">
        <f>IF(AND(Tracking[[#This Row],[Type]]="Income", shift_late_income_status="Active", DAY(Tracking[[#This Row],[Date]])&gt;=shift_late_income_starting_day),
      DATE(YEAR(Tracking[[#This Row],[Date]]), MONTH(Tracking[[#This Row],[Date]])+1, 1),
      Tracking[[#This Row],[Date]])</f>
        <v>45649</v>
      </c>
    </row>
    <row r="78" spans="3:9" hidden="1" outlineLevel="1" x14ac:dyDescent="0.2">
      <c r="C78" s="94">
        <v>45649</v>
      </c>
      <c r="D78" s="32" t="s">
        <v>47</v>
      </c>
      <c r="E78" s="32" t="s">
        <v>48</v>
      </c>
      <c r="F78" s="34">
        <v>39</v>
      </c>
      <c r="G78" s="35" t="s">
        <v>217</v>
      </c>
      <c r="H78" s="37" cm="1">
        <f t="array" ref="H78">IFERROR(SUMPRODUCT(Tracking[Amount], --(Tracking[Date]&lt;=Tracking[[#This Row],[Date]]), (Tracking[Type]&lt;&gt;"Income") * (-1) + (Tracking[Type]="Income")), "-")</f>
        <v>4246.5</v>
      </c>
      <c r="I78" s="95">
        <f>IF(AND(Tracking[[#This Row],[Type]]="Income", shift_late_income_status="Active", DAY(Tracking[[#This Row],[Date]])&gt;=shift_late_income_starting_day),
      DATE(YEAR(Tracking[[#This Row],[Date]]), MONTH(Tracking[[#This Row],[Date]])+1, 1),
      Tracking[[#This Row],[Date]])</f>
        <v>45649</v>
      </c>
    </row>
    <row r="79" spans="3:9" hidden="1" outlineLevel="1" x14ac:dyDescent="0.2">
      <c r="C79" s="94">
        <v>45650</v>
      </c>
      <c r="D79" s="32" t="s">
        <v>47</v>
      </c>
      <c r="E79" s="32" t="s">
        <v>59</v>
      </c>
      <c r="F79" s="34">
        <v>15</v>
      </c>
      <c r="G79" s="35" t="s">
        <v>133</v>
      </c>
      <c r="H79" s="37" cm="1">
        <f t="array" ref="H79">IFERROR(SUMPRODUCT(Tracking[Amount], --(Tracking[Date]&lt;=Tracking[[#This Row],[Date]]), (Tracking[Type]&lt;&gt;"Income") * (-1) + (Tracking[Type]="Income")), "-")</f>
        <v>4096.5</v>
      </c>
      <c r="I79" s="95">
        <f>IF(AND(Tracking[[#This Row],[Type]]="Income", shift_late_income_status="Active", DAY(Tracking[[#This Row],[Date]])&gt;=shift_late_income_starting_day),
      DATE(YEAR(Tracking[[#This Row],[Date]]), MONTH(Tracking[[#This Row],[Date]])+1, 1),
      Tracking[[#This Row],[Date]])</f>
        <v>45650</v>
      </c>
    </row>
    <row r="80" spans="3:9" hidden="1" outlineLevel="1" x14ac:dyDescent="0.2">
      <c r="C80" s="94">
        <v>45650</v>
      </c>
      <c r="D80" s="32" t="s">
        <v>47</v>
      </c>
      <c r="E80" s="32" t="s">
        <v>58</v>
      </c>
      <c r="F80" s="34">
        <v>82</v>
      </c>
      <c r="G80" s="35" t="s">
        <v>134</v>
      </c>
      <c r="H80" s="37" cm="1">
        <f t="array" ref="H80">IFERROR(SUMPRODUCT(Tracking[Amount], --(Tracking[Date]&lt;=Tracking[[#This Row],[Date]]), (Tracking[Type]&lt;&gt;"Income") * (-1) + (Tracking[Type]="Income")), "-")</f>
        <v>4096.5</v>
      </c>
      <c r="I80" s="95">
        <f>IF(AND(Tracking[[#This Row],[Type]]="Income", shift_late_income_status="Active", DAY(Tracking[[#This Row],[Date]])&gt;=shift_late_income_starting_day),
      DATE(YEAR(Tracking[[#This Row],[Date]]), MONTH(Tracking[[#This Row],[Date]])+1, 1),
      Tracking[[#This Row],[Date]])</f>
        <v>45650</v>
      </c>
    </row>
    <row r="81" spans="3:9" hidden="1" outlineLevel="1" x14ac:dyDescent="0.2">
      <c r="C81" s="94">
        <v>45650</v>
      </c>
      <c r="D81" s="32" t="s">
        <v>47</v>
      </c>
      <c r="E81" s="32" t="s">
        <v>51</v>
      </c>
      <c r="F81" s="34">
        <v>16</v>
      </c>
      <c r="G81" s="35" t="s">
        <v>75</v>
      </c>
      <c r="H81" s="37" cm="1">
        <f t="array" ref="H81">IFERROR(SUMPRODUCT(Tracking[Amount], --(Tracking[Date]&lt;=Tracking[[#This Row],[Date]]), (Tracking[Type]&lt;&gt;"Income") * (-1) + (Tracking[Type]="Income")), "-")</f>
        <v>4096.5</v>
      </c>
      <c r="I81" s="95">
        <f>IF(AND(Tracking[[#This Row],[Type]]="Income", shift_late_income_status="Active", DAY(Tracking[[#This Row],[Date]])&gt;=shift_late_income_starting_day),
      DATE(YEAR(Tracking[[#This Row],[Date]]), MONTH(Tracking[[#This Row],[Date]])+1, 1),
      Tracking[[#This Row],[Date]])</f>
        <v>45650</v>
      </c>
    </row>
    <row r="82" spans="3:9" hidden="1" outlineLevel="1" x14ac:dyDescent="0.2">
      <c r="C82" s="94">
        <v>45650</v>
      </c>
      <c r="D82" s="32" t="s">
        <v>47</v>
      </c>
      <c r="E82" s="32" t="s">
        <v>59</v>
      </c>
      <c r="F82" s="34">
        <v>21</v>
      </c>
      <c r="G82" s="35" t="s">
        <v>218</v>
      </c>
      <c r="H82" s="37" cm="1">
        <f t="array" ref="H82">IFERROR(SUMPRODUCT(Tracking[Amount], --(Tracking[Date]&lt;=Tracking[[#This Row],[Date]]), (Tracking[Type]&lt;&gt;"Income") * (-1) + (Tracking[Type]="Income")), "-")</f>
        <v>4096.5</v>
      </c>
      <c r="I82" s="95">
        <f>IF(AND(Tracking[[#This Row],[Type]]="Income", shift_late_income_status="Active", DAY(Tracking[[#This Row],[Date]])&gt;=shift_late_income_starting_day),
      DATE(YEAR(Tracking[[#This Row],[Date]]), MONTH(Tracking[[#This Row],[Date]])+1, 1),
      Tracking[[#This Row],[Date]])</f>
        <v>45650</v>
      </c>
    </row>
    <row r="83" spans="3:9" hidden="1" outlineLevel="1" x14ac:dyDescent="0.2">
      <c r="C83" s="94">
        <v>45650</v>
      </c>
      <c r="D83" s="32" t="s">
        <v>47</v>
      </c>
      <c r="E83" s="32" t="s">
        <v>55</v>
      </c>
      <c r="F83" s="34">
        <v>16</v>
      </c>
      <c r="G83" s="35" t="s">
        <v>219</v>
      </c>
      <c r="H83" s="37" cm="1">
        <f t="array" ref="H83">IFERROR(SUMPRODUCT(Tracking[Amount], --(Tracking[Date]&lt;=Tracking[[#This Row],[Date]]), (Tracking[Type]&lt;&gt;"Income") * (-1) + (Tracking[Type]="Income")), "-")</f>
        <v>4096.5</v>
      </c>
      <c r="I83" s="95">
        <f>IF(AND(Tracking[[#This Row],[Type]]="Income", shift_late_income_status="Active", DAY(Tracking[[#This Row],[Date]])&gt;=shift_late_income_starting_day),
      DATE(YEAR(Tracking[[#This Row],[Date]]), MONTH(Tracking[[#This Row],[Date]])+1, 1),
      Tracking[[#This Row],[Date]])</f>
        <v>45650</v>
      </c>
    </row>
    <row r="84" spans="3:9" hidden="1" outlineLevel="1" x14ac:dyDescent="0.2">
      <c r="C84" s="94">
        <v>45651</v>
      </c>
      <c r="D84" s="32" t="s">
        <v>47</v>
      </c>
      <c r="E84" s="32" t="s">
        <v>44</v>
      </c>
      <c r="F84" s="34">
        <v>200</v>
      </c>
      <c r="G84" s="35" t="s">
        <v>135</v>
      </c>
      <c r="H84" s="37" cm="1">
        <f t="array" ref="H84">IFERROR(SUMPRODUCT(Tracking[Amount], --(Tracking[Date]&lt;=Tracking[[#This Row],[Date]]), (Tracking[Type]&lt;&gt;"Income") * (-1) + (Tracking[Type]="Income")), "-")</f>
        <v>5788.5</v>
      </c>
      <c r="I84" s="95">
        <f>IF(AND(Tracking[[#This Row],[Type]]="Income", shift_late_income_status="Active", DAY(Tracking[[#This Row],[Date]])&gt;=shift_late_income_starting_day),
      DATE(YEAR(Tracking[[#This Row],[Date]]), MONTH(Tracking[[#This Row],[Date]])+1, 1),
      Tracking[[#This Row],[Date]])</f>
        <v>45651</v>
      </c>
    </row>
    <row r="85" spans="3:9" hidden="1" outlineLevel="1" x14ac:dyDescent="0.2">
      <c r="C85" s="94">
        <v>45651</v>
      </c>
      <c r="D85" s="32" t="s">
        <v>47</v>
      </c>
      <c r="E85" s="32" t="s">
        <v>44</v>
      </c>
      <c r="F85" s="34">
        <v>100</v>
      </c>
      <c r="G85" s="35" t="s">
        <v>136</v>
      </c>
      <c r="H85" s="37" cm="1">
        <f t="array" ref="H85">IFERROR(SUMPRODUCT(Tracking[Amount], --(Tracking[Date]&lt;=Tracking[[#This Row],[Date]]), (Tracking[Type]&lt;&gt;"Income") * (-1) + (Tracking[Type]="Income")), "-")</f>
        <v>5788.5</v>
      </c>
      <c r="I85" s="95">
        <f>IF(AND(Tracking[[#This Row],[Type]]="Income", shift_late_income_status="Active", DAY(Tracking[[#This Row],[Date]])&gt;=shift_late_income_starting_day),
      DATE(YEAR(Tracking[[#This Row],[Date]]), MONTH(Tracking[[#This Row],[Date]])+1, 1),
      Tracking[[#This Row],[Date]])</f>
        <v>45651</v>
      </c>
    </row>
    <row r="86" spans="3:9" hidden="1" outlineLevel="1" x14ac:dyDescent="0.2">
      <c r="C86" s="94">
        <v>45651</v>
      </c>
      <c r="D86" s="32" t="s">
        <v>40</v>
      </c>
      <c r="E86" s="32" t="s">
        <v>44</v>
      </c>
      <c r="F86" s="34">
        <v>3000</v>
      </c>
      <c r="G86" s="35" t="s">
        <v>137</v>
      </c>
      <c r="H86" s="37" cm="1">
        <f t="array" ref="H86">IFERROR(SUMPRODUCT(Tracking[Amount], --(Tracking[Date]&lt;=Tracking[[#This Row],[Date]]), (Tracking[Type]&lt;&gt;"Income") * (-1) + (Tracking[Type]="Income")), "-")</f>
        <v>5788.5</v>
      </c>
      <c r="I86" s="95">
        <f>IF(AND(Tracking[[#This Row],[Type]]="Income", shift_late_income_status="Active", DAY(Tracking[[#This Row],[Date]])&gt;=shift_late_income_starting_day),
      DATE(YEAR(Tracking[[#This Row],[Date]]), MONTH(Tracking[[#This Row],[Date]])+1, 1),
      Tracking[[#This Row],[Date]])</f>
        <v>45651</v>
      </c>
    </row>
    <row r="87" spans="3:9" hidden="1" outlineLevel="1" x14ac:dyDescent="0.2">
      <c r="C87" s="94">
        <v>45651</v>
      </c>
      <c r="D87" s="32" t="s">
        <v>47</v>
      </c>
      <c r="E87" s="32" t="s">
        <v>49</v>
      </c>
      <c r="F87" s="34">
        <v>37</v>
      </c>
      <c r="G87" s="35" t="s">
        <v>139</v>
      </c>
      <c r="H87" s="37" cm="1">
        <f t="array" ref="H87">IFERROR(SUMPRODUCT(Tracking[Amount], --(Tracking[Date]&lt;=Tracking[[#This Row],[Date]]), (Tracking[Type]&lt;&gt;"Income") * (-1) + (Tracking[Type]="Income")), "-")</f>
        <v>5788.5</v>
      </c>
      <c r="I87" s="95">
        <f>IF(AND(Tracking[[#This Row],[Type]]="Income", shift_late_income_status="Active", DAY(Tracking[[#This Row],[Date]])&gt;=shift_late_income_starting_day),
      DATE(YEAR(Tracking[[#This Row],[Date]]), MONTH(Tracking[[#This Row],[Date]])+1, 1),
      Tracking[[#This Row],[Date]])</f>
        <v>45651</v>
      </c>
    </row>
    <row r="88" spans="3:9" hidden="1" outlineLevel="1" x14ac:dyDescent="0.2">
      <c r="C88" s="94">
        <v>45651</v>
      </c>
      <c r="D88" s="32" t="s">
        <v>47</v>
      </c>
      <c r="E88" s="32" t="s">
        <v>60</v>
      </c>
      <c r="F88" s="34">
        <v>85</v>
      </c>
      <c r="G88" s="35" t="s">
        <v>140</v>
      </c>
      <c r="H88" s="37" cm="1">
        <f t="array" ref="H88">IFERROR(SUMPRODUCT(Tracking[Amount], --(Tracking[Date]&lt;=Tracking[[#This Row],[Date]]), (Tracking[Type]&lt;&gt;"Income") * (-1) + (Tracking[Type]="Income")), "-")</f>
        <v>5788.5</v>
      </c>
      <c r="I88" s="95">
        <f>IF(AND(Tracking[[#This Row],[Type]]="Income", shift_late_income_status="Active", DAY(Tracking[[#This Row],[Date]])&gt;=shift_late_income_starting_day),
      DATE(YEAR(Tracking[[#This Row],[Date]]), MONTH(Tracking[[#This Row],[Date]])+1, 1),
      Tracking[[#This Row],[Date]])</f>
        <v>45651</v>
      </c>
    </row>
    <row r="89" spans="3:9" hidden="1" outlineLevel="1" x14ac:dyDescent="0.2">
      <c r="C89" s="94">
        <v>45651</v>
      </c>
      <c r="D89" s="32" t="s">
        <v>62</v>
      </c>
      <c r="E89" s="32" t="s">
        <v>64</v>
      </c>
      <c r="F89" s="34">
        <v>200</v>
      </c>
      <c r="G89" s="35"/>
      <c r="H89" s="37" cm="1">
        <f t="array" ref="H89">IFERROR(SUMPRODUCT(Tracking[Amount], --(Tracking[Date]&lt;=Tracking[[#This Row],[Date]]), (Tracking[Type]&lt;&gt;"Income") * (-1) + (Tracking[Type]="Income")), "-")</f>
        <v>5788.5</v>
      </c>
      <c r="I89" s="95">
        <f>IF(AND(Tracking[[#This Row],[Type]]="Income", shift_late_income_status="Active", DAY(Tracking[[#This Row],[Date]])&gt;=shift_late_income_starting_day),
      DATE(YEAR(Tracking[[#This Row],[Date]]), MONTH(Tracking[[#This Row],[Date]])+1, 1),
      Tracking[[#This Row],[Date]])</f>
        <v>45651</v>
      </c>
    </row>
    <row r="90" spans="3:9" hidden="1" outlineLevel="1" x14ac:dyDescent="0.2">
      <c r="C90" s="94">
        <v>45651</v>
      </c>
      <c r="D90" s="32" t="s">
        <v>40</v>
      </c>
      <c r="E90" s="32" t="s">
        <v>44</v>
      </c>
      <c r="F90" s="34">
        <v>4000</v>
      </c>
      <c r="G90" s="35" t="s">
        <v>143</v>
      </c>
      <c r="H90" s="37" cm="1">
        <f t="array" ref="H90">IFERROR(SUMPRODUCT(Tracking[Amount], --(Tracking[Date]&lt;=Tracking[[#This Row],[Date]]), (Tracking[Type]&lt;&gt;"Income") * (-1) + (Tracking[Type]="Income")), "-")</f>
        <v>5788.5</v>
      </c>
      <c r="I90" s="95">
        <f>IF(AND(Tracking[[#This Row],[Type]]="Income", shift_late_income_status="Active", DAY(Tracking[[#This Row],[Date]])&gt;=shift_late_income_starting_day),
      DATE(YEAR(Tracking[[#This Row],[Date]]), MONTH(Tracking[[#This Row],[Date]])+1, 1),
      Tracking[[#This Row],[Date]])</f>
        <v>45651</v>
      </c>
    </row>
    <row r="91" spans="3:9" hidden="1" outlineLevel="1" x14ac:dyDescent="0.2">
      <c r="C91" s="94">
        <v>45651</v>
      </c>
      <c r="D91" s="32" t="s">
        <v>62</v>
      </c>
      <c r="E91" s="32" t="s">
        <v>64</v>
      </c>
      <c r="F91" s="34">
        <v>4000</v>
      </c>
      <c r="G91" s="35"/>
      <c r="H91" s="37" cm="1">
        <f t="array" ref="H91">IFERROR(SUMPRODUCT(Tracking[Amount], --(Tracking[Date]&lt;=Tracking[[#This Row],[Date]]), (Tracking[Type]&lt;&gt;"Income") * (-1) + (Tracking[Type]="Income")), "-")</f>
        <v>5788.5</v>
      </c>
      <c r="I91" s="95">
        <f>IF(AND(Tracking[[#This Row],[Type]]="Income", shift_late_income_status="Active", DAY(Tracking[[#This Row],[Date]])&gt;=shift_late_income_starting_day),
      DATE(YEAR(Tracking[[#This Row],[Date]]), MONTH(Tracking[[#This Row],[Date]])+1, 1),
      Tracking[[#This Row],[Date]])</f>
        <v>45651</v>
      </c>
    </row>
    <row r="92" spans="3:9" hidden="1" outlineLevel="1" x14ac:dyDescent="0.2">
      <c r="C92" s="94">
        <v>45651</v>
      </c>
      <c r="D92" s="32" t="s">
        <v>62</v>
      </c>
      <c r="E92" s="32" t="s">
        <v>63</v>
      </c>
      <c r="F92" s="34">
        <v>686</v>
      </c>
      <c r="G92" s="35"/>
      <c r="H92" s="37" cm="1">
        <f t="array" ref="H92">IFERROR(SUMPRODUCT(Tracking[Amount], --(Tracking[Date]&lt;=Tracking[[#This Row],[Date]]), (Tracking[Type]&lt;&gt;"Income") * (-1) + (Tracking[Type]="Income")), "-")</f>
        <v>5788.5</v>
      </c>
      <c r="I92" s="95">
        <f>IF(AND(Tracking[[#This Row],[Type]]="Income", shift_late_income_status="Active", DAY(Tracking[[#This Row],[Date]])&gt;=shift_late_income_starting_day),
      DATE(YEAR(Tracking[[#This Row],[Date]]), MONTH(Tracking[[#This Row],[Date]])+1, 1),
      Tracking[[#This Row],[Date]])</f>
        <v>45651</v>
      </c>
    </row>
    <row r="93" spans="3:9" hidden="1" outlineLevel="1" x14ac:dyDescent="0.2">
      <c r="C93" s="94">
        <v>45652</v>
      </c>
      <c r="D93" s="32" t="s">
        <v>47</v>
      </c>
      <c r="E93" s="32" t="s">
        <v>59</v>
      </c>
      <c r="F93" s="34">
        <v>16</v>
      </c>
      <c r="G93" s="35" t="s">
        <v>141</v>
      </c>
      <c r="H93" s="37" cm="1">
        <f t="array" ref="H93">IFERROR(SUMPRODUCT(Tracking[Amount], --(Tracking[Date]&lt;=Tracking[[#This Row],[Date]]), (Tracking[Type]&lt;&gt;"Income") * (-1) + (Tracking[Type]="Income")), "-")</f>
        <v>5665.5</v>
      </c>
      <c r="I93" s="95">
        <f>IF(AND(Tracking[[#This Row],[Type]]="Income", shift_late_income_status="Active", DAY(Tracking[[#This Row],[Date]])&gt;=shift_late_income_starting_day),
      DATE(YEAR(Tracking[[#This Row],[Date]]), MONTH(Tracking[[#This Row],[Date]])+1, 1),
      Tracking[[#This Row],[Date]])</f>
        <v>45652</v>
      </c>
    </row>
    <row r="94" spans="3:9" hidden="1" outlineLevel="1" x14ac:dyDescent="0.2">
      <c r="C94" s="94">
        <v>45652</v>
      </c>
      <c r="D94" s="32" t="s">
        <v>47</v>
      </c>
      <c r="E94" s="32" t="s">
        <v>48</v>
      </c>
      <c r="F94" s="34">
        <v>7</v>
      </c>
      <c r="G94" s="35" t="s">
        <v>142</v>
      </c>
      <c r="H94" s="37" cm="1">
        <f t="array" ref="H94">IFERROR(SUMPRODUCT(Tracking[Amount], --(Tracking[Date]&lt;=Tracking[[#This Row],[Date]]), (Tracking[Type]&lt;&gt;"Income") * (-1) + (Tracking[Type]="Income")), "-")</f>
        <v>5665.5</v>
      </c>
      <c r="I94" s="95">
        <f>IF(AND(Tracking[[#This Row],[Type]]="Income", shift_late_income_status="Active", DAY(Tracking[[#This Row],[Date]])&gt;=shift_late_income_starting_day),
      DATE(YEAR(Tracking[[#This Row],[Date]]), MONTH(Tracking[[#This Row],[Date]])+1, 1),
      Tracking[[#This Row],[Date]])</f>
        <v>45652</v>
      </c>
    </row>
    <row r="95" spans="3:9" hidden="1" outlineLevel="1" x14ac:dyDescent="0.2">
      <c r="C95" s="94">
        <v>45652</v>
      </c>
      <c r="D95" s="32" t="s">
        <v>47</v>
      </c>
      <c r="E95" s="32" t="s">
        <v>44</v>
      </c>
      <c r="F95" s="34">
        <v>100</v>
      </c>
      <c r="G95" s="35" t="s">
        <v>144</v>
      </c>
      <c r="H95" s="37" cm="1">
        <f t="array" ref="H95">IFERROR(SUMPRODUCT(Tracking[Amount], --(Tracking[Date]&lt;=Tracking[[#This Row],[Date]]), (Tracking[Type]&lt;&gt;"Income") * (-1) + (Tracking[Type]="Income")), "-")</f>
        <v>5665.5</v>
      </c>
      <c r="I95" s="95">
        <f>IF(AND(Tracking[[#This Row],[Type]]="Income", shift_late_income_status="Active", DAY(Tracking[[#This Row],[Date]])&gt;=shift_late_income_starting_day),
      DATE(YEAR(Tracking[[#This Row],[Date]]), MONTH(Tracking[[#This Row],[Date]])+1, 1),
      Tracking[[#This Row],[Date]])</f>
        <v>45652</v>
      </c>
    </row>
    <row r="96" spans="3:9" hidden="1" outlineLevel="1" x14ac:dyDescent="0.2">
      <c r="C96" s="94">
        <v>45653</v>
      </c>
      <c r="D96" s="32" t="s">
        <v>47</v>
      </c>
      <c r="E96" s="32" t="s">
        <v>57</v>
      </c>
      <c r="F96" s="34">
        <v>1260</v>
      </c>
      <c r="G96" s="35"/>
      <c r="H96" s="37" cm="1">
        <f t="array" ref="H96">IFERROR(SUMPRODUCT(Tracking[Amount], --(Tracking[Date]&lt;=Tracking[[#This Row],[Date]]), (Tracking[Type]&lt;&gt;"Income") * (-1) + (Tracking[Type]="Income")), "-")</f>
        <v>1962.5</v>
      </c>
      <c r="I96" s="95">
        <f>IF(AND(Tracking[[#This Row],[Type]]="Income", shift_late_income_status="Active", DAY(Tracking[[#This Row],[Date]])&gt;=shift_late_income_starting_day),
      DATE(YEAR(Tracking[[#This Row],[Date]]), MONTH(Tracking[[#This Row],[Date]])+1, 1),
      Tracking[[#This Row],[Date]])</f>
        <v>45653</v>
      </c>
    </row>
    <row r="97" spans="3:9" hidden="1" outlineLevel="1" x14ac:dyDescent="0.2">
      <c r="C97" s="94">
        <v>45653</v>
      </c>
      <c r="D97" s="32" t="s">
        <v>47</v>
      </c>
      <c r="E97" s="32" t="s">
        <v>57</v>
      </c>
      <c r="F97" s="34">
        <v>1960</v>
      </c>
      <c r="G97" s="35"/>
      <c r="H97" s="37" cm="1">
        <f t="array" ref="H97">IFERROR(SUMPRODUCT(Tracking[Amount], --(Tracking[Date]&lt;=Tracking[[#This Row],[Date]]), (Tracking[Type]&lt;&gt;"Income") * (-1) + (Tracking[Type]="Income")), "-")</f>
        <v>1962.5</v>
      </c>
      <c r="I97" s="95">
        <f>IF(AND(Tracking[[#This Row],[Type]]="Income", shift_late_income_status="Active", DAY(Tracking[[#This Row],[Date]])&gt;=shift_late_income_starting_day),
      DATE(YEAR(Tracking[[#This Row],[Date]]), MONTH(Tracking[[#This Row],[Date]])+1, 1),
      Tracking[[#This Row],[Date]])</f>
        <v>45653</v>
      </c>
    </row>
    <row r="98" spans="3:9" hidden="1" outlineLevel="1" x14ac:dyDescent="0.2">
      <c r="C98" s="94">
        <v>45653</v>
      </c>
      <c r="D98" s="32" t="s">
        <v>62</v>
      </c>
      <c r="E98" s="32" t="s">
        <v>62</v>
      </c>
      <c r="F98" s="34">
        <v>800</v>
      </c>
      <c r="G98" s="35"/>
      <c r="H98" s="37" cm="1">
        <f t="array" ref="H98">IFERROR(SUMPRODUCT(Tracking[Amount], --(Tracking[Date]&lt;=Tracking[[#This Row],[Date]]), (Tracking[Type]&lt;&gt;"Income") * (-1) + (Tracking[Type]="Income")), "-")</f>
        <v>1962.5</v>
      </c>
      <c r="I98" s="95">
        <f>IF(AND(Tracking[[#This Row],[Type]]="Income", shift_late_income_status="Active", DAY(Tracking[[#This Row],[Date]])&gt;=shift_late_income_starting_day),
      DATE(YEAR(Tracking[[#This Row],[Date]]), MONTH(Tracking[[#This Row],[Date]])+1, 1),
      Tracking[[#This Row],[Date]])</f>
        <v>45653</v>
      </c>
    </row>
    <row r="99" spans="3:9" hidden="1" outlineLevel="1" x14ac:dyDescent="0.2">
      <c r="C99" s="94">
        <v>45653</v>
      </c>
      <c r="D99" s="32" t="s">
        <v>40</v>
      </c>
      <c r="E99" s="32" t="s">
        <v>42</v>
      </c>
      <c r="F99" s="34">
        <v>589</v>
      </c>
      <c r="G99" s="35" t="s">
        <v>130</v>
      </c>
      <c r="H99" s="37" cm="1">
        <f t="array" ref="H99">IFERROR(SUMPRODUCT(Tracking[Amount], --(Tracking[Date]&lt;=Tracking[[#This Row],[Date]]), (Tracking[Type]&lt;&gt;"Income") * (-1) + (Tracking[Type]="Income")), "-")</f>
        <v>1962.5</v>
      </c>
      <c r="I99" s="95">
        <f>IF(AND(Tracking[[#This Row],[Type]]="Income", shift_late_income_status="Active", DAY(Tracking[[#This Row],[Date]])&gt;=shift_late_income_starting_day),
      DATE(YEAR(Tracking[[#This Row],[Date]]), MONTH(Tracking[[#This Row],[Date]])+1, 1),
      Tracking[[#This Row],[Date]])</f>
        <v>45653</v>
      </c>
    </row>
    <row r="100" spans="3:9" hidden="1" outlineLevel="1" x14ac:dyDescent="0.2">
      <c r="C100" s="94">
        <v>45653</v>
      </c>
      <c r="D100" s="32" t="s">
        <v>47</v>
      </c>
      <c r="E100" s="32" t="s">
        <v>56</v>
      </c>
      <c r="F100" s="34">
        <v>182</v>
      </c>
      <c r="G100" s="35" t="s">
        <v>215</v>
      </c>
      <c r="H100" s="37" cm="1">
        <f t="array" ref="H100">IFERROR(SUMPRODUCT(Tracking[Amount], --(Tracking[Date]&lt;=Tracking[[#This Row],[Date]]), (Tracking[Type]&lt;&gt;"Income") * (-1) + (Tracking[Type]="Income")), "-")</f>
        <v>1962.5</v>
      </c>
      <c r="I100" s="95">
        <f>IF(AND(Tracking[[#This Row],[Type]]="Income", shift_late_income_status="Active", DAY(Tracking[[#This Row],[Date]])&gt;=shift_late_income_starting_day),
      DATE(YEAR(Tracking[[#This Row],[Date]]), MONTH(Tracking[[#This Row],[Date]])+1, 1),
      Tracking[[#This Row],[Date]])</f>
        <v>45653</v>
      </c>
    </row>
    <row r="101" spans="3:9" hidden="1" outlineLevel="1" x14ac:dyDescent="0.2">
      <c r="C101" s="94">
        <v>45653</v>
      </c>
      <c r="D101" s="32" t="s">
        <v>47</v>
      </c>
      <c r="E101" s="32" t="s">
        <v>49</v>
      </c>
      <c r="F101" s="34">
        <v>90</v>
      </c>
      <c r="G101" s="35" t="s">
        <v>216</v>
      </c>
      <c r="H101" s="37" cm="1">
        <f t="array" ref="H101">IFERROR(SUMPRODUCT(Tracking[Amount], --(Tracking[Date]&lt;=Tracking[[#This Row],[Date]]), (Tracking[Type]&lt;&gt;"Income") * (-1) + (Tracking[Type]="Income")), "-")</f>
        <v>1962.5</v>
      </c>
      <c r="I101" s="95">
        <f>IF(AND(Tracking[[#This Row],[Type]]="Income", shift_late_income_status="Active", DAY(Tracking[[#This Row],[Date]])&gt;=shift_late_income_starting_day),
      DATE(YEAR(Tracking[[#This Row],[Date]]), MONTH(Tracking[[#This Row],[Date]])+1, 1),
      Tracking[[#This Row],[Date]])</f>
        <v>45653</v>
      </c>
    </row>
    <row r="102" spans="3:9" hidden="1" outlineLevel="1" x14ac:dyDescent="0.2">
      <c r="C102" s="94">
        <v>45655</v>
      </c>
      <c r="D102" s="32" t="s">
        <v>47</v>
      </c>
      <c r="E102" s="32" t="s">
        <v>48</v>
      </c>
      <c r="F102" s="34">
        <v>14</v>
      </c>
      <c r="G102" s="35" t="s">
        <v>220</v>
      </c>
      <c r="H102" s="37" cm="1">
        <f t="array" ref="H102">IFERROR(SUMPRODUCT(Tracking[Amount], --(Tracking[Date]&lt;=Tracking[[#This Row],[Date]]), (Tracking[Type]&lt;&gt;"Income") * (-1) + (Tracking[Type]="Income")), "-")</f>
        <v>1948.5</v>
      </c>
      <c r="I102" s="95">
        <f>IF(AND(Tracking[[#This Row],[Type]]="Income", shift_late_income_status="Active", DAY(Tracking[[#This Row],[Date]])&gt;=shift_late_income_starting_day),
      DATE(YEAR(Tracking[[#This Row],[Date]]), MONTH(Tracking[[#This Row],[Date]])+1, 1),
      Tracking[[#This Row],[Date]])</f>
        <v>45655</v>
      </c>
    </row>
    <row r="103" spans="3:9" hidden="1" outlineLevel="1" x14ac:dyDescent="0.2">
      <c r="C103" s="94">
        <v>45656</v>
      </c>
      <c r="D103" s="32" t="s">
        <v>47</v>
      </c>
      <c r="E103" s="32" t="s">
        <v>56</v>
      </c>
      <c r="F103" s="34">
        <v>100</v>
      </c>
      <c r="G103" s="35" t="s">
        <v>247</v>
      </c>
      <c r="H103" s="37" cm="1">
        <f t="array" ref="H103">IFERROR(SUMPRODUCT(Tracking[Amount], --(Tracking[Date]&lt;=Tracking[[#This Row],[Date]]), (Tracking[Type]&lt;&gt;"Income") * (-1) + (Tracking[Type]="Income")), "-")</f>
        <v>1848.5</v>
      </c>
      <c r="I103" s="95">
        <f>IF(AND(Tracking[[#This Row],[Type]]="Income", shift_late_income_status="Active", DAY(Tracking[[#This Row],[Date]])&gt;=shift_late_income_starting_day),
      DATE(YEAR(Tracking[[#This Row],[Date]]), MONTH(Tracking[[#This Row],[Date]])+1, 1),
      Tracking[[#This Row],[Date]])</f>
        <v>45656</v>
      </c>
    </row>
    <row r="104" spans="3:9" hidden="1" outlineLevel="1" x14ac:dyDescent="0.2">
      <c r="C104" s="94">
        <v>45657</v>
      </c>
      <c r="D104" s="32" t="s">
        <v>47</v>
      </c>
      <c r="E104" s="32" t="s">
        <v>51</v>
      </c>
      <c r="F104" s="34">
        <v>32</v>
      </c>
      <c r="G104" s="35" t="s">
        <v>221</v>
      </c>
      <c r="H104" s="37" cm="1">
        <f t="array" ref="H104">IFERROR(SUMPRODUCT(Tracking[Amount], --(Tracking[Date]&lt;=Tracking[[#This Row],[Date]]), (Tracking[Type]&lt;&gt;"Income") * (-1) + (Tracking[Type]="Income")), "-")</f>
        <v>1807.5</v>
      </c>
      <c r="I104" s="95">
        <f>IF(AND(Tracking[[#This Row],[Type]]="Income", shift_late_income_status="Active", DAY(Tracking[[#This Row],[Date]])&gt;=shift_late_income_starting_day),
      DATE(YEAR(Tracking[[#This Row],[Date]]), MONTH(Tracking[[#This Row],[Date]])+1, 1),
      Tracking[[#This Row],[Date]])</f>
        <v>45657</v>
      </c>
    </row>
    <row r="105" spans="3:9" hidden="1" outlineLevel="1" collapsed="1" x14ac:dyDescent="0.2">
      <c r="C105" s="94">
        <v>45657</v>
      </c>
      <c r="D105" s="32" t="s">
        <v>47</v>
      </c>
      <c r="E105" s="32" t="s">
        <v>48</v>
      </c>
      <c r="F105" s="34">
        <v>9</v>
      </c>
      <c r="G105" s="35" t="s">
        <v>222</v>
      </c>
      <c r="H105" s="37" cm="1">
        <f t="array" ref="H105">IFERROR(SUMPRODUCT(Tracking[Amount], --(Tracking[Date]&lt;=Tracking[[#This Row],[Date]]), (Tracking[Type]&lt;&gt;"Income") * (-1) + (Tracking[Type]="Income")), "-")</f>
        <v>1807.5</v>
      </c>
      <c r="I105" s="95">
        <f>IF(AND(Tracking[[#This Row],[Type]]="Income", shift_late_income_status="Active", DAY(Tracking[[#This Row],[Date]])&gt;=shift_late_income_starting_day),
      DATE(YEAR(Tracking[[#This Row],[Date]]), MONTH(Tracking[[#This Row],[Date]])+1, 1),
      Tracking[[#This Row],[Date]])</f>
        <v>45657</v>
      </c>
    </row>
    <row r="106" spans="3:9" collapsed="1" x14ac:dyDescent="0.2">
      <c r="C106" s="94">
        <v>45658</v>
      </c>
      <c r="D106" s="32" t="s">
        <v>40</v>
      </c>
      <c r="E106" s="32" t="s">
        <v>41</v>
      </c>
      <c r="F106" s="34">
        <v>7500</v>
      </c>
      <c r="G106" s="35"/>
      <c r="H106" s="37" cm="1">
        <f t="array" ref="H106">IFERROR(SUMPRODUCT(Tracking[Amount], --(Tracking[Date]&lt;=Tracking[[#This Row],[Date]]), (Tracking[Type]&lt;&gt;"Income") * (-1) + (Tracking[Type]="Income")), "-")</f>
        <v>9507.5</v>
      </c>
      <c r="I106" s="95">
        <f>IF(AND(Tracking[[#This Row],[Type]]="Income", shift_late_income_status="Active", DAY(Tracking[[#This Row],[Date]])&gt;=shift_late_income_starting_day),
      DATE(YEAR(Tracking[[#This Row],[Date]]), MONTH(Tracking[[#This Row],[Date]])+1, 1),
      Tracking[[#This Row],[Date]])</f>
        <v>45658</v>
      </c>
    </row>
    <row r="107" spans="3:9" hidden="1" outlineLevel="1" x14ac:dyDescent="0.2">
      <c r="C107" s="94">
        <v>45658</v>
      </c>
      <c r="D107" s="32" t="s">
        <v>47</v>
      </c>
      <c r="E107" s="32" t="s">
        <v>44</v>
      </c>
      <c r="F107" s="34">
        <v>100</v>
      </c>
      <c r="G107" s="35" t="s">
        <v>223</v>
      </c>
      <c r="H107" s="37" cm="1">
        <f t="array" ref="H107">IFERROR(SUMPRODUCT(Tracking[Amount], --(Tracking[Date]&lt;=Tracking[[#This Row],[Date]]), (Tracking[Type]&lt;&gt;"Income") * (-1) + (Tracking[Type]="Income")), "-")</f>
        <v>9507.5</v>
      </c>
      <c r="I107" s="95">
        <f>IF(AND(Tracking[[#This Row],[Type]]="Income", shift_late_income_status="Active", DAY(Tracking[[#This Row],[Date]])&gt;=shift_late_income_starting_day),
      DATE(YEAR(Tracking[[#This Row],[Date]]), MONTH(Tracking[[#This Row],[Date]])+1, 1),
      Tracking[[#This Row],[Date]])</f>
        <v>45658</v>
      </c>
    </row>
    <row r="108" spans="3:9" hidden="1" outlineLevel="1" x14ac:dyDescent="0.2">
      <c r="C108" s="94">
        <v>45658</v>
      </c>
      <c r="D108" s="32" t="s">
        <v>40</v>
      </c>
      <c r="E108" s="32" t="s">
        <v>44</v>
      </c>
      <c r="F108" s="34">
        <v>300</v>
      </c>
      <c r="G108" s="35" t="s">
        <v>143</v>
      </c>
      <c r="H108" s="37" cm="1">
        <f t="array" ref="H108">IFERROR(SUMPRODUCT(Tracking[Amount], --(Tracking[Date]&lt;=Tracking[[#This Row],[Date]]), (Tracking[Type]&lt;&gt;"Income") * (-1) + (Tracking[Type]="Income")), "-")</f>
        <v>9507.5</v>
      </c>
      <c r="I108" s="95">
        <f>IF(AND(Tracking[[#This Row],[Type]]="Income", shift_late_income_status="Active", DAY(Tracking[[#This Row],[Date]])&gt;=shift_late_income_starting_day),
      DATE(YEAR(Tracking[[#This Row],[Date]]), MONTH(Tracking[[#This Row],[Date]])+1, 1),
      Tracking[[#This Row],[Date]])</f>
        <v>45658</v>
      </c>
    </row>
    <row r="109" spans="3:9" hidden="1" outlineLevel="1" x14ac:dyDescent="0.2">
      <c r="C109" s="94">
        <v>45659</v>
      </c>
      <c r="D109" s="32" t="s">
        <v>47</v>
      </c>
      <c r="E109" s="32" t="s">
        <v>58</v>
      </c>
      <c r="F109" s="34">
        <v>114</v>
      </c>
      <c r="G109" s="35" t="s">
        <v>224</v>
      </c>
      <c r="H109" s="37" cm="1">
        <f t="array" ref="H109">IFERROR(SUMPRODUCT(Tracking[Amount], --(Tracking[Date]&lt;=Tracking[[#This Row],[Date]]), (Tracking[Type]&lt;&gt;"Income") * (-1) + (Tracking[Type]="Income")), "-")</f>
        <v>9001.5</v>
      </c>
      <c r="I109" s="95">
        <f>IF(AND(Tracking[[#This Row],[Type]]="Income", shift_late_income_status="Active", DAY(Tracking[[#This Row],[Date]])&gt;=shift_late_income_starting_day),
      DATE(YEAR(Tracking[[#This Row],[Date]]), MONTH(Tracking[[#This Row],[Date]])+1, 1),
      Tracking[[#This Row],[Date]])</f>
        <v>45659</v>
      </c>
    </row>
    <row r="110" spans="3:9" hidden="1" outlineLevel="1" x14ac:dyDescent="0.2">
      <c r="C110" s="94">
        <v>45659</v>
      </c>
      <c r="D110" s="32" t="s">
        <v>62</v>
      </c>
      <c r="E110" s="32" t="s">
        <v>64</v>
      </c>
      <c r="F110" s="34">
        <v>300</v>
      </c>
      <c r="G110" s="35"/>
      <c r="H110" s="37" cm="1">
        <f t="array" ref="H110">IFERROR(SUMPRODUCT(Tracking[Amount], --(Tracking[Date]&lt;=Tracking[[#This Row],[Date]]), (Tracking[Type]&lt;&gt;"Income") * (-1) + (Tracking[Type]="Income")), "-")</f>
        <v>9001.5</v>
      </c>
      <c r="I110" s="95">
        <f>IF(AND(Tracking[[#This Row],[Type]]="Income", shift_late_income_status="Active", DAY(Tracking[[#This Row],[Date]])&gt;=shift_late_income_starting_day),
      DATE(YEAR(Tracking[[#This Row],[Date]]), MONTH(Tracking[[#This Row],[Date]])+1, 1),
      Tracking[[#This Row],[Date]])</f>
        <v>45659</v>
      </c>
    </row>
    <row r="111" spans="3:9" hidden="1" outlineLevel="1" x14ac:dyDescent="0.2">
      <c r="C111" s="94">
        <v>45659</v>
      </c>
      <c r="D111" s="32" t="s">
        <v>47</v>
      </c>
      <c r="E111" s="32" t="s">
        <v>48</v>
      </c>
      <c r="F111" s="34">
        <v>12</v>
      </c>
      <c r="G111" s="35" t="s">
        <v>225</v>
      </c>
      <c r="H111" s="37" cm="1">
        <f t="array" ref="H111">IFERROR(SUMPRODUCT(Tracking[Amount], --(Tracking[Date]&lt;=Tracking[[#This Row],[Date]]), (Tracking[Type]&lt;&gt;"Income") * (-1) + (Tracking[Type]="Income")), "-")</f>
        <v>9001.5</v>
      </c>
      <c r="I111" s="95">
        <f>IF(AND(Tracking[[#This Row],[Type]]="Income", shift_late_income_status="Active", DAY(Tracking[[#This Row],[Date]])&gt;=shift_late_income_starting_day),
      DATE(YEAR(Tracking[[#This Row],[Date]]), MONTH(Tracking[[#This Row],[Date]])+1, 1),
      Tracking[[#This Row],[Date]])</f>
        <v>45659</v>
      </c>
    </row>
    <row r="112" spans="3:9" hidden="1" outlineLevel="1" x14ac:dyDescent="0.2">
      <c r="C112" s="94">
        <v>45659</v>
      </c>
      <c r="D112" s="32" t="s">
        <v>47</v>
      </c>
      <c r="E112" s="32" t="s">
        <v>51</v>
      </c>
      <c r="F112" s="34">
        <v>34</v>
      </c>
      <c r="G112" s="35" t="s">
        <v>226</v>
      </c>
      <c r="H112" s="37" cm="1">
        <f t="array" ref="H112">IFERROR(SUMPRODUCT(Tracking[Amount], --(Tracking[Date]&lt;=Tracking[[#This Row],[Date]]), (Tracking[Type]&lt;&gt;"Income") * (-1) + (Tracking[Type]="Income")), "-")</f>
        <v>9001.5</v>
      </c>
      <c r="I112" s="95">
        <f>IF(AND(Tracking[[#This Row],[Type]]="Income", shift_late_income_status="Active", DAY(Tracking[[#This Row],[Date]])&gt;=shift_late_income_starting_day),
      DATE(YEAR(Tracking[[#This Row],[Date]]), MONTH(Tracking[[#This Row],[Date]])+1, 1),
      Tracking[[#This Row],[Date]])</f>
        <v>45659</v>
      </c>
    </row>
    <row r="113" spans="3:9" hidden="1" outlineLevel="1" x14ac:dyDescent="0.2">
      <c r="C113" s="94">
        <v>45659</v>
      </c>
      <c r="D113" s="32" t="s">
        <v>47</v>
      </c>
      <c r="E113" s="32" t="s">
        <v>50</v>
      </c>
      <c r="F113" s="34">
        <v>20</v>
      </c>
      <c r="G113" s="35" t="s">
        <v>227</v>
      </c>
      <c r="H113" s="37" cm="1">
        <f t="array" ref="H113">IFERROR(SUMPRODUCT(Tracking[Amount], --(Tracking[Date]&lt;=Tracking[[#This Row],[Date]]), (Tracking[Type]&lt;&gt;"Income") * (-1) + (Tracking[Type]="Income")), "-")</f>
        <v>9001.5</v>
      </c>
      <c r="I113" s="95">
        <f>IF(AND(Tracking[[#This Row],[Type]]="Income", shift_late_income_status="Active", DAY(Tracking[[#This Row],[Date]])&gt;=shift_late_income_starting_day),
      DATE(YEAR(Tracking[[#This Row],[Date]]), MONTH(Tracking[[#This Row],[Date]])+1, 1),
      Tracking[[#This Row],[Date]])</f>
        <v>45659</v>
      </c>
    </row>
    <row r="114" spans="3:9" hidden="1" outlineLevel="1" x14ac:dyDescent="0.2">
      <c r="C114" s="94">
        <v>45659</v>
      </c>
      <c r="D114" s="32" t="s">
        <v>47</v>
      </c>
      <c r="E114" s="32" t="s">
        <v>48</v>
      </c>
      <c r="F114" s="34">
        <v>26</v>
      </c>
      <c r="G114" s="35" t="s">
        <v>228</v>
      </c>
      <c r="H114" s="37" cm="1">
        <f t="array" ref="H114">IFERROR(SUMPRODUCT(Tracking[Amount], --(Tracking[Date]&lt;=Tracking[[#This Row],[Date]]), (Tracking[Type]&lt;&gt;"Income") * (-1) + (Tracking[Type]="Income")), "-")</f>
        <v>9001.5</v>
      </c>
      <c r="I114" s="95">
        <f>IF(AND(Tracking[[#This Row],[Type]]="Income", shift_late_income_status="Active", DAY(Tracking[[#This Row],[Date]])&gt;=shift_late_income_starting_day),
      DATE(YEAR(Tracking[[#This Row],[Date]]), MONTH(Tracking[[#This Row],[Date]])+1, 1),
      Tracking[[#This Row],[Date]])</f>
        <v>45659</v>
      </c>
    </row>
    <row r="115" spans="3:9" hidden="1" outlineLevel="1" x14ac:dyDescent="0.2">
      <c r="C115" s="94">
        <v>45660</v>
      </c>
      <c r="D115" s="32" t="s">
        <v>47</v>
      </c>
      <c r="E115" s="32" t="s">
        <v>57</v>
      </c>
      <c r="F115" s="34">
        <v>1955</v>
      </c>
      <c r="G115" s="35"/>
      <c r="H115" s="37" cm="1">
        <f t="array" ref="H115">IFERROR(SUMPRODUCT(Tracking[Amount], --(Tracking[Date]&lt;=Tracking[[#This Row],[Date]]), (Tracking[Type]&lt;&gt;"Income") * (-1) + (Tracking[Type]="Income")), "-")</f>
        <v>6994.5</v>
      </c>
      <c r="I115" s="95">
        <f>IF(AND(Tracking[[#This Row],[Type]]="Income", shift_late_income_status="Active", DAY(Tracking[[#This Row],[Date]])&gt;=shift_late_income_starting_day),
      DATE(YEAR(Tracking[[#This Row],[Date]]), MONTH(Tracking[[#This Row],[Date]])+1, 1),
      Tracking[[#This Row],[Date]])</f>
        <v>45660</v>
      </c>
    </row>
    <row r="116" spans="3:9" hidden="1" outlineLevel="1" x14ac:dyDescent="0.2">
      <c r="C116" s="94">
        <v>45660</v>
      </c>
      <c r="D116" s="32" t="s">
        <v>47</v>
      </c>
      <c r="E116" s="32" t="s">
        <v>230</v>
      </c>
      <c r="F116" s="34">
        <v>36</v>
      </c>
      <c r="G116" s="35" t="s">
        <v>231</v>
      </c>
      <c r="H116" s="37" cm="1">
        <f t="array" ref="H116">IFERROR(SUMPRODUCT(Tracking[Amount], --(Tracking[Date]&lt;=Tracking[[#This Row],[Date]]), (Tracking[Type]&lt;&gt;"Income") * (-1) + (Tracking[Type]="Income")), "-")</f>
        <v>6994.5</v>
      </c>
      <c r="I116" s="95">
        <f>IF(AND(Tracking[[#This Row],[Type]]="Income", shift_late_income_status="Active", DAY(Tracking[[#This Row],[Date]])&gt;=shift_late_income_starting_day),
      DATE(YEAR(Tracking[[#This Row],[Date]]), MONTH(Tracking[[#This Row],[Date]])+1, 1),
      Tracking[[#This Row],[Date]])</f>
        <v>45660</v>
      </c>
    </row>
    <row r="117" spans="3:9" hidden="1" outlineLevel="1" x14ac:dyDescent="0.2">
      <c r="C117" s="94">
        <v>45660</v>
      </c>
      <c r="D117" s="32" t="s">
        <v>47</v>
      </c>
      <c r="E117" s="32" t="s">
        <v>60</v>
      </c>
      <c r="F117" s="34">
        <v>1</v>
      </c>
      <c r="G117" s="35" t="s">
        <v>232</v>
      </c>
      <c r="H117" s="37" cm="1">
        <f t="array" ref="H117">IFERROR(SUMPRODUCT(Tracking[Amount], --(Tracking[Date]&lt;=Tracking[[#This Row],[Date]]), (Tracking[Type]&lt;&gt;"Income") * (-1) + (Tracking[Type]="Income")), "-")</f>
        <v>6994.5</v>
      </c>
      <c r="I117" s="95">
        <f>IF(AND(Tracking[[#This Row],[Type]]="Income", shift_late_income_status="Active", DAY(Tracking[[#This Row],[Date]])&gt;=shift_late_income_starting_day),
      DATE(YEAR(Tracking[[#This Row],[Date]]), MONTH(Tracking[[#This Row],[Date]])+1, 1),
      Tracking[[#This Row],[Date]])</f>
        <v>45660</v>
      </c>
    </row>
    <row r="118" spans="3:9" hidden="1" outlineLevel="1" x14ac:dyDescent="0.2">
      <c r="C118" s="94">
        <v>45660</v>
      </c>
      <c r="D118" s="32" t="s">
        <v>47</v>
      </c>
      <c r="E118" s="32" t="s">
        <v>44</v>
      </c>
      <c r="F118" s="34">
        <v>15</v>
      </c>
      <c r="G118" s="35" t="s">
        <v>238</v>
      </c>
      <c r="H118" s="37" cm="1">
        <f t="array" ref="H118">IFERROR(SUMPRODUCT(Tracking[Amount], --(Tracking[Date]&lt;=Tracking[[#This Row],[Date]]), (Tracking[Type]&lt;&gt;"Income") * (-1) + (Tracking[Type]="Income")), "-")</f>
        <v>6994.5</v>
      </c>
      <c r="I118" s="95">
        <f>IF(AND(Tracking[[#This Row],[Type]]="Income", shift_late_income_status="Active", DAY(Tracking[[#This Row],[Date]])&gt;=shift_late_income_starting_day),
      DATE(YEAR(Tracking[[#This Row],[Date]]), MONTH(Tracking[[#This Row],[Date]])+1, 1),
      Tracking[[#This Row],[Date]])</f>
        <v>45660</v>
      </c>
    </row>
    <row r="119" spans="3:9" hidden="1" outlineLevel="1" x14ac:dyDescent="0.2">
      <c r="C119" s="94">
        <v>45661</v>
      </c>
      <c r="D119" s="32" t="s">
        <v>47</v>
      </c>
      <c r="E119" s="32" t="s">
        <v>49</v>
      </c>
      <c r="F119" s="34">
        <v>38</v>
      </c>
      <c r="G119" s="35" t="s">
        <v>233</v>
      </c>
      <c r="H119" s="37" cm="1">
        <f t="array" ref="H119">IFERROR(SUMPRODUCT(Tracking[Amount], --(Tracking[Date]&lt;=Tracking[[#This Row],[Date]]), (Tracking[Type]&lt;&gt;"Income") * (-1) + (Tracking[Type]="Income")), "-")</f>
        <v>6716.5</v>
      </c>
      <c r="I119" s="95">
        <f>IF(AND(Tracking[[#This Row],[Type]]="Income", shift_late_income_status="Active", DAY(Tracking[[#This Row],[Date]])&gt;=shift_late_income_starting_day),
      DATE(YEAR(Tracking[[#This Row],[Date]]), MONTH(Tracking[[#This Row],[Date]])+1, 1),
      Tracking[[#This Row],[Date]])</f>
        <v>45661</v>
      </c>
    </row>
    <row r="120" spans="3:9" hidden="1" outlineLevel="1" x14ac:dyDescent="0.2">
      <c r="C120" s="94">
        <v>45661</v>
      </c>
      <c r="D120" s="32" t="s">
        <v>47</v>
      </c>
      <c r="E120" s="32" t="s">
        <v>48</v>
      </c>
      <c r="F120" s="34">
        <v>5</v>
      </c>
      <c r="G120" s="35" t="s">
        <v>234</v>
      </c>
      <c r="H120" s="37" cm="1">
        <f t="array" ref="H120">IFERROR(SUMPRODUCT(Tracking[Amount], --(Tracking[Date]&lt;=Tracking[[#This Row],[Date]]), (Tracking[Type]&lt;&gt;"Income") * (-1) + (Tracking[Type]="Income")), "-")</f>
        <v>6716.5</v>
      </c>
      <c r="I120" s="95">
        <f>IF(AND(Tracking[[#This Row],[Type]]="Income", shift_late_income_status="Active", DAY(Tracking[[#This Row],[Date]])&gt;=shift_late_income_starting_day),
      DATE(YEAR(Tracking[[#This Row],[Date]]), MONTH(Tracking[[#This Row],[Date]])+1, 1),
      Tracking[[#This Row],[Date]])</f>
        <v>45661</v>
      </c>
    </row>
    <row r="121" spans="3:9" hidden="1" outlineLevel="1" x14ac:dyDescent="0.2">
      <c r="C121" s="94">
        <v>45661</v>
      </c>
      <c r="D121" s="32" t="s">
        <v>47</v>
      </c>
      <c r="E121" s="32" t="s">
        <v>235</v>
      </c>
      <c r="F121" s="34">
        <v>37</v>
      </c>
      <c r="G121" s="35" t="s">
        <v>236</v>
      </c>
      <c r="H121" s="37" cm="1">
        <f t="array" ref="H121">IFERROR(SUMPRODUCT(Tracking[Amount], --(Tracking[Date]&lt;=Tracking[[#This Row],[Date]]), (Tracking[Type]&lt;&gt;"Income") * (-1) + (Tracking[Type]="Income")), "-")</f>
        <v>6716.5</v>
      </c>
      <c r="I121" s="95">
        <f>IF(AND(Tracking[[#This Row],[Type]]="Income", shift_late_income_status="Active", DAY(Tracking[[#This Row],[Date]])&gt;=shift_late_income_starting_day),
      DATE(YEAR(Tracking[[#This Row],[Date]]), MONTH(Tracking[[#This Row],[Date]])+1, 1),
      Tracking[[#This Row],[Date]])</f>
        <v>45661</v>
      </c>
    </row>
    <row r="122" spans="3:9" hidden="1" outlineLevel="1" x14ac:dyDescent="0.2">
      <c r="C122" s="94">
        <v>45661</v>
      </c>
      <c r="D122" s="32" t="s">
        <v>47</v>
      </c>
      <c r="E122" s="32" t="s">
        <v>229</v>
      </c>
      <c r="F122" s="34">
        <v>198</v>
      </c>
      <c r="G122" s="35" t="s">
        <v>237</v>
      </c>
      <c r="H122" s="37" cm="1">
        <f t="array" ref="H122">IFERROR(SUMPRODUCT(Tracking[Amount], --(Tracking[Date]&lt;=Tracking[[#This Row],[Date]]), (Tracking[Type]&lt;&gt;"Income") * (-1) + (Tracking[Type]="Income")), "-")</f>
        <v>6716.5</v>
      </c>
      <c r="I122" s="95">
        <f>IF(AND(Tracking[[#This Row],[Type]]="Income", shift_late_income_status="Active", DAY(Tracking[[#This Row],[Date]])&gt;=shift_late_income_starting_day),
      DATE(YEAR(Tracking[[#This Row],[Date]]), MONTH(Tracking[[#This Row],[Date]])+1, 1),
      Tracking[[#This Row],[Date]])</f>
        <v>45661</v>
      </c>
    </row>
    <row r="123" spans="3:9" hidden="1" outlineLevel="1" x14ac:dyDescent="0.2">
      <c r="C123" s="94">
        <v>45662</v>
      </c>
      <c r="D123" s="32" t="s">
        <v>47</v>
      </c>
      <c r="E123" s="32" t="s">
        <v>48</v>
      </c>
      <c r="F123" s="34">
        <v>32</v>
      </c>
      <c r="G123" s="35" t="s">
        <v>220</v>
      </c>
      <c r="H123" s="37" cm="1">
        <f t="array" ref="H123">IFERROR(SUMPRODUCT(Tracking[Amount], --(Tracking[Date]&lt;=Tracking[[#This Row],[Date]]), (Tracking[Type]&lt;&gt;"Income") * (-1) + (Tracking[Type]="Income")), "-")</f>
        <v>6641.5</v>
      </c>
      <c r="I123" s="95">
        <f>IF(AND(Tracking[[#This Row],[Type]]="Income", shift_late_income_status="Active", DAY(Tracking[[#This Row],[Date]])&gt;=shift_late_income_starting_day),
      DATE(YEAR(Tracking[[#This Row],[Date]]), MONTH(Tracking[[#This Row],[Date]])+1, 1),
      Tracking[[#This Row],[Date]])</f>
        <v>45662</v>
      </c>
    </row>
    <row r="124" spans="3:9" hidden="1" outlineLevel="1" x14ac:dyDescent="0.2">
      <c r="C124" s="94">
        <v>45662</v>
      </c>
      <c r="D124" s="32" t="s">
        <v>47</v>
      </c>
      <c r="E124" s="32" t="s">
        <v>48</v>
      </c>
      <c r="F124" s="34">
        <v>11</v>
      </c>
      <c r="G124" s="35" t="s">
        <v>239</v>
      </c>
      <c r="H124" s="37" cm="1">
        <f t="array" ref="H124">IFERROR(SUMPRODUCT(Tracking[Amount], --(Tracking[Date]&lt;=Tracking[[#This Row],[Date]]), (Tracking[Type]&lt;&gt;"Income") * (-1) + (Tracking[Type]="Income")), "-")</f>
        <v>6641.5</v>
      </c>
      <c r="I124" s="95">
        <f>IF(AND(Tracking[[#This Row],[Type]]="Income", shift_late_income_status="Active", DAY(Tracking[[#This Row],[Date]])&gt;=shift_late_income_starting_day),
      DATE(YEAR(Tracking[[#This Row],[Date]]), MONTH(Tracking[[#This Row],[Date]])+1, 1),
      Tracking[[#This Row],[Date]])</f>
        <v>45662</v>
      </c>
    </row>
    <row r="125" spans="3:9" hidden="1" outlineLevel="1" x14ac:dyDescent="0.2">
      <c r="C125" s="94">
        <v>45662</v>
      </c>
      <c r="D125" s="32" t="s">
        <v>47</v>
      </c>
      <c r="E125" s="32" t="s">
        <v>56</v>
      </c>
      <c r="F125" s="34">
        <v>32</v>
      </c>
      <c r="G125" s="35" t="s">
        <v>240</v>
      </c>
      <c r="H125" s="37" cm="1">
        <f t="array" ref="H125">IFERROR(SUMPRODUCT(Tracking[Amount], --(Tracking[Date]&lt;=Tracking[[#This Row],[Date]]), (Tracking[Type]&lt;&gt;"Income") * (-1) + (Tracking[Type]="Income")), "-")</f>
        <v>6641.5</v>
      </c>
      <c r="I125" s="95">
        <f>IF(AND(Tracking[[#This Row],[Type]]="Income", shift_late_income_status="Active", DAY(Tracking[[#This Row],[Date]])&gt;=shift_late_income_starting_day),
      DATE(YEAR(Tracking[[#This Row],[Date]]), MONTH(Tracking[[#This Row],[Date]])+1, 1),
      Tracking[[#This Row],[Date]])</f>
        <v>45662</v>
      </c>
    </row>
    <row r="126" spans="3:9" hidden="1" outlineLevel="1" x14ac:dyDescent="0.2">
      <c r="C126" s="94">
        <v>45664</v>
      </c>
      <c r="D126" s="32" t="s">
        <v>47</v>
      </c>
      <c r="E126" s="32" t="s">
        <v>48</v>
      </c>
      <c r="F126" s="34">
        <v>17</v>
      </c>
      <c r="G126" s="35" t="s">
        <v>239</v>
      </c>
      <c r="H126" s="37" cm="1">
        <f t="array" ref="H126">IFERROR(SUMPRODUCT(Tracking[Amount], --(Tracking[Date]&lt;=Tracking[[#This Row],[Date]]), (Tracking[Type]&lt;&gt;"Income") * (-1) + (Tracking[Type]="Income")), "-")</f>
        <v>6437.5</v>
      </c>
      <c r="I126" s="95">
        <f>IF(AND(Tracking[[#This Row],[Type]]="Income", shift_late_income_status="Active", DAY(Tracking[[#This Row],[Date]])&gt;=shift_late_income_starting_day),
      DATE(YEAR(Tracking[[#This Row],[Date]]), MONTH(Tracking[[#This Row],[Date]])+1, 1),
      Tracking[[#This Row],[Date]])</f>
        <v>45664</v>
      </c>
    </row>
    <row r="127" spans="3:9" hidden="1" outlineLevel="1" x14ac:dyDescent="0.2">
      <c r="C127" s="94">
        <v>45664</v>
      </c>
      <c r="D127" s="32" t="s">
        <v>47</v>
      </c>
      <c r="E127" s="32" t="s">
        <v>50</v>
      </c>
      <c r="F127" s="34">
        <v>34</v>
      </c>
      <c r="G127" s="35" t="s">
        <v>241</v>
      </c>
      <c r="H127" s="37" cm="1">
        <f t="array" ref="H127">IFERROR(SUMPRODUCT(Tracking[Amount], --(Tracking[Date]&lt;=Tracking[[#This Row],[Date]]), (Tracking[Type]&lt;&gt;"Income") * (-1) + (Tracking[Type]="Income")), "-")</f>
        <v>6437.5</v>
      </c>
      <c r="I127" s="95">
        <f>IF(AND(Tracking[[#This Row],[Type]]="Income", shift_late_income_status="Active", DAY(Tracking[[#This Row],[Date]])&gt;=shift_late_income_starting_day),
      DATE(YEAR(Tracking[[#This Row],[Date]]), MONTH(Tracking[[#This Row],[Date]])+1, 1),
      Tracking[[#This Row],[Date]])</f>
        <v>45664</v>
      </c>
    </row>
    <row r="128" spans="3:9" hidden="1" outlineLevel="1" x14ac:dyDescent="0.2">
      <c r="C128" s="94">
        <v>45664</v>
      </c>
      <c r="D128" s="32" t="s">
        <v>47</v>
      </c>
      <c r="E128" s="32" t="s">
        <v>55</v>
      </c>
      <c r="F128" s="34">
        <v>38</v>
      </c>
      <c r="G128" s="35" t="s">
        <v>242</v>
      </c>
      <c r="H128" s="37" cm="1">
        <f t="array" ref="H128">IFERROR(SUMPRODUCT(Tracking[Amount], --(Tracking[Date]&lt;=Tracking[[#This Row],[Date]]), (Tracking[Type]&lt;&gt;"Income") * (-1) + (Tracking[Type]="Income")), "-")</f>
        <v>6437.5</v>
      </c>
      <c r="I128" s="95">
        <f>IF(AND(Tracking[[#This Row],[Type]]="Income", shift_late_income_status="Active", DAY(Tracking[[#This Row],[Date]])&gt;=shift_late_income_starting_day),
      DATE(YEAR(Tracking[[#This Row],[Date]]), MONTH(Tracking[[#This Row],[Date]])+1, 1),
      Tracking[[#This Row],[Date]])</f>
        <v>45664</v>
      </c>
    </row>
    <row r="129" spans="3:9" hidden="1" outlineLevel="1" x14ac:dyDescent="0.2">
      <c r="C129" s="94">
        <v>45664</v>
      </c>
      <c r="D129" s="32" t="s">
        <v>47</v>
      </c>
      <c r="E129" s="32" t="s">
        <v>52</v>
      </c>
      <c r="F129" s="34">
        <v>44</v>
      </c>
      <c r="G129" s="35" t="s">
        <v>243</v>
      </c>
      <c r="H129" s="37" cm="1">
        <f t="array" ref="H129">IFERROR(SUMPRODUCT(Tracking[Amount], --(Tracking[Date]&lt;=Tracking[[#This Row],[Date]]), (Tracking[Type]&lt;&gt;"Income") * (-1) + (Tracking[Type]="Income")), "-")</f>
        <v>6437.5</v>
      </c>
      <c r="I129" s="95">
        <f>IF(AND(Tracking[[#This Row],[Type]]="Income", shift_late_income_status="Active", DAY(Tracking[[#This Row],[Date]])&gt;=shift_late_income_starting_day),
      DATE(YEAR(Tracking[[#This Row],[Date]]), MONTH(Tracking[[#This Row],[Date]])+1, 1),
      Tracking[[#This Row],[Date]])</f>
        <v>45664</v>
      </c>
    </row>
    <row r="130" spans="3:9" hidden="1" outlineLevel="1" x14ac:dyDescent="0.2">
      <c r="C130" s="94">
        <v>45664</v>
      </c>
      <c r="D130" s="32" t="s">
        <v>47</v>
      </c>
      <c r="E130" s="32" t="s">
        <v>48</v>
      </c>
      <c r="F130" s="34">
        <v>15</v>
      </c>
      <c r="G130" s="35" t="s">
        <v>220</v>
      </c>
      <c r="H130" s="37" cm="1">
        <f t="array" ref="H130">IFERROR(SUMPRODUCT(Tracking[Amount], --(Tracking[Date]&lt;=Tracking[[#This Row],[Date]]), (Tracking[Type]&lt;&gt;"Income") * (-1) + (Tracking[Type]="Income")), "-")</f>
        <v>6437.5</v>
      </c>
      <c r="I130" s="95">
        <f>IF(AND(Tracking[[#This Row],[Type]]="Income", shift_late_income_status="Active", DAY(Tracking[[#This Row],[Date]])&gt;=shift_late_income_starting_day),
      DATE(YEAR(Tracking[[#This Row],[Date]]), MONTH(Tracking[[#This Row],[Date]])+1, 1),
      Tracking[[#This Row],[Date]])</f>
        <v>45664</v>
      </c>
    </row>
    <row r="131" spans="3:9" hidden="1" outlineLevel="1" x14ac:dyDescent="0.2">
      <c r="C131" s="94">
        <v>45664</v>
      </c>
      <c r="D131" s="32" t="s">
        <v>47</v>
      </c>
      <c r="E131" s="32" t="s">
        <v>55</v>
      </c>
      <c r="F131" s="34">
        <v>14</v>
      </c>
      <c r="G131" s="35" t="s">
        <v>244</v>
      </c>
      <c r="H131" s="37" cm="1">
        <f t="array" ref="H131">IFERROR(SUMPRODUCT(Tracking[Amount], --(Tracking[Date]&lt;=Tracking[[#This Row],[Date]]), (Tracking[Type]&lt;&gt;"Income") * (-1) + (Tracking[Type]="Income")), "-")</f>
        <v>6437.5</v>
      </c>
      <c r="I131" s="95">
        <f>IF(AND(Tracking[[#This Row],[Type]]="Income", shift_late_income_status="Active", DAY(Tracking[[#This Row],[Date]])&gt;=shift_late_income_starting_day),
      DATE(YEAR(Tracking[[#This Row],[Date]]), MONTH(Tracking[[#This Row],[Date]])+1, 1),
      Tracking[[#This Row],[Date]])</f>
        <v>45664</v>
      </c>
    </row>
    <row r="132" spans="3:9" hidden="1" outlineLevel="1" x14ac:dyDescent="0.2">
      <c r="C132" s="94">
        <v>45664</v>
      </c>
      <c r="D132" s="32" t="s">
        <v>47</v>
      </c>
      <c r="E132" s="32" t="s">
        <v>48</v>
      </c>
      <c r="F132" s="34">
        <v>42</v>
      </c>
      <c r="G132" s="35" t="s">
        <v>246</v>
      </c>
      <c r="H132" s="37" cm="1">
        <f t="array" ref="H132">IFERROR(SUMPRODUCT(Tracking[Amount], --(Tracking[Date]&lt;=Tracking[[#This Row],[Date]]), (Tracking[Type]&lt;&gt;"Income") * (-1) + (Tracking[Type]="Income")), "-")</f>
        <v>6437.5</v>
      </c>
      <c r="I132" s="95">
        <f>IF(AND(Tracking[[#This Row],[Type]]="Income", shift_late_income_status="Active", DAY(Tracking[[#This Row],[Date]])&gt;=shift_late_income_starting_day),
      DATE(YEAR(Tracking[[#This Row],[Date]]), MONTH(Tracking[[#This Row],[Date]])+1, 1),
      Tracking[[#This Row],[Date]])</f>
        <v>45664</v>
      </c>
    </row>
    <row r="133" spans="3:9" hidden="1" outlineLevel="1" x14ac:dyDescent="0.2">
      <c r="C133" s="94">
        <v>45665</v>
      </c>
      <c r="D133" s="32" t="s">
        <v>47</v>
      </c>
      <c r="E133" s="32" t="s">
        <v>56</v>
      </c>
      <c r="F133" s="34">
        <v>108</v>
      </c>
      <c r="G133" s="35" t="s">
        <v>245</v>
      </c>
      <c r="H133" s="37" cm="1">
        <f t="array" ref="H133">IFERROR(SUMPRODUCT(Tracking[Amount], --(Tracking[Date]&lt;=Tracking[[#This Row],[Date]]), (Tracking[Type]&lt;&gt;"Income") * (-1) + (Tracking[Type]="Income")), "-")</f>
        <v>6216.5</v>
      </c>
      <c r="I133" s="95">
        <f>IF(AND(Tracking[[#This Row],[Type]]="Income", shift_late_income_status="Active", DAY(Tracking[[#This Row],[Date]])&gt;=shift_late_income_starting_day),
      DATE(YEAR(Tracking[[#This Row],[Date]]), MONTH(Tracking[[#This Row],[Date]])+1, 1),
      Tracking[[#This Row],[Date]])</f>
        <v>45665</v>
      </c>
    </row>
    <row r="134" spans="3:9" hidden="1" outlineLevel="1" x14ac:dyDescent="0.2">
      <c r="C134" s="94">
        <v>45665</v>
      </c>
      <c r="D134" s="32" t="s">
        <v>47</v>
      </c>
      <c r="E134" s="32" t="s">
        <v>51</v>
      </c>
      <c r="F134" s="34">
        <v>57</v>
      </c>
      <c r="G134" s="35" t="s">
        <v>248</v>
      </c>
      <c r="H134" s="37" cm="1">
        <f t="array" ref="H134">IFERROR(SUMPRODUCT(Tracking[Amount], --(Tracking[Date]&lt;=Tracking[[#This Row],[Date]]), (Tracking[Type]&lt;&gt;"Income") * (-1) + (Tracking[Type]="Income")), "-")</f>
        <v>6216.5</v>
      </c>
      <c r="I134" s="95">
        <f>IF(AND(Tracking[[#This Row],[Type]]="Income", shift_late_income_status="Active", DAY(Tracking[[#This Row],[Date]])&gt;=shift_late_income_starting_day),
      DATE(YEAR(Tracking[[#This Row],[Date]]), MONTH(Tracking[[#This Row],[Date]])+1, 1),
      Tracking[[#This Row],[Date]])</f>
        <v>45665</v>
      </c>
    </row>
    <row r="135" spans="3:9" hidden="1" outlineLevel="1" x14ac:dyDescent="0.2">
      <c r="C135" s="94">
        <v>45665</v>
      </c>
      <c r="D135" s="32" t="s">
        <v>47</v>
      </c>
      <c r="E135" s="32" t="s">
        <v>54</v>
      </c>
      <c r="F135" s="34">
        <v>56</v>
      </c>
      <c r="G135" s="35" t="s">
        <v>249</v>
      </c>
      <c r="H135" s="37" cm="1">
        <f t="array" ref="H135">IFERROR(SUMPRODUCT(Tracking[Amount], --(Tracking[Date]&lt;=Tracking[[#This Row],[Date]]), (Tracking[Type]&lt;&gt;"Income") * (-1) + (Tracking[Type]="Income")), "-")</f>
        <v>6216.5</v>
      </c>
      <c r="I135" s="95">
        <f>IF(AND(Tracking[[#This Row],[Type]]="Income", shift_late_income_status="Active", DAY(Tracking[[#This Row],[Date]])&gt;=shift_late_income_starting_day),
      DATE(YEAR(Tracking[[#This Row],[Date]]), MONTH(Tracking[[#This Row],[Date]])+1, 1),
      Tracking[[#This Row],[Date]])</f>
        <v>45665</v>
      </c>
    </row>
    <row r="136" spans="3:9" hidden="1" outlineLevel="1" x14ac:dyDescent="0.2">
      <c r="C136" s="94">
        <v>45666</v>
      </c>
      <c r="D136" s="32" t="s">
        <v>47</v>
      </c>
      <c r="E136" s="32" t="s">
        <v>55</v>
      </c>
      <c r="F136" s="34">
        <v>94</v>
      </c>
      <c r="G136" s="35" t="s">
        <v>250</v>
      </c>
      <c r="H136" s="37" cm="1">
        <f t="array" ref="H136">IFERROR(SUMPRODUCT(Tracking[Amount], --(Tracking[Date]&lt;=Tracking[[#This Row],[Date]]), (Tracking[Type]&lt;&gt;"Income") * (-1) + (Tracking[Type]="Income")), "-")</f>
        <v>5958.5</v>
      </c>
      <c r="I136" s="95">
        <f>IF(AND(Tracking[[#This Row],[Type]]="Income", shift_late_income_status="Active", DAY(Tracking[[#This Row],[Date]])&gt;=shift_late_income_starting_day),
      DATE(YEAR(Tracking[[#This Row],[Date]]), MONTH(Tracking[[#This Row],[Date]])+1, 1),
      Tracking[[#This Row],[Date]])</f>
        <v>45666</v>
      </c>
    </row>
    <row r="137" spans="3:9" hidden="1" outlineLevel="1" x14ac:dyDescent="0.2">
      <c r="C137" s="94">
        <v>45666</v>
      </c>
      <c r="D137" s="32" t="s">
        <v>47</v>
      </c>
      <c r="E137" s="32" t="s">
        <v>49</v>
      </c>
      <c r="F137" s="34">
        <v>5</v>
      </c>
      <c r="G137" s="35" t="s">
        <v>251</v>
      </c>
      <c r="H137" s="37" cm="1">
        <f t="array" ref="H137">IFERROR(SUMPRODUCT(Tracking[Amount], --(Tracking[Date]&lt;=Tracking[[#This Row],[Date]]), (Tracking[Type]&lt;&gt;"Income") * (-1) + (Tracking[Type]="Income")), "-")</f>
        <v>5958.5</v>
      </c>
      <c r="I137" s="95">
        <f>IF(AND(Tracking[[#This Row],[Type]]="Income", shift_late_income_status="Active", DAY(Tracking[[#This Row],[Date]])&gt;=shift_late_income_starting_day),
      DATE(YEAR(Tracking[[#This Row],[Date]]), MONTH(Tracking[[#This Row],[Date]])+1, 1),
      Tracking[[#This Row],[Date]])</f>
        <v>45666</v>
      </c>
    </row>
    <row r="138" spans="3:9" hidden="1" outlineLevel="1" x14ac:dyDescent="0.2">
      <c r="C138" s="94">
        <v>45666</v>
      </c>
      <c r="D138" s="32" t="s">
        <v>47</v>
      </c>
      <c r="E138" s="32" t="s">
        <v>48</v>
      </c>
      <c r="F138" s="34">
        <v>14</v>
      </c>
      <c r="G138" s="35" t="s">
        <v>252</v>
      </c>
      <c r="H138" s="37" cm="1">
        <f t="array" ref="H138">IFERROR(SUMPRODUCT(Tracking[Amount], --(Tracking[Date]&lt;=Tracking[[#This Row],[Date]]), (Tracking[Type]&lt;&gt;"Income") * (-1) + (Tracking[Type]="Income")), "-")</f>
        <v>5958.5</v>
      </c>
      <c r="I138" s="95">
        <f>IF(AND(Tracking[[#This Row],[Type]]="Income", shift_late_income_status="Active", DAY(Tracking[[#This Row],[Date]])&gt;=shift_late_income_starting_day),
      DATE(YEAR(Tracking[[#This Row],[Date]]), MONTH(Tracking[[#This Row],[Date]])+1, 1),
      Tracking[[#This Row],[Date]])</f>
        <v>45666</v>
      </c>
    </row>
    <row r="139" spans="3:9" hidden="1" outlineLevel="1" x14ac:dyDescent="0.2">
      <c r="C139" s="94">
        <v>45666</v>
      </c>
      <c r="D139" s="32" t="s">
        <v>47</v>
      </c>
      <c r="E139" s="32" t="s">
        <v>230</v>
      </c>
      <c r="F139" s="34">
        <v>12</v>
      </c>
      <c r="G139" s="35" t="s">
        <v>253</v>
      </c>
      <c r="H139" s="37" cm="1">
        <f t="array" ref="H139">IFERROR(SUMPRODUCT(Tracking[Amount], --(Tracking[Date]&lt;=Tracking[[#This Row],[Date]]), (Tracking[Type]&lt;&gt;"Income") * (-1) + (Tracking[Type]="Income")), "-")</f>
        <v>5958.5</v>
      </c>
      <c r="I139" s="95">
        <f>IF(AND(Tracking[[#This Row],[Type]]="Income", shift_late_income_status="Active", DAY(Tracking[[#This Row],[Date]])&gt;=shift_late_income_starting_day),
      DATE(YEAR(Tracking[[#This Row],[Date]]), MONTH(Tracking[[#This Row],[Date]])+1, 1),
      Tracking[[#This Row],[Date]])</f>
        <v>45666</v>
      </c>
    </row>
    <row r="140" spans="3:9" hidden="1" outlineLevel="1" x14ac:dyDescent="0.2">
      <c r="C140" s="94">
        <v>45666</v>
      </c>
      <c r="D140" s="32" t="s">
        <v>47</v>
      </c>
      <c r="E140" s="32" t="s">
        <v>59</v>
      </c>
      <c r="F140" s="34">
        <v>13</v>
      </c>
      <c r="G140" s="35" t="s">
        <v>254</v>
      </c>
      <c r="H140" s="37" cm="1">
        <f t="array" ref="H140">IFERROR(SUMPRODUCT(Tracking[Amount], --(Tracking[Date]&lt;=Tracking[[#This Row],[Date]]), (Tracking[Type]&lt;&gt;"Income") * (-1) + (Tracking[Type]="Income")), "-")</f>
        <v>5958.5</v>
      </c>
      <c r="I140" s="95">
        <f>IF(AND(Tracking[[#This Row],[Type]]="Income", shift_late_income_status="Active", DAY(Tracking[[#This Row],[Date]])&gt;=shift_late_income_starting_day),
      DATE(YEAR(Tracking[[#This Row],[Date]]), MONTH(Tracking[[#This Row],[Date]])+1, 1),
      Tracking[[#This Row],[Date]])</f>
        <v>45666</v>
      </c>
    </row>
    <row r="141" spans="3:9" hidden="1" outlineLevel="1" x14ac:dyDescent="0.2">
      <c r="C141" s="94">
        <v>45666</v>
      </c>
      <c r="D141" s="32" t="s">
        <v>47</v>
      </c>
      <c r="E141" s="32" t="s">
        <v>52</v>
      </c>
      <c r="F141" s="34">
        <v>20</v>
      </c>
      <c r="G141" s="35" t="s">
        <v>255</v>
      </c>
      <c r="H141" s="37" cm="1">
        <f t="array" ref="H141">IFERROR(SUMPRODUCT(Tracking[Amount], --(Tracking[Date]&lt;=Tracking[[#This Row],[Date]]), (Tracking[Type]&lt;&gt;"Income") * (-1) + (Tracking[Type]="Income")), "-")</f>
        <v>5958.5</v>
      </c>
      <c r="I141" s="95">
        <f>IF(AND(Tracking[[#This Row],[Type]]="Income", shift_late_income_status="Active", DAY(Tracking[[#This Row],[Date]])&gt;=shift_late_income_starting_day),
      DATE(YEAR(Tracking[[#This Row],[Date]]), MONTH(Tracking[[#This Row],[Date]])+1, 1),
      Tracking[[#This Row],[Date]])</f>
        <v>45666</v>
      </c>
    </row>
    <row r="142" spans="3:9" hidden="1" outlineLevel="1" x14ac:dyDescent="0.2">
      <c r="C142" s="94">
        <v>45666</v>
      </c>
      <c r="D142" s="32" t="s">
        <v>47</v>
      </c>
      <c r="E142" s="32" t="s">
        <v>44</v>
      </c>
      <c r="F142" s="34">
        <v>100</v>
      </c>
      <c r="G142" s="35" t="s">
        <v>256</v>
      </c>
      <c r="H142" s="37" cm="1">
        <f t="array" ref="H142">IFERROR(SUMPRODUCT(Tracking[Amount], --(Tracking[Date]&lt;=Tracking[[#This Row],[Date]]), (Tracking[Type]&lt;&gt;"Income") * (-1) + (Tracking[Type]="Income")), "-")</f>
        <v>5958.5</v>
      </c>
      <c r="I142" s="95">
        <f>IF(AND(Tracking[[#This Row],[Type]]="Income", shift_late_income_status="Active", DAY(Tracking[[#This Row],[Date]])&gt;=shift_late_income_starting_day),
      DATE(YEAR(Tracking[[#This Row],[Date]]), MONTH(Tracking[[#This Row],[Date]])+1, 1),
      Tracking[[#This Row],[Date]])</f>
        <v>45666</v>
      </c>
    </row>
    <row r="143" spans="3:9" hidden="1" outlineLevel="1" x14ac:dyDescent="0.2">
      <c r="C143" s="94">
        <v>45667</v>
      </c>
      <c r="D143" s="32" t="s">
        <v>47</v>
      </c>
      <c r="E143" s="32" t="s">
        <v>48</v>
      </c>
      <c r="F143" s="34">
        <v>21</v>
      </c>
      <c r="G143" s="35" t="s">
        <v>220</v>
      </c>
      <c r="H143" s="37" cm="1">
        <f t="array" ref="H143">IFERROR(SUMPRODUCT(Tracking[Amount], --(Tracking[Date]&lt;=Tracking[[#This Row],[Date]]), (Tracking[Type]&lt;&gt;"Income") * (-1) + (Tracking[Type]="Income")), "-")</f>
        <v>5929.5</v>
      </c>
      <c r="I143" s="95">
        <f>IF(AND(Tracking[[#This Row],[Type]]="Income", shift_late_income_status="Active", DAY(Tracking[[#This Row],[Date]])&gt;=shift_late_income_starting_day),
      DATE(YEAR(Tracking[[#This Row],[Date]]), MONTH(Tracking[[#This Row],[Date]])+1, 1),
      Tracking[[#This Row],[Date]])</f>
        <v>45667</v>
      </c>
    </row>
    <row r="144" spans="3:9" hidden="1" outlineLevel="1" x14ac:dyDescent="0.2">
      <c r="C144" s="94">
        <v>45667</v>
      </c>
      <c r="D144" s="32" t="s">
        <v>47</v>
      </c>
      <c r="E144" s="32" t="s">
        <v>49</v>
      </c>
      <c r="F144" s="34">
        <v>8</v>
      </c>
      <c r="G144" s="35" t="s">
        <v>257</v>
      </c>
      <c r="H144" s="37" cm="1">
        <f t="array" ref="H144">IFERROR(SUMPRODUCT(Tracking[Amount], --(Tracking[Date]&lt;=Tracking[[#This Row],[Date]]), (Tracking[Type]&lt;&gt;"Income") * (-1) + (Tracking[Type]="Income")), "-")</f>
        <v>5929.5</v>
      </c>
      <c r="I144" s="95">
        <f>IF(AND(Tracking[[#This Row],[Type]]="Income", shift_late_income_status="Active", DAY(Tracking[[#This Row],[Date]])&gt;=shift_late_income_starting_day),
      DATE(YEAR(Tracking[[#This Row],[Date]]), MONTH(Tracking[[#This Row],[Date]])+1, 1),
      Tracking[[#This Row],[Date]])</f>
        <v>45667</v>
      </c>
    </row>
    <row r="145" spans="3:9" hidden="1" outlineLevel="1" x14ac:dyDescent="0.2">
      <c r="C145" s="94">
        <v>45669</v>
      </c>
      <c r="D145" s="32" t="s">
        <v>47</v>
      </c>
      <c r="E145" s="32" t="s">
        <v>48</v>
      </c>
      <c r="F145" s="34">
        <v>10</v>
      </c>
      <c r="G145" s="35" t="s">
        <v>258</v>
      </c>
      <c r="H145" s="37" cm="1">
        <f t="array" ref="H145">IFERROR(SUMPRODUCT(Tracking[Amount], --(Tracking[Date]&lt;=Tracking[[#This Row],[Date]]), (Tracking[Type]&lt;&gt;"Income") * (-1) + (Tracking[Type]="Income")), "-")</f>
        <v>5919.5</v>
      </c>
      <c r="I145" s="95">
        <f>IF(AND(Tracking[[#This Row],[Type]]="Income", shift_late_income_status="Active", DAY(Tracking[[#This Row],[Date]])&gt;=shift_late_income_starting_day),
      DATE(YEAR(Tracking[[#This Row],[Date]]), MONTH(Tracking[[#This Row],[Date]])+1, 1),
      Tracking[[#This Row],[Date]])</f>
        <v>45669</v>
      </c>
    </row>
    <row r="146" spans="3:9" hidden="1" outlineLevel="1" x14ac:dyDescent="0.2">
      <c r="C146" s="94">
        <v>45670</v>
      </c>
      <c r="D146" s="32" t="s">
        <v>47</v>
      </c>
      <c r="E146" s="32" t="s">
        <v>52</v>
      </c>
      <c r="F146" s="34">
        <v>6</v>
      </c>
      <c r="G146" s="35" t="s">
        <v>259</v>
      </c>
      <c r="H146" s="37" cm="1">
        <f t="array" ref="H146">IFERROR(SUMPRODUCT(Tracking[Amount], --(Tracking[Date]&lt;=Tracking[[#This Row],[Date]]), (Tracking[Type]&lt;&gt;"Income") * (-1) + (Tracking[Type]="Income")), "-")</f>
        <v>5913.5</v>
      </c>
      <c r="I146" s="95">
        <f>IF(AND(Tracking[[#This Row],[Type]]="Income", shift_late_income_status="Active", DAY(Tracking[[#This Row],[Date]])&gt;=shift_late_income_starting_day),
      DATE(YEAR(Tracking[[#This Row],[Date]]), MONTH(Tracking[[#This Row],[Date]])+1, 1),
      Tracking[[#This Row],[Date]])</f>
        <v>45670</v>
      </c>
    </row>
    <row r="147" spans="3:9" hidden="1" outlineLevel="1" x14ac:dyDescent="0.2">
      <c r="C147" s="94">
        <v>45671</v>
      </c>
      <c r="D147" s="32" t="s">
        <v>47</v>
      </c>
      <c r="E147" s="32" t="s">
        <v>52</v>
      </c>
      <c r="F147" s="34">
        <v>70</v>
      </c>
      <c r="G147" s="35" t="s">
        <v>260</v>
      </c>
      <c r="H147" s="37" cm="1">
        <f t="array" ref="H147">IFERROR(SUMPRODUCT(Tracking[Amount], --(Tracking[Date]&lt;=Tracking[[#This Row],[Date]]), (Tracking[Type]&lt;&gt;"Income") * (-1) + (Tracking[Type]="Income")), "-")</f>
        <v>5843.5</v>
      </c>
      <c r="I147" s="95">
        <f>IF(AND(Tracking[[#This Row],[Type]]="Income", shift_late_income_status="Active", DAY(Tracking[[#This Row],[Date]])&gt;=shift_late_income_starting_day),
      DATE(YEAR(Tracking[[#This Row],[Date]]), MONTH(Tracking[[#This Row],[Date]])+1, 1),
      Tracking[[#This Row],[Date]])</f>
        <v>45671</v>
      </c>
    </row>
    <row r="148" spans="3:9" hidden="1" outlineLevel="1" x14ac:dyDescent="0.2">
      <c r="C148" s="94">
        <v>45672</v>
      </c>
      <c r="D148" s="32" t="s">
        <v>40</v>
      </c>
      <c r="E148" s="32" t="s">
        <v>43</v>
      </c>
      <c r="F148" s="34">
        <v>250</v>
      </c>
      <c r="G148" s="35"/>
      <c r="H148" s="37" cm="1">
        <f t="array" ref="H148">IFERROR(SUMPRODUCT(Tracking[Amount], --(Tracking[Date]&lt;=Tracking[[#This Row],[Date]]), (Tracking[Type]&lt;&gt;"Income") * (-1) + (Tracking[Type]="Income")), "-")</f>
        <v>6093.5</v>
      </c>
      <c r="I148" s="95">
        <f>IF(AND(Tracking[[#This Row],[Type]]="Income", shift_late_income_status="Active", DAY(Tracking[[#This Row],[Date]])&gt;=shift_late_income_starting_day),
      DATE(YEAR(Tracking[[#This Row],[Date]]), MONTH(Tracking[[#This Row],[Date]])+1, 1),
      Tracking[[#This Row],[Date]])</f>
        <v>45672</v>
      </c>
    </row>
    <row r="149" spans="3:9" hidden="1" outlineLevel="1" x14ac:dyDescent="0.2">
      <c r="C149" s="94">
        <v>45673</v>
      </c>
      <c r="D149" s="32" t="s">
        <v>47</v>
      </c>
      <c r="E149" s="32" t="s">
        <v>59</v>
      </c>
      <c r="F149" s="34">
        <v>21</v>
      </c>
      <c r="G149" s="35" t="s">
        <v>218</v>
      </c>
      <c r="H149" s="37" cm="1">
        <f t="array" ref="H149">IFERROR(SUMPRODUCT(Tracking[Amount], --(Tracking[Date]&lt;=Tracking[[#This Row],[Date]]), (Tracking[Type]&lt;&gt;"Income") * (-1) + (Tracking[Type]="Income")), "-")</f>
        <v>6016.5</v>
      </c>
      <c r="I149" s="95">
        <f>IF(AND(Tracking[[#This Row],[Type]]="Income", shift_late_income_status="Active", DAY(Tracking[[#This Row],[Date]])&gt;=shift_late_income_starting_day),
      DATE(YEAR(Tracking[[#This Row],[Date]]), MONTH(Tracking[[#This Row],[Date]])+1, 1),
      Tracking[[#This Row],[Date]])</f>
        <v>45673</v>
      </c>
    </row>
    <row r="150" spans="3:9" hidden="1" outlineLevel="1" x14ac:dyDescent="0.2">
      <c r="C150" s="94">
        <v>45673</v>
      </c>
      <c r="D150" s="32" t="s">
        <v>47</v>
      </c>
      <c r="E150" s="32" t="s">
        <v>49</v>
      </c>
      <c r="F150" s="34">
        <v>10</v>
      </c>
      <c r="G150" s="35" t="s">
        <v>261</v>
      </c>
      <c r="H150" s="37" cm="1">
        <f t="array" ref="H150">IFERROR(SUMPRODUCT(Tracking[Amount], --(Tracking[Date]&lt;=Tracking[[#This Row],[Date]]), (Tracking[Type]&lt;&gt;"Income") * (-1) + (Tracking[Type]="Income")), "-")</f>
        <v>6016.5</v>
      </c>
      <c r="I150" s="95">
        <f>IF(AND(Tracking[[#This Row],[Type]]="Income", shift_late_income_status="Active", DAY(Tracking[[#This Row],[Date]])&gt;=shift_late_income_starting_day),
      DATE(YEAR(Tracking[[#This Row],[Date]]), MONTH(Tracking[[#This Row],[Date]])+1, 1),
      Tracking[[#This Row],[Date]])</f>
        <v>45673</v>
      </c>
    </row>
    <row r="151" spans="3:9" hidden="1" outlineLevel="1" x14ac:dyDescent="0.2">
      <c r="C151" s="94">
        <v>45673</v>
      </c>
      <c r="D151" s="32" t="s">
        <v>47</v>
      </c>
      <c r="E151" s="32" t="s">
        <v>49</v>
      </c>
      <c r="F151" s="34">
        <v>46</v>
      </c>
      <c r="G151" s="35" t="s">
        <v>262</v>
      </c>
      <c r="H151" s="37" cm="1">
        <f t="array" ref="H151">IFERROR(SUMPRODUCT(Tracking[Amount], --(Tracking[Date]&lt;=Tracking[[#This Row],[Date]]), (Tracking[Type]&lt;&gt;"Income") * (-1) + (Tracking[Type]="Income")), "-")</f>
        <v>6016.5</v>
      </c>
      <c r="I151" s="95">
        <f>IF(AND(Tracking[[#This Row],[Type]]="Income", shift_late_income_status="Active", DAY(Tracking[[#This Row],[Date]])&gt;=shift_late_income_starting_day),
      DATE(YEAR(Tracking[[#This Row],[Date]]), MONTH(Tracking[[#This Row],[Date]])+1, 1),
      Tracking[[#This Row],[Date]])</f>
        <v>45673</v>
      </c>
    </row>
    <row r="152" spans="3:9" hidden="1" outlineLevel="1" x14ac:dyDescent="0.2">
      <c r="C152" s="94">
        <v>45674</v>
      </c>
      <c r="D152" s="32" t="s">
        <v>47</v>
      </c>
      <c r="E152" s="32" t="s">
        <v>52</v>
      </c>
      <c r="F152" s="34">
        <v>23</v>
      </c>
      <c r="G152" s="35" t="s">
        <v>221</v>
      </c>
      <c r="H152" s="37" cm="1">
        <f t="array" ref="H152">IFERROR(SUMPRODUCT(Tracking[Amount], --(Tracking[Date]&lt;=Tracking[[#This Row],[Date]]), (Tracking[Type]&lt;&gt;"Income") * (-1) + (Tracking[Type]="Income")), "-")</f>
        <v>5823.5</v>
      </c>
      <c r="I152" s="95">
        <f>IF(AND(Tracking[[#This Row],[Type]]="Income", shift_late_income_status="Active", DAY(Tracking[[#This Row],[Date]])&gt;=shift_late_income_starting_day),
      DATE(YEAR(Tracking[[#This Row],[Date]]), MONTH(Tracking[[#This Row],[Date]])+1, 1),
      Tracking[[#This Row],[Date]])</f>
        <v>45674</v>
      </c>
    </row>
    <row r="153" spans="3:9" hidden="1" outlineLevel="1" x14ac:dyDescent="0.2">
      <c r="C153" s="94">
        <v>45674</v>
      </c>
      <c r="D153" s="32" t="s">
        <v>47</v>
      </c>
      <c r="E153" s="32" t="s">
        <v>49</v>
      </c>
      <c r="F153" s="34">
        <v>45</v>
      </c>
      <c r="G153" s="35" t="s">
        <v>231</v>
      </c>
      <c r="H153" s="37" cm="1">
        <f t="array" ref="H153">IFERROR(SUMPRODUCT(Tracking[Amount], --(Tracking[Date]&lt;=Tracking[[#This Row],[Date]]), (Tracking[Type]&lt;&gt;"Income") * (-1) + (Tracking[Type]="Income")), "-")</f>
        <v>5823.5</v>
      </c>
      <c r="I153" s="95">
        <f>IF(AND(Tracking[[#This Row],[Type]]="Income", shift_late_income_status="Active", DAY(Tracking[[#This Row],[Date]])&gt;=shift_late_income_starting_day),
      DATE(YEAR(Tracking[[#This Row],[Date]]), MONTH(Tracking[[#This Row],[Date]])+1, 1),
      Tracking[[#This Row],[Date]])</f>
        <v>45674</v>
      </c>
    </row>
    <row r="154" spans="3:9" hidden="1" outlineLevel="1" x14ac:dyDescent="0.2">
      <c r="C154" s="94">
        <v>45674</v>
      </c>
      <c r="D154" s="32" t="s">
        <v>47</v>
      </c>
      <c r="E154" s="32" t="s">
        <v>52</v>
      </c>
      <c r="F154" s="34">
        <v>75</v>
      </c>
      <c r="G154" s="35" t="s">
        <v>221</v>
      </c>
      <c r="H154" s="37" cm="1">
        <f t="array" ref="H154">IFERROR(SUMPRODUCT(Tracking[Amount], --(Tracking[Date]&lt;=Tracking[[#This Row],[Date]]), (Tracking[Type]&lt;&gt;"Income") * (-1) + (Tracking[Type]="Income")), "-")</f>
        <v>5823.5</v>
      </c>
      <c r="I154" s="95">
        <f>IF(AND(Tracking[[#This Row],[Type]]="Income", shift_late_income_status="Active", DAY(Tracking[[#This Row],[Date]])&gt;=shift_late_income_starting_day),
      DATE(YEAR(Tracking[[#This Row],[Date]]), MONTH(Tracking[[#This Row],[Date]])+1, 1),
      Tracking[[#This Row],[Date]])</f>
        <v>45674</v>
      </c>
    </row>
    <row r="155" spans="3:9" hidden="1" outlineLevel="1" x14ac:dyDescent="0.2">
      <c r="C155" s="94">
        <v>45674</v>
      </c>
      <c r="D155" s="32" t="s">
        <v>47</v>
      </c>
      <c r="E155" s="32" t="s">
        <v>51</v>
      </c>
      <c r="F155" s="34">
        <v>50</v>
      </c>
      <c r="G155" s="35" t="s">
        <v>221</v>
      </c>
      <c r="H155" s="37" cm="1">
        <f t="array" ref="H155">IFERROR(SUMPRODUCT(Tracking[Amount], --(Tracking[Date]&lt;=Tracking[[#This Row],[Date]]), (Tracking[Type]&lt;&gt;"Income") * (-1) + (Tracking[Type]="Income")), "-")</f>
        <v>5823.5</v>
      </c>
      <c r="I155" s="95">
        <f>IF(AND(Tracking[[#This Row],[Type]]="Income", shift_late_income_status="Active", DAY(Tracking[[#This Row],[Date]])&gt;=shift_late_income_starting_day),
      DATE(YEAR(Tracking[[#This Row],[Date]]), MONTH(Tracking[[#This Row],[Date]])+1, 1),
      Tracking[[#This Row],[Date]])</f>
        <v>45674</v>
      </c>
    </row>
    <row r="156" spans="3:9" hidden="1" outlineLevel="1" x14ac:dyDescent="0.2">
      <c r="C156" s="94">
        <v>45675</v>
      </c>
      <c r="D156" s="32" t="s">
        <v>47</v>
      </c>
      <c r="E156" s="32" t="s">
        <v>49</v>
      </c>
      <c r="F156" s="34">
        <v>90</v>
      </c>
      <c r="G156" s="35" t="s">
        <v>263</v>
      </c>
      <c r="H156" s="37" cm="1">
        <f t="array" ref="H156">IFERROR(SUMPRODUCT(Tracking[Amount], --(Tracking[Date]&lt;=Tracking[[#This Row],[Date]]), (Tracking[Type]&lt;&gt;"Income") * (-1) + (Tracking[Type]="Income")), "-")</f>
        <v>5729.5</v>
      </c>
      <c r="I156" s="95">
        <f>IF(AND(Tracking[[#This Row],[Type]]="Income", shift_late_income_status="Active", DAY(Tracking[[#This Row],[Date]])&gt;=shift_late_income_starting_day),
      DATE(YEAR(Tracking[[#This Row],[Date]]), MONTH(Tracking[[#This Row],[Date]])+1, 1),
      Tracking[[#This Row],[Date]])</f>
        <v>45675</v>
      </c>
    </row>
    <row r="157" spans="3:9" hidden="1" outlineLevel="1" x14ac:dyDescent="0.2">
      <c r="C157" s="94">
        <v>45675</v>
      </c>
      <c r="D157" s="32" t="s">
        <v>47</v>
      </c>
      <c r="E157" s="32" t="s">
        <v>49</v>
      </c>
      <c r="F157" s="34">
        <v>4</v>
      </c>
      <c r="G157" s="35" t="s">
        <v>264</v>
      </c>
      <c r="H157" s="37" cm="1">
        <f t="array" ref="H157">IFERROR(SUMPRODUCT(Tracking[Amount], --(Tracking[Date]&lt;=Tracking[[#This Row],[Date]]), (Tracking[Type]&lt;&gt;"Income") * (-1) + (Tracking[Type]="Income")), "-")</f>
        <v>5729.5</v>
      </c>
      <c r="I157" s="95">
        <f>IF(AND(Tracking[[#This Row],[Type]]="Income", shift_late_income_status="Active", DAY(Tracking[[#This Row],[Date]])&gt;=shift_late_income_starting_day),
      DATE(YEAR(Tracking[[#This Row],[Date]]), MONTH(Tracking[[#This Row],[Date]])+1, 1),
      Tracking[[#This Row],[Date]])</f>
        <v>45675</v>
      </c>
    </row>
    <row r="158" spans="3:9" hidden="1" outlineLevel="1" x14ac:dyDescent="0.2">
      <c r="C158" s="94">
        <v>45676</v>
      </c>
      <c r="D158" s="32" t="s">
        <v>47</v>
      </c>
      <c r="E158" s="32" t="s">
        <v>49</v>
      </c>
      <c r="F158" s="34">
        <v>37</v>
      </c>
      <c r="G158" s="35" t="s">
        <v>265</v>
      </c>
      <c r="H158" s="37" cm="1">
        <f t="array" ref="H158">IFERROR(SUMPRODUCT(Tracking[Amount], --(Tracking[Date]&lt;=Tracking[[#This Row],[Date]]), (Tracking[Type]&lt;&gt;"Income") * (-1) + (Tracking[Type]="Income")), "-")</f>
        <v>5692.5</v>
      </c>
      <c r="I158" s="95">
        <f>IF(AND(Tracking[[#This Row],[Type]]="Income", shift_late_income_status="Active", DAY(Tracking[[#This Row],[Date]])&gt;=shift_late_income_starting_day),
      DATE(YEAR(Tracking[[#This Row],[Date]]), MONTH(Tracking[[#This Row],[Date]])+1, 1),
      Tracking[[#This Row],[Date]])</f>
        <v>45676</v>
      </c>
    </row>
    <row r="159" spans="3:9" hidden="1" outlineLevel="1" x14ac:dyDescent="0.2">
      <c r="C159" s="94">
        <v>45677</v>
      </c>
      <c r="D159" s="32" t="s">
        <v>47</v>
      </c>
      <c r="E159" s="32" t="s">
        <v>49</v>
      </c>
      <c r="F159" s="34">
        <v>63</v>
      </c>
      <c r="G159" s="35" t="s">
        <v>266</v>
      </c>
      <c r="H159" s="37" cm="1">
        <f t="array" ref="H159">IFERROR(SUMPRODUCT(Tracking[Amount], --(Tracking[Date]&lt;=Tracking[[#This Row],[Date]]), (Tracking[Type]&lt;&gt;"Income") * (-1) + (Tracking[Type]="Income")), "-")</f>
        <v>5629.5</v>
      </c>
      <c r="I159" s="95">
        <f>IF(AND(Tracking[[#This Row],[Type]]="Income", shift_late_income_status="Active", DAY(Tracking[[#This Row],[Date]])&gt;=shift_late_income_starting_day),
      DATE(YEAR(Tracking[[#This Row],[Date]]), MONTH(Tracking[[#This Row],[Date]])+1, 1),
      Tracking[[#This Row],[Date]])</f>
        <v>45677</v>
      </c>
    </row>
    <row r="160" spans="3:9" hidden="1" outlineLevel="1" x14ac:dyDescent="0.2">
      <c r="C160" s="94">
        <v>45678</v>
      </c>
      <c r="D160" s="32" t="s">
        <v>47</v>
      </c>
      <c r="E160" s="32" t="s">
        <v>48</v>
      </c>
      <c r="F160" s="34">
        <v>10</v>
      </c>
      <c r="G160" s="35" t="s">
        <v>225</v>
      </c>
      <c r="H160" s="37" cm="1">
        <f t="array" ref="H160">IFERROR(SUMPRODUCT(Tracking[Amount], --(Tracking[Date]&lt;=Tracking[[#This Row],[Date]]), (Tracking[Type]&lt;&gt;"Income") * (-1) + (Tracking[Type]="Income")), "-")</f>
        <v>5546.5</v>
      </c>
      <c r="I160" s="95">
        <f>IF(AND(Tracking[[#This Row],[Type]]="Income", shift_late_income_status="Active", DAY(Tracking[[#This Row],[Date]])&gt;=shift_late_income_starting_day),
      DATE(YEAR(Tracking[[#This Row],[Date]]), MONTH(Tracking[[#This Row],[Date]])+1, 1),
      Tracking[[#This Row],[Date]])</f>
        <v>45678</v>
      </c>
    </row>
    <row r="161" spans="3:9" hidden="1" outlineLevel="1" x14ac:dyDescent="0.2">
      <c r="C161" s="94">
        <v>45678</v>
      </c>
      <c r="D161" s="32" t="s">
        <v>47</v>
      </c>
      <c r="E161" s="32" t="s">
        <v>56</v>
      </c>
      <c r="F161" s="34">
        <v>47</v>
      </c>
      <c r="G161" s="35" t="s">
        <v>267</v>
      </c>
      <c r="H161" s="37" cm="1">
        <f t="array" ref="H161">IFERROR(SUMPRODUCT(Tracking[Amount], --(Tracking[Date]&lt;=Tracking[[#This Row],[Date]]), (Tracking[Type]&lt;&gt;"Income") * (-1) + (Tracking[Type]="Income")), "-")</f>
        <v>5546.5</v>
      </c>
      <c r="I161" s="95">
        <f>IF(AND(Tracking[[#This Row],[Type]]="Income", shift_late_income_status="Active", DAY(Tracking[[#This Row],[Date]])&gt;=shift_late_income_starting_day),
      DATE(YEAR(Tracking[[#This Row],[Date]]), MONTH(Tracking[[#This Row],[Date]])+1, 1),
      Tracking[[#This Row],[Date]])</f>
        <v>45678</v>
      </c>
    </row>
    <row r="162" spans="3:9" hidden="1" outlineLevel="1" x14ac:dyDescent="0.2">
      <c r="C162" s="94">
        <v>45678</v>
      </c>
      <c r="D162" s="32" t="s">
        <v>47</v>
      </c>
      <c r="E162" s="32" t="s">
        <v>48</v>
      </c>
      <c r="F162" s="34">
        <v>26</v>
      </c>
      <c r="G162" s="35" t="s">
        <v>239</v>
      </c>
      <c r="H162" s="37" cm="1">
        <f t="array" ref="H162">IFERROR(SUMPRODUCT(Tracking[Amount], --(Tracking[Date]&lt;=Tracking[[#This Row],[Date]]), (Tracking[Type]&lt;&gt;"Income") * (-1) + (Tracking[Type]="Income")), "-")</f>
        <v>5546.5</v>
      </c>
      <c r="I162" s="95">
        <f>IF(AND(Tracking[[#This Row],[Type]]="Income", shift_late_income_status="Active", DAY(Tracking[[#This Row],[Date]])&gt;=shift_late_income_starting_day),
      DATE(YEAR(Tracking[[#This Row],[Date]]), MONTH(Tracking[[#This Row],[Date]])+1, 1),
      Tracking[[#This Row],[Date]])</f>
        <v>45678</v>
      </c>
    </row>
    <row r="163" spans="3:9" hidden="1" outlineLevel="1" x14ac:dyDescent="0.2">
      <c r="C163" s="94">
        <v>45679</v>
      </c>
      <c r="D163" s="32" t="s">
        <v>47</v>
      </c>
      <c r="E163" s="32" t="s">
        <v>57</v>
      </c>
      <c r="F163" s="34">
        <v>1260</v>
      </c>
      <c r="G163" s="35"/>
      <c r="H163" s="37" cm="1">
        <f t="array" ref="H163">IFERROR(SUMPRODUCT(Tracking[Amount], --(Tracking[Date]&lt;=Tracking[[#This Row],[Date]]), (Tracking[Type]&lt;&gt;"Income") * (-1) + (Tracking[Type]="Income")), "-")</f>
        <v>4051.5</v>
      </c>
      <c r="I163" s="95">
        <f>IF(AND(Tracking[[#This Row],[Type]]="Income", shift_late_income_status="Active", DAY(Tracking[[#This Row],[Date]])&gt;=shift_late_income_starting_day),
      DATE(YEAR(Tracking[[#This Row],[Date]]), MONTH(Tracking[[#This Row],[Date]])+1, 1),
      Tracking[[#This Row],[Date]])</f>
        <v>45679</v>
      </c>
    </row>
    <row r="164" spans="3:9" hidden="1" outlineLevel="1" x14ac:dyDescent="0.2">
      <c r="C164" s="94">
        <v>45679</v>
      </c>
      <c r="D164" s="32" t="s">
        <v>47</v>
      </c>
      <c r="E164" s="32" t="s">
        <v>58</v>
      </c>
      <c r="F164" s="34">
        <v>235</v>
      </c>
      <c r="G164" s="35" t="s">
        <v>127</v>
      </c>
      <c r="H164" s="37" cm="1">
        <f t="array" ref="H164">IFERROR(SUMPRODUCT(Tracking[Amount], --(Tracking[Date]&lt;=Tracking[[#This Row],[Date]]), (Tracking[Type]&lt;&gt;"Income") * (-1) + (Tracking[Type]="Income")), "-")</f>
        <v>4051.5</v>
      </c>
      <c r="I164" s="95">
        <f>IF(AND(Tracking[[#This Row],[Type]]="Income", shift_late_income_status="Active", DAY(Tracking[[#This Row],[Date]])&gt;=shift_late_income_starting_day),
      DATE(YEAR(Tracking[[#This Row],[Date]]), MONTH(Tracking[[#This Row],[Date]])+1, 1),
      Tracking[[#This Row],[Date]])</f>
        <v>45679</v>
      </c>
    </row>
    <row r="165" spans="3:9" hidden="1" outlineLevel="1" x14ac:dyDescent="0.2">
      <c r="C165" s="94">
        <v>45680</v>
      </c>
      <c r="D165" s="32" t="s">
        <v>47</v>
      </c>
      <c r="E165" s="32" t="s">
        <v>50</v>
      </c>
      <c r="F165" s="34">
        <v>69</v>
      </c>
      <c r="G165" s="35" t="s">
        <v>270</v>
      </c>
      <c r="H165" s="37" cm="1">
        <f t="array" ref="H165">IFERROR(SUMPRODUCT(Tracking[Amount], --(Tracking[Date]&lt;=Tracking[[#This Row],[Date]]), (Tracking[Type]&lt;&gt;"Income") * (-1) + (Tracking[Type]="Income")), "-")</f>
        <v>3909.5</v>
      </c>
      <c r="I165" s="95">
        <f>IF(AND(Tracking[[#This Row],[Type]]="Income", shift_late_income_status="Active", DAY(Tracking[[#This Row],[Date]])&gt;=shift_late_income_starting_day),
      DATE(YEAR(Tracking[[#This Row],[Date]]), MONTH(Tracking[[#This Row],[Date]])+1, 1),
      Tracking[[#This Row],[Date]])</f>
        <v>45680</v>
      </c>
    </row>
    <row r="166" spans="3:9" hidden="1" outlineLevel="1" x14ac:dyDescent="0.2">
      <c r="C166" s="94">
        <v>45680</v>
      </c>
      <c r="D166" s="32" t="s">
        <v>47</v>
      </c>
      <c r="E166" s="32" t="s">
        <v>48</v>
      </c>
      <c r="F166" s="34">
        <v>18</v>
      </c>
      <c r="G166" s="35" t="s">
        <v>220</v>
      </c>
      <c r="H166" s="37" cm="1">
        <f t="array" ref="H166">IFERROR(SUMPRODUCT(Tracking[Amount], --(Tracking[Date]&lt;=Tracking[[#This Row],[Date]]), (Tracking[Type]&lt;&gt;"Income") * (-1) + (Tracking[Type]="Income")), "-")</f>
        <v>3909.5</v>
      </c>
      <c r="I166" s="95">
        <f>IF(AND(Tracking[[#This Row],[Type]]="Income", shift_late_income_status="Active", DAY(Tracking[[#This Row],[Date]])&gt;=shift_late_income_starting_day),
      DATE(YEAR(Tracking[[#This Row],[Date]]), MONTH(Tracking[[#This Row],[Date]])+1, 1),
      Tracking[[#This Row],[Date]])</f>
        <v>45680</v>
      </c>
    </row>
    <row r="167" spans="3:9" hidden="1" outlineLevel="1" x14ac:dyDescent="0.2">
      <c r="C167" s="94">
        <v>45680</v>
      </c>
      <c r="D167" s="32" t="s">
        <v>47</v>
      </c>
      <c r="E167" s="32" t="s">
        <v>53</v>
      </c>
      <c r="F167" s="34">
        <v>46</v>
      </c>
      <c r="G167" s="35" t="s">
        <v>273</v>
      </c>
      <c r="H167" s="37" cm="1">
        <f t="array" ref="H167">IFERROR(SUMPRODUCT(Tracking[Amount], --(Tracking[Date]&lt;=Tracking[[#This Row],[Date]]), (Tracking[Type]&lt;&gt;"Income") * (-1) + (Tracking[Type]="Income")), "-")</f>
        <v>3909.5</v>
      </c>
      <c r="I167" s="95">
        <f>IF(AND(Tracking[[#This Row],[Type]]="Income", shift_late_income_status="Active", DAY(Tracking[[#This Row],[Date]])&gt;=shift_late_income_starting_day),
      DATE(YEAR(Tracking[[#This Row],[Date]]), MONTH(Tracking[[#This Row],[Date]])+1, 1),
      Tracking[[#This Row],[Date]])</f>
        <v>45680</v>
      </c>
    </row>
    <row r="168" spans="3:9" hidden="1" outlineLevel="1" x14ac:dyDescent="0.2">
      <c r="C168" s="94">
        <v>45680</v>
      </c>
      <c r="D168" s="32" t="s">
        <v>47</v>
      </c>
      <c r="E168" s="32" t="s">
        <v>49</v>
      </c>
      <c r="F168" s="34">
        <v>9</v>
      </c>
      <c r="G168" s="35" t="s">
        <v>274</v>
      </c>
      <c r="H168" s="37" cm="1">
        <f t="array" ref="H168">IFERROR(SUMPRODUCT(Tracking[Amount], --(Tracking[Date]&lt;=Tracking[[#This Row],[Date]]), (Tracking[Type]&lt;&gt;"Income") * (-1) + (Tracking[Type]="Income")), "-")</f>
        <v>3909.5</v>
      </c>
      <c r="I168" s="95">
        <f>IF(AND(Tracking[[#This Row],[Type]]="Income", shift_late_income_status="Active", DAY(Tracking[[#This Row],[Date]])&gt;=shift_late_income_starting_day),
      DATE(YEAR(Tracking[[#This Row],[Date]]), MONTH(Tracking[[#This Row],[Date]])+1, 1),
      Tracking[[#This Row],[Date]])</f>
        <v>45680</v>
      </c>
    </row>
    <row r="169" spans="3:9" hidden="1" outlineLevel="1" x14ac:dyDescent="0.2">
      <c r="C169" s="94">
        <v>45681</v>
      </c>
      <c r="D169" s="32" t="s">
        <v>47</v>
      </c>
      <c r="E169" s="32" t="s">
        <v>59</v>
      </c>
      <c r="F169" s="34">
        <v>15</v>
      </c>
      <c r="G169" s="35" t="s">
        <v>271</v>
      </c>
      <c r="H169" s="37" cm="1">
        <f t="array" ref="H169">IFERROR(SUMPRODUCT(Tracking[Amount], --(Tracking[Date]&lt;=Tracking[[#This Row],[Date]]), (Tracking[Type]&lt;&gt;"Income") * (-1) + (Tracking[Type]="Income")), "-")</f>
        <v>3858.5</v>
      </c>
      <c r="I169" s="95">
        <f>IF(AND(Tracking[[#This Row],[Type]]="Income", shift_late_income_status="Active", DAY(Tracking[[#This Row],[Date]])&gt;=shift_late_income_starting_day),
      DATE(YEAR(Tracking[[#This Row],[Date]]), MONTH(Tracking[[#This Row],[Date]])+1, 1),
      Tracking[[#This Row],[Date]])</f>
        <v>45681</v>
      </c>
    </row>
    <row r="170" spans="3:9" hidden="1" outlineLevel="1" x14ac:dyDescent="0.2">
      <c r="C170" s="94">
        <v>45681</v>
      </c>
      <c r="D170" s="32" t="s">
        <v>47</v>
      </c>
      <c r="E170" s="32" t="s">
        <v>60</v>
      </c>
      <c r="F170" s="34">
        <v>36</v>
      </c>
      <c r="G170" s="35" t="s">
        <v>275</v>
      </c>
      <c r="H170" s="37" cm="1">
        <f t="array" ref="H170">IFERROR(SUMPRODUCT(Tracking[Amount], --(Tracking[Date]&lt;=Tracking[[#This Row],[Date]]), (Tracking[Type]&lt;&gt;"Income") * (-1) + (Tracking[Type]="Income")), "-")</f>
        <v>3858.5</v>
      </c>
      <c r="I170" s="95">
        <f>IF(AND(Tracking[[#This Row],[Type]]="Income", shift_late_income_status="Active", DAY(Tracking[[#This Row],[Date]])&gt;=shift_late_income_starting_day),
      DATE(YEAR(Tracking[[#This Row],[Date]]), MONTH(Tracking[[#This Row],[Date]])+1, 1),
      Tracking[[#This Row],[Date]])</f>
        <v>45681</v>
      </c>
    </row>
    <row r="171" spans="3:9" hidden="1" outlineLevel="1" x14ac:dyDescent="0.2">
      <c r="C171" s="94">
        <v>45682</v>
      </c>
      <c r="D171" s="32" t="s">
        <v>62</v>
      </c>
      <c r="E171" s="32" t="s">
        <v>63</v>
      </c>
      <c r="F171" s="34">
        <v>686</v>
      </c>
      <c r="G171" s="35" t="s">
        <v>272</v>
      </c>
      <c r="H171" s="37" cm="1">
        <f t="array" ref="H171">IFERROR(SUMPRODUCT(Tracking[Amount], --(Tracking[Date]&lt;=Tracking[[#This Row],[Date]]), (Tracking[Type]&lt;&gt;"Income") * (-1) + (Tracking[Type]="Income")), "-")</f>
        <v>2985.5</v>
      </c>
      <c r="I171" s="95">
        <f>IF(AND(Tracking[[#This Row],[Type]]="Income", shift_late_income_status="Active", DAY(Tracking[[#This Row],[Date]])&gt;=shift_late_income_starting_day),
      DATE(YEAR(Tracking[[#This Row],[Date]]), MONTH(Tracking[[#This Row],[Date]])+1, 1),
      Tracking[[#This Row],[Date]])</f>
        <v>45682</v>
      </c>
    </row>
    <row r="172" spans="3:9" hidden="1" outlineLevel="1" x14ac:dyDescent="0.2">
      <c r="C172" s="94">
        <v>45682</v>
      </c>
      <c r="D172" s="32" t="s">
        <v>47</v>
      </c>
      <c r="E172" s="32" t="s">
        <v>58</v>
      </c>
      <c r="F172" s="34">
        <v>88</v>
      </c>
      <c r="G172" s="35" t="s">
        <v>276</v>
      </c>
      <c r="H172" s="37" cm="1">
        <f t="array" ref="H172">IFERROR(SUMPRODUCT(Tracking[Amount], --(Tracking[Date]&lt;=Tracking[[#This Row],[Date]]), (Tracking[Type]&lt;&gt;"Income") * (-1) + (Tracking[Type]="Income")), "-")</f>
        <v>2985.5</v>
      </c>
      <c r="I172" s="95">
        <f>IF(AND(Tracking[[#This Row],[Type]]="Income", shift_late_income_status="Active", DAY(Tracking[[#This Row],[Date]])&gt;=shift_late_income_starting_day),
      DATE(YEAR(Tracking[[#This Row],[Date]]), MONTH(Tracking[[#This Row],[Date]])+1, 1),
      Tracking[[#This Row],[Date]])</f>
        <v>45682</v>
      </c>
    </row>
    <row r="173" spans="3:9" hidden="1" outlineLevel="1" x14ac:dyDescent="0.2">
      <c r="C173" s="94">
        <v>45682</v>
      </c>
      <c r="D173" s="32" t="s">
        <v>47</v>
      </c>
      <c r="E173" s="32" t="s">
        <v>49</v>
      </c>
      <c r="F173" s="34">
        <v>65</v>
      </c>
      <c r="G173" s="35" t="s">
        <v>277</v>
      </c>
      <c r="H173" s="37" cm="1">
        <f t="array" ref="H173">IFERROR(SUMPRODUCT(Tracking[Amount], --(Tracking[Date]&lt;=Tracking[[#This Row],[Date]]), (Tracking[Type]&lt;&gt;"Income") * (-1) + (Tracking[Type]="Income")), "-")</f>
        <v>2985.5</v>
      </c>
      <c r="I173" s="95">
        <f>IF(AND(Tracking[[#This Row],[Type]]="Income", shift_late_income_status="Active", DAY(Tracking[[#This Row],[Date]])&gt;=shift_late_income_starting_day),
      DATE(YEAR(Tracking[[#This Row],[Date]]), MONTH(Tracking[[#This Row],[Date]])+1, 1),
      Tracking[[#This Row],[Date]])</f>
        <v>45682</v>
      </c>
    </row>
    <row r="174" spans="3:9" hidden="1" outlineLevel="1" x14ac:dyDescent="0.2">
      <c r="C174" s="94">
        <v>45682</v>
      </c>
      <c r="D174" s="32" t="s">
        <v>47</v>
      </c>
      <c r="E174" s="32" t="s">
        <v>51</v>
      </c>
      <c r="F174" s="34">
        <v>34</v>
      </c>
      <c r="G174" s="35" t="s">
        <v>278</v>
      </c>
      <c r="H174" s="37" cm="1">
        <f t="array" ref="H174">IFERROR(SUMPRODUCT(Tracking[Amount], --(Tracking[Date]&lt;=Tracking[[#This Row],[Date]]), (Tracking[Type]&lt;&gt;"Income") * (-1) + (Tracking[Type]="Income")), "-")</f>
        <v>2985.5</v>
      </c>
      <c r="I174" s="95">
        <f>IF(AND(Tracking[[#This Row],[Type]]="Income", shift_late_income_status="Active", DAY(Tracking[[#This Row],[Date]])&gt;=shift_late_income_starting_day),
      DATE(YEAR(Tracking[[#This Row],[Date]]), MONTH(Tracking[[#This Row],[Date]])+1, 1),
      Tracking[[#This Row],[Date]])</f>
        <v>45682</v>
      </c>
    </row>
    <row r="175" spans="3:9" hidden="1" outlineLevel="1" x14ac:dyDescent="0.2">
      <c r="C175" s="94">
        <v>45683</v>
      </c>
      <c r="D175" s="32" t="s">
        <v>47</v>
      </c>
      <c r="E175" s="32" t="s">
        <v>59</v>
      </c>
      <c r="F175" s="34">
        <v>16</v>
      </c>
      <c r="G175" s="35" t="s">
        <v>141</v>
      </c>
      <c r="H175" s="37" cm="1">
        <f t="array" ref="H175">IFERROR(SUMPRODUCT(Tracking[Amount], --(Tracking[Date]&lt;=Tracking[[#This Row],[Date]]), (Tracking[Type]&lt;&gt;"Income") * (-1) + (Tracking[Type]="Income")), "-")</f>
        <v>2986.5</v>
      </c>
      <c r="I175" s="95">
        <f>IF(AND(Tracking[[#This Row],[Type]]="Income", shift_late_income_status="Active", DAY(Tracking[[#This Row],[Date]])&gt;=shift_late_income_starting_day),
      DATE(YEAR(Tracking[[#This Row],[Date]]), MONTH(Tracking[[#This Row],[Date]])+1, 1),
      Tracking[[#This Row],[Date]])</f>
        <v>45683</v>
      </c>
    </row>
    <row r="176" spans="3:9" hidden="1" outlineLevel="1" x14ac:dyDescent="0.2">
      <c r="C176" s="94">
        <v>45683</v>
      </c>
      <c r="D176" s="32" t="s">
        <v>47</v>
      </c>
      <c r="E176" s="32" t="s">
        <v>48</v>
      </c>
      <c r="F176" s="34">
        <v>14</v>
      </c>
      <c r="G176" s="35" t="s">
        <v>220</v>
      </c>
      <c r="H176" s="37" cm="1">
        <f t="array" ref="H176">IFERROR(SUMPRODUCT(Tracking[Amount], --(Tracking[Date]&lt;=Tracking[[#This Row],[Date]]), (Tracking[Type]&lt;&gt;"Income") * (-1) + (Tracking[Type]="Income")), "-")</f>
        <v>2986.5</v>
      </c>
      <c r="I176" s="95">
        <f>IF(AND(Tracking[[#This Row],[Type]]="Income", shift_late_income_status="Active", DAY(Tracking[[#This Row],[Date]])&gt;=shift_late_income_starting_day),
      DATE(YEAR(Tracking[[#This Row],[Date]]), MONTH(Tracking[[#This Row],[Date]])+1, 1),
      Tracking[[#This Row],[Date]])</f>
        <v>45683</v>
      </c>
    </row>
    <row r="177" spans="3:9" hidden="1" outlineLevel="1" x14ac:dyDescent="0.2">
      <c r="C177" s="94">
        <v>45683</v>
      </c>
      <c r="D177" s="32" t="s">
        <v>47</v>
      </c>
      <c r="E177" s="32" t="s">
        <v>49</v>
      </c>
      <c r="F177" s="34">
        <v>25</v>
      </c>
      <c r="G177" s="35" t="s">
        <v>279</v>
      </c>
      <c r="H177" s="37" cm="1">
        <f t="array" ref="H177">IFERROR(SUMPRODUCT(Tracking[Amount], --(Tracking[Date]&lt;=Tracking[[#This Row],[Date]]), (Tracking[Type]&lt;&gt;"Income") * (-1) + (Tracking[Type]="Income")), "-")</f>
        <v>2986.5</v>
      </c>
      <c r="I177" s="95">
        <f>IF(AND(Tracking[[#This Row],[Type]]="Income", shift_late_income_status="Active", DAY(Tracking[[#This Row],[Date]])&gt;=shift_late_income_starting_day),
      DATE(YEAR(Tracking[[#This Row],[Date]]), MONTH(Tracking[[#This Row],[Date]])+1, 1),
      Tracking[[#This Row],[Date]])</f>
        <v>45683</v>
      </c>
    </row>
    <row r="178" spans="3:9" hidden="1" outlineLevel="1" x14ac:dyDescent="0.2">
      <c r="C178" s="94">
        <v>45683</v>
      </c>
      <c r="D178" s="32" t="s">
        <v>47</v>
      </c>
      <c r="E178" s="32" t="s">
        <v>56</v>
      </c>
      <c r="F178" s="34">
        <v>-56</v>
      </c>
      <c r="G178" s="35" t="s">
        <v>280</v>
      </c>
      <c r="H178" s="37" cm="1">
        <f t="array" ref="H178">IFERROR(SUMPRODUCT(Tracking[Amount], --(Tracking[Date]&lt;=Tracking[[#This Row],[Date]]), (Tracking[Type]&lt;&gt;"Income") * (-1) + (Tracking[Type]="Income")), "-")</f>
        <v>2986.5</v>
      </c>
      <c r="I178" s="95">
        <f>IF(AND(Tracking[[#This Row],[Type]]="Income", shift_late_income_status="Active", DAY(Tracking[[#This Row],[Date]])&gt;=shift_late_income_starting_day),
      DATE(YEAR(Tracking[[#This Row],[Date]]), MONTH(Tracking[[#This Row],[Date]])+1, 1),
      Tracking[[#This Row],[Date]])</f>
        <v>45683</v>
      </c>
    </row>
    <row r="179" spans="3:9" hidden="1" outlineLevel="1" x14ac:dyDescent="0.2">
      <c r="C179" s="94">
        <v>45684</v>
      </c>
      <c r="D179" s="32" t="s">
        <v>47</v>
      </c>
      <c r="E179" s="32" t="s">
        <v>44</v>
      </c>
      <c r="F179" s="34">
        <v>47</v>
      </c>
      <c r="G179" s="35" t="s">
        <v>268</v>
      </c>
      <c r="H179" s="37" cm="1">
        <f t="array" ref="H179">IFERROR(SUMPRODUCT(Tracking[Amount], --(Tracking[Date]&lt;=Tracking[[#This Row],[Date]]), (Tracking[Type]&lt;&gt;"Income") * (-1) + (Tracking[Type]="Income")), "-")</f>
        <v>2775.5</v>
      </c>
      <c r="I179" s="95">
        <f>IF(AND(Tracking[[#This Row],[Type]]="Income", shift_late_income_status="Active", DAY(Tracking[[#This Row],[Date]])&gt;=shift_late_income_starting_day),
      DATE(YEAR(Tracking[[#This Row],[Date]]), MONTH(Tracking[[#This Row],[Date]])+1, 1),
      Tracking[[#This Row],[Date]])</f>
        <v>45684</v>
      </c>
    </row>
    <row r="180" spans="3:9" hidden="1" outlineLevel="1" x14ac:dyDescent="0.2">
      <c r="C180" s="94">
        <v>45684</v>
      </c>
      <c r="D180" s="32" t="s">
        <v>47</v>
      </c>
      <c r="E180" s="32" t="s">
        <v>49</v>
      </c>
      <c r="F180" s="34">
        <v>8</v>
      </c>
      <c r="G180" s="35" t="s">
        <v>269</v>
      </c>
      <c r="H180" s="37" cm="1">
        <f t="array" ref="H180">IFERROR(SUMPRODUCT(Tracking[Amount], --(Tracking[Date]&lt;=Tracking[[#This Row],[Date]]), (Tracking[Type]&lt;&gt;"Income") * (-1) + (Tracking[Type]="Income")), "-")</f>
        <v>2775.5</v>
      </c>
      <c r="I180" s="95">
        <f>IF(AND(Tracking[[#This Row],[Type]]="Income", shift_late_income_status="Active", DAY(Tracking[[#This Row],[Date]])&gt;=shift_late_income_starting_day),
      DATE(YEAR(Tracking[[#This Row],[Date]]), MONTH(Tracking[[#This Row],[Date]])+1, 1),
      Tracking[[#This Row],[Date]])</f>
        <v>45684</v>
      </c>
    </row>
    <row r="181" spans="3:9" hidden="1" outlineLevel="1" x14ac:dyDescent="0.2">
      <c r="C181" s="94">
        <v>45684</v>
      </c>
      <c r="D181" s="32" t="s">
        <v>47</v>
      </c>
      <c r="E181" s="32" t="s">
        <v>56</v>
      </c>
      <c r="F181" s="34">
        <v>149</v>
      </c>
      <c r="G181" s="35" t="s">
        <v>281</v>
      </c>
      <c r="H181" s="37" cm="1">
        <f t="array" ref="H181">IFERROR(SUMPRODUCT(Tracking[Amount], --(Tracking[Date]&lt;=Tracking[[#This Row],[Date]]), (Tracking[Type]&lt;&gt;"Income") * (-1) + (Tracking[Type]="Income")), "-")</f>
        <v>2775.5</v>
      </c>
      <c r="I181" s="95">
        <f>IF(AND(Tracking[[#This Row],[Type]]="Income", shift_late_income_status="Active", DAY(Tracking[[#This Row],[Date]])&gt;=shift_late_income_starting_day),
      DATE(YEAR(Tracking[[#This Row],[Date]]), MONTH(Tracking[[#This Row],[Date]])+1, 1),
      Tracking[[#This Row],[Date]])</f>
        <v>45684</v>
      </c>
    </row>
    <row r="182" spans="3:9" hidden="1" outlineLevel="1" x14ac:dyDescent="0.2">
      <c r="C182" s="94">
        <v>45684</v>
      </c>
      <c r="D182" s="32" t="s">
        <v>47</v>
      </c>
      <c r="E182" s="32" t="s">
        <v>50</v>
      </c>
      <c r="F182" s="34">
        <v>7</v>
      </c>
      <c r="G182" s="35" t="s">
        <v>282</v>
      </c>
      <c r="H182" s="37" cm="1">
        <f t="array" ref="H182">IFERROR(SUMPRODUCT(Tracking[Amount], --(Tracking[Date]&lt;=Tracking[[#This Row],[Date]]), (Tracking[Type]&lt;&gt;"Income") * (-1) + (Tracking[Type]="Income")), "-")</f>
        <v>2775.5</v>
      </c>
      <c r="I182" s="95">
        <f>IF(AND(Tracking[[#This Row],[Type]]="Income", shift_late_income_status="Active", DAY(Tracking[[#This Row],[Date]])&gt;=shift_late_income_starting_day),
      DATE(YEAR(Tracking[[#This Row],[Date]]), MONTH(Tracking[[#This Row],[Date]])+1, 1),
      Tracking[[#This Row],[Date]])</f>
        <v>45684</v>
      </c>
    </row>
    <row r="183" spans="3:9" hidden="1" outlineLevel="1" x14ac:dyDescent="0.2">
      <c r="C183" s="94">
        <v>45685</v>
      </c>
      <c r="D183" s="32" t="s">
        <v>47</v>
      </c>
      <c r="E183" s="32" t="s">
        <v>48</v>
      </c>
      <c r="F183" s="34">
        <v>15</v>
      </c>
      <c r="G183" s="35" t="s">
        <v>239</v>
      </c>
      <c r="H183" s="37" cm="1">
        <f t="array" ref="H183">IFERROR(SUMPRODUCT(Tracking[Amount], --(Tracking[Date]&lt;=Tracking[[#This Row],[Date]]), (Tracking[Type]&lt;&gt;"Income") * (-1) + (Tracking[Type]="Income")), "-")</f>
        <v>1633.5</v>
      </c>
      <c r="I183" s="95">
        <f>IF(AND(Tracking[[#This Row],[Type]]="Income", shift_late_income_status="Active", DAY(Tracking[[#This Row],[Date]])&gt;=shift_late_income_starting_day),
      DATE(YEAR(Tracking[[#This Row],[Date]]), MONTH(Tracking[[#This Row],[Date]])+1, 1),
      Tracking[[#This Row],[Date]])</f>
        <v>45685</v>
      </c>
    </row>
    <row r="184" spans="3:9" hidden="1" outlineLevel="1" x14ac:dyDescent="0.2">
      <c r="C184" s="94">
        <v>45685</v>
      </c>
      <c r="D184" s="32" t="s">
        <v>47</v>
      </c>
      <c r="E184" s="32" t="s">
        <v>44</v>
      </c>
      <c r="F184" s="34">
        <v>15</v>
      </c>
      <c r="G184" s="35" t="s">
        <v>283</v>
      </c>
      <c r="H184" s="37" cm="1">
        <f t="array" ref="H184">IFERROR(SUMPRODUCT(Tracking[Amount], --(Tracking[Date]&lt;=Tracking[[#This Row],[Date]]), (Tracking[Type]&lt;&gt;"Income") * (-1) + (Tracking[Type]="Income")), "-")</f>
        <v>1633.5</v>
      </c>
      <c r="I184" s="95">
        <f>IF(AND(Tracking[[#This Row],[Type]]="Income", shift_late_income_status="Active", DAY(Tracking[[#This Row],[Date]])&gt;=shift_late_income_starting_day),
      DATE(YEAR(Tracking[[#This Row],[Date]]), MONTH(Tracking[[#This Row],[Date]])+1, 1),
      Tracking[[#This Row],[Date]])</f>
        <v>45685</v>
      </c>
    </row>
    <row r="185" spans="3:9" hidden="1" outlineLevel="1" x14ac:dyDescent="0.2">
      <c r="C185" s="94">
        <v>45685</v>
      </c>
      <c r="D185" s="32" t="s">
        <v>47</v>
      </c>
      <c r="E185" s="32" t="s">
        <v>58</v>
      </c>
      <c r="F185" s="34">
        <v>1112</v>
      </c>
      <c r="G185" s="35" t="s">
        <v>284</v>
      </c>
      <c r="H185" s="37" cm="1">
        <f t="array" ref="H185">IFERROR(SUMPRODUCT(Tracking[Amount], --(Tracking[Date]&lt;=Tracking[[#This Row],[Date]]), (Tracking[Type]&lt;&gt;"Income") * (-1) + (Tracking[Type]="Income")), "-")</f>
        <v>1633.5</v>
      </c>
      <c r="I185" s="95">
        <f>IF(AND(Tracking[[#This Row],[Type]]="Income", shift_late_income_status="Active", DAY(Tracking[[#This Row],[Date]])&gt;=shift_late_income_starting_day),
      DATE(YEAR(Tracking[[#This Row],[Date]]), MONTH(Tracking[[#This Row],[Date]])+1, 1),
      Tracking[[#This Row],[Date]])</f>
        <v>45685</v>
      </c>
    </row>
    <row r="186" spans="3:9" hidden="1" outlineLevel="1" x14ac:dyDescent="0.2">
      <c r="C186" s="94">
        <v>45686</v>
      </c>
      <c r="D186" s="32" t="s">
        <v>47</v>
      </c>
      <c r="E186" s="32" t="s">
        <v>58</v>
      </c>
      <c r="F186" s="34">
        <v>60</v>
      </c>
      <c r="G186" s="35" t="s">
        <v>285</v>
      </c>
      <c r="H186" s="37" cm="1">
        <f t="array" ref="H186">IFERROR(SUMPRODUCT(Tracking[Amount], --(Tracking[Date]&lt;=Tracking[[#This Row],[Date]]), (Tracking[Type]&lt;&gt;"Income") * (-1) + (Tracking[Type]="Income")), "-")</f>
        <v>1573.5</v>
      </c>
      <c r="I186" s="95">
        <f>IF(AND(Tracking[[#This Row],[Type]]="Income", shift_late_income_status="Active", DAY(Tracking[[#This Row],[Date]])&gt;=shift_late_income_starting_day),
      DATE(YEAR(Tracking[[#This Row],[Date]]), MONTH(Tracking[[#This Row],[Date]])+1, 1),
      Tracking[[#This Row],[Date]])</f>
        <v>45686</v>
      </c>
    </row>
    <row r="187" spans="3:9" hidden="1" outlineLevel="1" x14ac:dyDescent="0.2">
      <c r="C187" s="94">
        <v>45688</v>
      </c>
      <c r="D187" s="32" t="s">
        <v>47</v>
      </c>
      <c r="E187" s="32" t="s">
        <v>48</v>
      </c>
      <c r="F187" s="34">
        <v>15</v>
      </c>
      <c r="G187" s="35" t="s">
        <v>220</v>
      </c>
      <c r="H187" s="37" cm="1">
        <f t="array" ref="H187">IFERROR(SUMPRODUCT(Tracking[Amount], --(Tracking[Date]&lt;=Tracking[[#This Row],[Date]]), (Tracking[Type]&lt;&gt;"Income") * (-1) + (Tracking[Type]="Income")), "-")</f>
        <v>1558.5</v>
      </c>
      <c r="I187" s="95">
        <f>IF(AND(Tracking[[#This Row],[Type]]="Income", shift_late_income_status="Active", DAY(Tracking[[#This Row],[Date]])&gt;=shift_late_income_starting_day),
      DATE(YEAR(Tracking[[#This Row],[Date]]), MONTH(Tracking[[#This Row],[Date]])+1, 1),
      Tracking[[#This Row],[Date]])</f>
        <v>45688</v>
      </c>
    </row>
    <row r="188" spans="3:9" collapsed="1" x14ac:dyDescent="0.2">
      <c r="C188" s="94">
        <v>45689</v>
      </c>
      <c r="D188" s="32" t="s">
        <v>40</v>
      </c>
      <c r="E188" s="32" t="s">
        <v>41</v>
      </c>
      <c r="F188" s="34">
        <v>7500</v>
      </c>
      <c r="G188" s="35"/>
      <c r="H188" s="37" cm="1">
        <f t="array" ref="H188">IFERROR(SUMPRODUCT(Tracking[Amount], --(Tracking[Date]&lt;=Tracking[[#This Row],[Date]]), (Tracking[Type]&lt;&gt;"Income") * (-1) + (Tracking[Type]="Income")), "-")</f>
        <v>8864.5</v>
      </c>
      <c r="I188" s="95">
        <f>IF(AND(Tracking[[#This Row],[Type]]="Income", shift_late_income_status="Active", DAY(Tracking[[#This Row],[Date]])&gt;=shift_late_income_starting_day),
      DATE(YEAR(Tracking[[#This Row],[Date]]), MONTH(Tracking[[#This Row],[Date]])+1, 1),
      Tracking[[#This Row],[Date]])</f>
        <v>45689</v>
      </c>
    </row>
    <row r="189" spans="3:9" hidden="1" outlineLevel="1" x14ac:dyDescent="0.2">
      <c r="C189" s="94">
        <v>45689</v>
      </c>
      <c r="D189" s="32" t="s">
        <v>47</v>
      </c>
      <c r="E189" s="32" t="s">
        <v>59</v>
      </c>
      <c r="F189" s="34">
        <v>60</v>
      </c>
      <c r="G189" s="35" t="s">
        <v>295</v>
      </c>
      <c r="H189" s="37" cm="1">
        <f t="array" ref="H189">IFERROR(SUMPRODUCT(Tracking[Amount], --(Tracking[Date]&lt;=Tracking[[#This Row],[Date]]), (Tracking[Type]&lt;&gt;"Income") * (-1) + (Tracking[Type]="Income")), "-")</f>
        <v>8864.5</v>
      </c>
      <c r="I189" s="95">
        <f>IF(AND(Tracking[[#This Row],[Type]]="Income", shift_late_income_status="Active", DAY(Tracking[[#This Row],[Date]])&gt;=shift_late_income_starting_day),
      DATE(YEAR(Tracking[[#This Row],[Date]]), MONTH(Tracking[[#This Row],[Date]])+1, 1),
      Tracking[[#This Row],[Date]])</f>
        <v>45689</v>
      </c>
    </row>
    <row r="190" spans="3:9" hidden="1" outlineLevel="1" x14ac:dyDescent="0.2">
      <c r="C190" s="94">
        <v>45689</v>
      </c>
      <c r="D190" s="32" t="s">
        <v>47</v>
      </c>
      <c r="E190" s="32" t="s">
        <v>44</v>
      </c>
      <c r="F190" s="34">
        <v>25</v>
      </c>
      <c r="G190" s="35" t="s">
        <v>268</v>
      </c>
      <c r="H190" s="37" cm="1">
        <f t="array" ref="H190">IFERROR(SUMPRODUCT(Tracking[Amount], --(Tracking[Date]&lt;=Tracking[[#This Row],[Date]]), (Tracking[Type]&lt;&gt;"Income") * (-1) + (Tracking[Type]="Income")), "-")</f>
        <v>8864.5</v>
      </c>
      <c r="I190" s="95">
        <f>IF(AND(Tracking[[#This Row],[Type]]="Income", shift_late_income_status="Active", DAY(Tracking[[#This Row],[Date]])&gt;=shift_late_income_starting_day),
      DATE(YEAR(Tracking[[#This Row],[Date]]), MONTH(Tracking[[#This Row],[Date]])+1, 1),
      Tracking[[#This Row],[Date]])</f>
        <v>45689</v>
      </c>
    </row>
    <row r="191" spans="3:9" hidden="1" outlineLevel="1" x14ac:dyDescent="0.2">
      <c r="C191" s="94">
        <v>45689</v>
      </c>
      <c r="D191" s="32" t="s">
        <v>47</v>
      </c>
      <c r="E191" s="32" t="s">
        <v>51</v>
      </c>
      <c r="F191" s="34">
        <v>48</v>
      </c>
      <c r="G191" s="35" t="s">
        <v>278</v>
      </c>
      <c r="H191" s="37" cm="1">
        <f t="array" ref="H191">IFERROR(SUMPRODUCT(Tracking[Amount], --(Tracking[Date]&lt;=Tracking[[#This Row],[Date]]), (Tracking[Type]&lt;&gt;"Income") * (-1) + (Tracking[Type]="Income")), "-")</f>
        <v>8864.5</v>
      </c>
      <c r="I191" s="95">
        <f>IF(AND(Tracking[[#This Row],[Type]]="Income", shift_late_income_status="Active", DAY(Tracking[[#This Row],[Date]])&gt;=shift_late_income_starting_day),
      DATE(YEAR(Tracking[[#This Row],[Date]]), MONTH(Tracking[[#This Row],[Date]])+1, 1),
      Tracking[[#This Row],[Date]])</f>
        <v>45689</v>
      </c>
    </row>
    <row r="192" spans="3:9" hidden="1" outlineLevel="1" x14ac:dyDescent="0.2">
      <c r="C192" s="94">
        <v>45689</v>
      </c>
      <c r="D192" s="32" t="s">
        <v>47</v>
      </c>
      <c r="E192" s="32" t="s">
        <v>49</v>
      </c>
      <c r="F192" s="34">
        <v>23</v>
      </c>
      <c r="G192" s="35" t="s">
        <v>297</v>
      </c>
      <c r="H192" s="37" cm="1">
        <f t="array" ref="H192">IFERROR(SUMPRODUCT(Tracking[Amount], --(Tracking[Date]&lt;=Tracking[[#This Row],[Date]]), (Tracking[Type]&lt;&gt;"Income") * (-1) + (Tracking[Type]="Income")), "-")</f>
        <v>8864.5</v>
      </c>
      <c r="I192" s="95">
        <f>IF(AND(Tracking[[#This Row],[Type]]="Income", shift_late_income_status="Active", DAY(Tracking[[#This Row],[Date]])&gt;=shift_late_income_starting_day),
      DATE(YEAR(Tracking[[#This Row],[Date]]), MONTH(Tracking[[#This Row],[Date]])+1, 1),
      Tracking[[#This Row],[Date]])</f>
        <v>45689</v>
      </c>
    </row>
    <row r="193" spans="3:9" hidden="1" outlineLevel="1" x14ac:dyDescent="0.2">
      <c r="C193" s="94">
        <v>45689</v>
      </c>
      <c r="D193" s="32" t="s">
        <v>47</v>
      </c>
      <c r="E193" s="32" t="s">
        <v>50</v>
      </c>
      <c r="F193" s="34">
        <v>38</v>
      </c>
      <c r="G193" s="35" t="s">
        <v>298</v>
      </c>
      <c r="H193" s="37" cm="1">
        <f t="array" ref="H193">IFERROR(SUMPRODUCT(Tracking[Amount], --(Tracking[Date]&lt;=Tracking[[#This Row],[Date]]), (Tracking[Type]&lt;&gt;"Income") * (-1) + (Tracking[Type]="Income")), "-")</f>
        <v>8864.5</v>
      </c>
      <c r="I193" s="95">
        <f>IF(AND(Tracking[[#This Row],[Type]]="Income", shift_late_income_status="Active", DAY(Tracking[[#This Row],[Date]])&gt;=shift_late_income_starting_day),
      DATE(YEAR(Tracking[[#This Row],[Date]]), MONTH(Tracking[[#This Row],[Date]])+1, 1),
      Tracking[[#This Row],[Date]])</f>
        <v>45689</v>
      </c>
    </row>
    <row r="194" spans="3:9" hidden="1" outlineLevel="1" x14ac:dyDescent="0.2">
      <c r="C194" s="94">
        <v>45690</v>
      </c>
      <c r="D194" s="32" t="s">
        <v>47</v>
      </c>
      <c r="E194" s="32" t="s">
        <v>59</v>
      </c>
      <c r="F194" s="34">
        <v>14</v>
      </c>
      <c r="G194" s="35" t="s">
        <v>296</v>
      </c>
      <c r="H194" s="37" cm="1">
        <f t="array" ref="H194">IFERROR(SUMPRODUCT(Tracking[Amount], --(Tracking[Date]&lt;=Tracking[[#This Row],[Date]]), (Tracking[Type]&lt;&gt;"Income") * (-1) + (Tracking[Type]="Income")), "-")</f>
        <v>8850.5</v>
      </c>
      <c r="I194" s="95">
        <f>IF(AND(Tracking[[#This Row],[Type]]="Income", shift_late_income_status="Active", DAY(Tracking[[#This Row],[Date]])&gt;=shift_late_income_starting_day),
      DATE(YEAR(Tracking[[#This Row],[Date]]), MONTH(Tracking[[#This Row],[Date]])+1, 1),
      Tracking[[#This Row],[Date]])</f>
        <v>45690</v>
      </c>
    </row>
    <row r="195" spans="3:9" hidden="1" outlineLevel="1" x14ac:dyDescent="0.2">
      <c r="C195" s="94">
        <v>45691</v>
      </c>
      <c r="D195" s="32" t="s">
        <v>47</v>
      </c>
      <c r="E195" s="32" t="s">
        <v>49</v>
      </c>
      <c r="F195" s="34">
        <v>4</v>
      </c>
      <c r="G195" s="35" t="s">
        <v>299</v>
      </c>
      <c r="H195" s="37" cm="1">
        <f t="array" ref="H195">IFERROR(SUMPRODUCT(Tracking[Amount], --(Tracking[Date]&lt;=Tracking[[#This Row],[Date]]), (Tracking[Type]&lt;&gt;"Income") * (-1) + (Tracking[Type]="Income")), "-")</f>
        <v>8688.5</v>
      </c>
      <c r="I195" s="95">
        <f>IF(AND(Tracking[[#This Row],[Type]]="Income", shift_late_income_status="Active", DAY(Tracking[[#This Row],[Date]])&gt;=shift_late_income_starting_day),
      DATE(YEAR(Tracking[[#This Row],[Date]]), MONTH(Tracking[[#This Row],[Date]])+1, 1),
      Tracking[[#This Row],[Date]])</f>
        <v>45691</v>
      </c>
    </row>
    <row r="196" spans="3:9" hidden="1" outlineLevel="1" x14ac:dyDescent="0.2">
      <c r="C196" s="94">
        <v>45691</v>
      </c>
      <c r="D196" s="32" t="s">
        <v>47</v>
      </c>
      <c r="E196" s="32" t="s">
        <v>58</v>
      </c>
      <c r="F196" s="34">
        <v>115</v>
      </c>
      <c r="G196" s="35" t="s">
        <v>300</v>
      </c>
      <c r="H196" s="37" cm="1">
        <f t="array" ref="H196">IFERROR(SUMPRODUCT(Tracking[Amount], --(Tracking[Date]&lt;=Tracking[[#This Row],[Date]]), (Tracking[Type]&lt;&gt;"Income") * (-1) + (Tracking[Type]="Income")), "-")</f>
        <v>8688.5</v>
      </c>
      <c r="I196" s="95">
        <f>IF(AND(Tracking[[#This Row],[Type]]="Income", shift_late_income_status="Active", DAY(Tracking[[#This Row],[Date]])&gt;=shift_late_income_starting_day),
      DATE(YEAR(Tracking[[#This Row],[Date]]), MONTH(Tracking[[#This Row],[Date]])+1, 1),
      Tracking[[#This Row],[Date]])</f>
        <v>45691</v>
      </c>
    </row>
    <row r="197" spans="3:9" hidden="1" outlineLevel="1" x14ac:dyDescent="0.2">
      <c r="C197" s="94">
        <v>45691</v>
      </c>
      <c r="D197" s="32" t="s">
        <v>47</v>
      </c>
      <c r="E197" s="32" t="s">
        <v>230</v>
      </c>
      <c r="F197" s="34">
        <v>36</v>
      </c>
      <c r="G197" s="35" t="s">
        <v>301</v>
      </c>
      <c r="H197" s="37" cm="1">
        <f t="array" ref="H197">IFERROR(SUMPRODUCT(Tracking[Amount], --(Tracking[Date]&lt;=Tracking[[#This Row],[Date]]), (Tracking[Type]&lt;&gt;"Income") * (-1) + (Tracking[Type]="Income")), "-")</f>
        <v>8688.5</v>
      </c>
      <c r="I197" s="95">
        <f>IF(AND(Tracking[[#This Row],[Type]]="Income", shift_late_income_status="Active", DAY(Tracking[[#This Row],[Date]])&gt;=shift_late_income_starting_day),
      DATE(YEAR(Tracking[[#This Row],[Date]]), MONTH(Tracking[[#This Row],[Date]])+1, 1),
      Tracking[[#This Row],[Date]])</f>
        <v>45691</v>
      </c>
    </row>
    <row r="198" spans="3:9" hidden="1" outlineLevel="1" x14ac:dyDescent="0.2">
      <c r="C198" s="94">
        <v>45691</v>
      </c>
      <c r="D198" s="32" t="s">
        <v>47</v>
      </c>
      <c r="E198" s="32" t="s">
        <v>51</v>
      </c>
      <c r="F198" s="34">
        <v>7</v>
      </c>
      <c r="G198" s="35" t="s">
        <v>302</v>
      </c>
      <c r="H198" s="37" cm="1">
        <f t="array" ref="H198">IFERROR(SUMPRODUCT(Tracking[Amount], --(Tracking[Date]&lt;=Tracking[[#This Row],[Date]]), (Tracking[Type]&lt;&gt;"Income") * (-1) + (Tracking[Type]="Income")), "-")</f>
        <v>8688.5</v>
      </c>
      <c r="I198" s="95">
        <f>IF(AND(Tracking[[#This Row],[Type]]="Income", shift_late_income_status="Active", DAY(Tracking[[#This Row],[Date]])&gt;=shift_late_income_starting_day),
      DATE(YEAR(Tracking[[#This Row],[Date]]), MONTH(Tracking[[#This Row],[Date]])+1, 1),
      Tracking[[#This Row],[Date]])</f>
        <v>45691</v>
      </c>
    </row>
    <row r="199" spans="3:9" hidden="1" outlineLevel="1" x14ac:dyDescent="0.2">
      <c r="C199" s="94">
        <v>45692</v>
      </c>
      <c r="D199" s="32" t="s">
        <v>47</v>
      </c>
      <c r="E199" s="32" t="s">
        <v>48</v>
      </c>
      <c r="F199" s="34">
        <v>32</v>
      </c>
      <c r="G199" s="35" t="s">
        <v>225</v>
      </c>
      <c r="H199" s="37" cm="1">
        <f t="array" ref="H199">IFERROR(SUMPRODUCT(Tracking[Amount], --(Tracking[Date]&lt;=Tracking[[#This Row],[Date]]), (Tracking[Type]&lt;&gt;"Income") * (-1) + (Tracking[Type]="Income")), "-")</f>
        <v>8490.5</v>
      </c>
      <c r="I199" s="95">
        <f>IF(AND(Tracking[[#This Row],[Type]]="Income", shift_late_income_status="Active", DAY(Tracking[[#This Row],[Date]])&gt;=shift_late_income_starting_day),
      DATE(YEAR(Tracking[[#This Row],[Date]]), MONTH(Tracking[[#This Row],[Date]])+1, 1),
      Tracking[[#This Row],[Date]])</f>
        <v>45692</v>
      </c>
    </row>
    <row r="200" spans="3:9" hidden="1" outlineLevel="1" x14ac:dyDescent="0.2">
      <c r="C200" s="94">
        <v>45692</v>
      </c>
      <c r="D200" s="32" t="s">
        <v>47</v>
      </c>
      <c r="E200" s="32" t="s">
        <v>48</v>
      </c>
      <c r="F200" s="34">
        <v>105</v>
      </c>
      <c r="G200" s="35" t="s">
        <v>246</v>
      </c>
      <c r="H200" s="37" cm="1">
        <f t="array" ref="H200">IFERROR(SUMPRODUCT(Tracking[Amount], --(Tracking[Date]&lt;=Tracking[[#This Row],[Date]]), (Tracking[Type]&lt;&gt;"Income") * (-1) + (Tracking[Type]="Income")), "-")</f>
        <v>8490.5</v>
      </c>
      <c r="I200" s="95">
        <f>IF(AND(Tracking[[#This Row],[Type]]="Income", shift_late_income_status="Active", DAY(Tracking[[#This Row],[Date]])&gt;=shift_late_income_starting_day),
      DATE(YEAR(Tracking[[#This Row],[Date]]), MONTH(Tracking[[#This Row],[Date]])+1, 1),
      Tracking[[#This Row],[Date]])</f>
        <v>45692</v>
      </c>
    </row>
    <row r="201" spans="3:9" hidden="1" outlineLevel="1" x14ac:dyDescent="0.2">
      <c r="C201" s="94">
        <v>45692</v>
      </c>
      <c r="D201" s="32" t="s">
        <v>47</v>
      </c>
      <c r="E201" s="32" t="s">
        <v>48</v>
      </c>
      <c r="F201" s="34">
        <v>61</v>
      </c>
      <c r="G201" s="35" t="s">
        <v>239</v>
      </c>
      <c r="H201" s="37" cm="1">
        <f t="array" ref="H201">IFERROR(SUMPRODUCT(Tracking[Amount], --(Tracking[Date]&lt;=Tracking[[#This Row],[Date]]), (Tracking[Type]&lt;&gt;"Income") * (-1) + (Tracking[Type]="Income")), "-")</f>
        <v>8490.5</v>
      </c>
      <c r="I201" s="95">
        <f>IF(AND(Tracking[[#This Row],[Type]]="Income", shift_late_income_status="Active", DAY(Tracking[[#This Row],[Date]])&gt;=shift_late_income_starting_day),
      DATE(YEAR(Tracking[[#This Row],[Date]]), MONTH(Tracking[[#This Row],[Date]])+1, 1),
      Tracking[[#This Row],[Date]])</f>
        <v>45692</v>
      </c>
    </row>
    <row r="202" spans="3:9" hidden="1" outlineLevel="1" x14ac:dyDescent="0.2">
      <c r="C202" s="94">
        <v>45693</v>
      </c>
      <c r="D202" s="32" t="s">
        <v>47</v>
      </c>
      <c r="E202" s="32" t="s">
        <v>48</v>
      </c>
      <c r="F202" s="34">
        <v>11</v>
      </c>
      <c r="G202" s="35" t="s">
        <v>303</v>
      </c>
      <c r="H202" s="37" cm="1">
        <f t="array" ref="H202">IFERROR(SUMPRODUCT(Tracking[Amount], --(Tracking[Date]&lt;=Tracking[[#This Row],[Date]]), (Tracking[Type]&lt;&gt;"Income") * (-1) + (Tracking[Type]="Income")), "-")</f>
        <v>8479.5</v>
      </c>
      <c r="I202" s="95">
        <f>IF(AND(Tracking[[#This Row],[Type]]="Income", shift_late_income_status="Active", DAY(Tracking[[#This Row],[Date]])&gt;=shift_late_income_starting_day),
      DATE(YEAR(Tracking[[#This Row],[Date]]), MONTH(Tracking[[#This Row],[Date]])+1, 1),
      Tracking[[#This Row],[Date]])</f>
        <v>45693</v>
      </c>
    </row>
    <row r="203" spans="3:9" hidden="1" outlineLevel="1" x14ac:dyDescent="0.2">
      <c r="C203" s="94">
        <v>45694</v>
      </c>
      <c r="D203" s="32" t="s">
        <v>47</v>
      </c>
      <c r="E203" s="32" t="s">
        <v>48</v>
      </c>
      <c r="F203" s="34">
        <v>36</v>
      </c>
      <c r="G203" s="35" t="s">
        <v>239</v>
      </c>
      <c r="H203" s="37" cm="1">
        <f t="array" ref="H203">IFERROR(SUMPRODUCT(Tracking[Amount], --(Tracking[Date]&lt;=Tracking[[#This Row],[Date]]), (Tracking[Type]&lt;&gt;"Income") * (-1) + (Tracking[Type]="Income")), "-")</f>
        <v>8328.5</v>
      </c>
      <c r="I203" s="95">
        <f>IF(AND(Tracking[[#This Row],[Type]]="Income", shift_late_income_status="Active", DAY(Tracking[[#This Row],[Date]])&gt;=shift_late_income_starting_day),
      DATE(YEAR(Tracking[[#This Row],[Date]]), MONTH(Tracking[[#This Row],[Date]])+1, 1),
      Tracking[[#This Row],[Date]])</f>
        <v>45694</v>
      </c>
    </row>
    <row r="204" spans="3:9" hidden="1" outlineLevel="1" x14ac:dyDescent="0.2">
      <c r="C204" s="94">
        <v>45694</v>
      </c>
      <c r="D204" s="32" t="s">
        <v>47</v>
      </c>
      <c r="E204" s="32" t="s">
        <v>54</v>
      </c>
      <c r="F204" s="34">
        <v>115</v>
      </c>
      <c r="G204" s="35" t="s">
        <v>304</v>
      </c>
      <c r="H204" s="37" cm="1">
        <f t="array" ref="H204">IFERROR(SUMPRODUCT(Tracking[Amount], --(Tracking[Date]&lt;=Tracking[[#This Row],[Date]]), (Tracking[Type]&lt;&gt;"Income") * (-1) + (Tracking[Type]="Income")), "-")</f>
        <v>8328.5</v>
      </c>
      <c r="I204" s="95">
        <f>IF(AND(Tracking[[#This Row],[Type]]="Income", shift_late_income_status="Active", DAY(Tracking[[#This Row],[Date]])&gt;=shift_late_income_starting_day),
      DATE(YEAR(Tracking[[#This Row],[Date]]), MONTH(Tracking[[#This Row],[Date]])+1, 1),
      Tracking[[#This Row],[Date]])</f>
        <v>45694</v>
      </c>
    </row>
    <row r="205" spans="3:9" hidden="1" outlineLevel="1" x14ac:dyDescent="0.2">
      <c r="C205" s="94">
        <v>45695</v>
      </c>
      <c r="D205" s="32" t="s">
        <v>47</v>
      </c>
      <c r="E205" s="32" t="s">
        <v>48</v>
      </c>
      <c r="F205" s="34">
        <v>30</v>
      </c>
      <c r="G205" s="35" t="s">
        <v>305</v>
      </c>
      <c r="H205" s="37" cm="1">
        <f t="array" ref="H205">IFERROR(SUMPRODUCT(Tracking[Amount], --(Tracking[Date]&lt;=Tracking[[#This Row],[Date]]), (Tracking[Type]&lt;&gt;"Income") * (-1) + (Tracking[Type]="Income")), "-")</f>
        <v>8278.5</v>
      </c>
      <c r="I205" s="95">
        <f>IF(AND(Tracking[[#This Row],[Type]]="Income", shift_late_income_status="Active", DAY(Tracking[[#This Row],[Date]])&gt;=shift_late_income_starting_day),
      DATE(YEAR(Tracking[[#This Row],[Date]]), MONTH(Tracking[[#This Row],[Date]])+1, 1),
      Tracking[[#This Row],[Date]])</f>
        <v>45695</v>
      </c>
    </row>
    <row r="206" spans="3:9" hidden="1" outlineLevel="1" x14ac:dyDescent="0.2">
      <c r="C206" s="94">
        <v>45695</v>
      </c>
      <c r="D206" s="32" t="s">
        <v>47</v>
      </c>
      <c r="E206" s="32" t="s">
        <v>52</v>
      </c>
      <c r="F206" s="34">
        <v>20</v>
      </c>
      <c r="G206" s="35" t="s">
        <v>255</v>
      </c>
      <c r="H206" s="37" cm="1">
        <f t="array" ref="H206">IFERROR(SUMPRODUCT(Tracking[Amount], --(Tracking[Date]&lt;=Tracking[[#This Row],[Date]]), (Tracking[Type]&lt;&gt;"Income") * (-1) + (Tracking[Type]="Income")), "-")</f>
        <v>8278.5</v>
      </c>
      <c r="I206" s="95">
        <f>IF(AND(Tracking[[#This Row],[Type]]="Income", shift_late_income_status="Active", DAY(Tracking[[#This Row],[Date]])&gt;=shift_late_income_starting_day),
      DATE(YEAR(Tracking[[#This Row],[Date]]), MONTH(Tracking[[#This Row],[Date]])+1, 1),
      Tracking[[#This Row],[Date]])</f>
        <v>45695</v>
      </c>
    </row>
    <row r="207" spans="3:9" hidden="1" outlineLevel="1" x14ac:dyDescent="0.2">
      <c r="C207" s="94">
        <v>45697</v>
      </c>
      <c r="D207" s="32" t="s">
        <v>47</v>
      </c>
      <c r="E207" s="32" t="s">
        <v>52</v>
      </c>
      <c r="F207" s="34">
        <v>51</v>
      </c>
      <c r="G207" s="35" t="s">
        <v>221</v>
      </c>
      <c r="H207" s="37" cm="1">
        <f t="array" ref="H207">IFERROR(SUMPRODUCT(Tracking[Amount], --(Tracking[Date]&lt;=Tracking[[#This Row],[Date]]), (Tracking[Type]&lt;&gt;"Income") * (-1) + (Tracking[Type]="Income")), "-")</f>
        <v>8158.5</v>
      </c>
      <c r="I207" s="95">
        <f>IF(AND(Tracking[[#This Row],[Type]]="Income", shift_late_income_status="Active", DAY(Tracking[[#This Row],[Date]])&gt;=shift_late_income_starting_day),
      DATE(YEAR(Tracking[[#This Row],[Date]]), MONTH(Tracking[[#This Row],[Date]])+1, 1),
      Tracking[[#This Row],[Date]])</f>
        <v>45697</v>
      </c>
    </row>
    <row r="208" spans="3:9" hidden="1" outlineLevel="1" x14ac:dyDescent="0.2">
      <c r="C208" s="94">
        <v>45697</v>
      </c>
      <c r="D208" s="32" t="s">
        <v>47</v>
      </c>
      <c r="E208" s="32" t="s">
        <v>49</v>
      </c>
      <c r="F208" s="34">
        <v>43</v>
      </c>
      <c r="G208" s="35" t="s">
        <v>233</v>
      </c>
      <c r="H208" s="37" cm="1">
        <f t="array" ref="H208">IFERROR(SUMPRODUCT(Tracking[Amount], --(Tracking[Date]&lt;=Tracking[[#This Row],[Date]]), (Tracking[Type]&lt;&gt;"Income") * (-1) + (Tracking[Type]="Income")), "-")</f>
        <v>8158.5</v>
      </c>
      <c r="I208" s="95">
        <f>IF(AND(Tracking[[#This Row],[Type]]="Income", shift_late_income_status="Active", DAY(Tracking[[#This Row],[Date]])&gt;=shift_late_income_starting_day),
      DATE(YEAR(Tracking[[#This Row],[Date]]), MONTH(Tracking[[#This Row],[Date]])+1, 1),
      Tracking[[#This Row],[Date]])</f>
        <v>45697</v>
      </c>
    </row>
    <row r="209" spans="3:9" hidden="1" outlineLevel="1" x14ac:dyDescent="0.2">
      <c r="C209" s="94">
        <v>45697</v>
      </c>
      <c r="D209" s="32" t="s">
        <v>47</v>
      </c>
      <c r="E209" s="32" t="s">
        <v>59</v>
      </c>
      <c r="F209" s="34">
        <v>13</v>
      </c>
      <c r="G209" s="35" t="s">
        <v>254</v>
      </c>
      <c r="H209" s="37" cm="1">
        <f t="array" ref="H209">IFERROR(SUMPRODUCT(Tracking[Amount], --(Tracking[Date]&lt;=Tracking[[#This Row],[Date]]), (Tracking[Type]&lt;&gt;"Income") * (-1) + (Tracking[Type]="Income")), "-")</f>
        <v>8158.5</v>
      </c>
      <c r="I209" s="95">
        <f>IF(AND(Tracking[[#This Row],[Type]]="Income", shift_late_income_status="Active", DAY(Tracking[[#This Row],[Date]])&gt;=shift_late_income_starting_day),
      DATE(YEAR(Tracking[[#This Row],[Date]]), MONTH(Tracking[[#This Row],[Date]])+1, 1),
      Tracking[[#This Row],[Date]])</f>
        <v>45697</v>
      </c>
    </row>
    <row r="210" spans="3:9" hidden="1" outlineLevel="1" x14ac:dyDescent="0.2">
      <c r="C210" s="94">
        <v>45697</v>
      </c>
      <c r="D210" s="32" t="s">
        <v>47</v>
      </c>
      <c r="E210" s="32" t="s">
        <v>59</v>
      </c>
      <c r="F210" s="34">
        <v>13</v>
      </c>
      <c r="G210" s="35" t="s">
        <v>254</v>
      </c>
      <c r="H210" s="37" cm="1">
        <f t="array" ref="H210">IFERROR(SUMPRODUCT(Tracking[Amount], --(Tracking[Date]&lt;=Tracking[[#This Row],[Date]]), (Tracking[Type]&lt;&gt;"Income") * (-1) + (Tracking[Type]="Income")), "-")</f>
        <v>8158.5</v>
      </c>
      <c r="I210" s="95">
        <f>IF(AND(Tracking[[#This Row],[Type]]="Income", shift_late_income_status="Active", DAY(Tracking[[#This Row],[Date]])&gt;=shift_late_income_starting_day),
      DATE(YEAR(Tracking[[#This Row],[Date]]), MONTH(Tracking[[#This Row],[Date]])+1, 1),
      Tracking[[#This Row],[Date]])</f>
        <v>45697</v>
      </c>
    </row>
    <row r="211" spans="3:9" hidden="1" outlineLevel="1" x14ac:dyDescent="0.2">
      <c r="C211" s="94">
        <v>45698</v>
      </c>
      <c r="D211" s="32" t="s">
        <v>47</v>
      </c>
      <c r="E211" s="32" t="s">
        <v>52</v>
      </c>
      <c r="F211" s="34">
        <v>70</v>
      </c>
      <c r="G211" s="35" t="s">
        <v>260</v>
      </c>
      <c r="H211" s="37" cm="1">
        <f t="array" ref="H211">IFERROR(SUMPRODUCT(Tracking[Amount], --(Tracking[Date]&lt;=Tracking[[#This Row],[Date]]), (Tracking[Type]&lt;&gt;"Income") * (-1) + (Tracking[Type]="Income")), "-")</f>
        <v>8048.5</v>
      </c>
      <c r="I211" s="95">
        <f>IF(AND(Tracking[[#This Row],[Type]]="Income", shift_late_income_status="Active", DAY(Tracking[[#This Row],[Date]])&gt;=shift_late_income_starting_day),
      DATE(YEAR(Tracking[[#This Row],[Date]]), MONTH(Tracking[[#This Row],[Date]])+1, 1),
      Tracking[[#This Row],[Date]])</f>
        <v>45698</v>
      </c>
    </row>
    <row r="212" spans="3:9" hidden="1" outlineLevel="1" x14ac:dyDescent="0.2">
      <c r="C212" s="94">
        <v>45698</v>
      </c>
      <c r="D212" s="32" t="s">
        <v>47</v>
      </c>
      <c r="E212" s="32" t="s">
        <v>48</v>
      </c>
      <c r="F212" s="34">
        <v>80</v>
      </c>
      <c r="G212" s="35" t="s">
        <v>306</v>
      </c>
      <c r="H212" s="37" cm="1">
        <f t="array" ref="H212">IFERROR(SUMPRODUCT(Tracking[Amount], --(Tracking[Date]&lt;=Tracking[[#This Row],[Date]]), (Tracking[Type]&lt;&gt;"Income") * (-1) + (Tracking[Type]="Income")), "-")</f>
        <v>8048.5</v>
      </c>
      <c r="I212" s="95">
        <f>IF(AND(Tracking[[#This Row],[Type]]="Income", shift_late_income_status="Active", DAY(Tracking[[#This Row],[Date]])&gt;=shift_late_income_starting_day),
      DATE(YEAR(Tracking[[#This Row],[Date]]), MONTH(Tracking[[#This Row],[Date]])+1, 1),
      Tracking[[#This Row],[Date]])</f>
        <v>45698</v>
      </c>
    </row>
    <row r="213" spans="3:9" hidden="1" outlineLevel="1" x14ac:dyDescent="0.2">
      <c r="C213" s="94">
        <v>45698</v>
      </c>
      <c r="D213" s="32" t="s">
        <v>40</v>
      </c>
      <c r="E213" s="32" t="s">
        <v>44</v>
      </c>
      <c r="F213" s="34">
        <v>40</v>
      </c>
      <c r="G213" s="35" t="s">
        <v>313</v>
      </c>
      <c r="H213" s="37" cm="1">
        <f t="array" ref="H213">IFERROR(SUMPRODUCT(Tracking[Amount], --(Tracking[Date]&lt;=Tracking[[#This Row],[Date]]), (Tracking[Type]&lt;&gt;"Income") * (-1) + (Tracking[Type]="Income")), "-")</f>
        <v>8048.5</v>
      </c>
      <c r="I213" s="95">
        <f>IF(AND(Tracking[[#This Row],[Type]]="Income", shift_late_income_status="Active", DAY(Tracking[[#This Row],[Date]])&gt;=shift_late_income_starting_day),
      DATE(YEAR(Tracking[[#This Row],[Date]]), MONTH(Tracking[[#This Row],[Date]])+1, 1),
      Tracking[[#This Row],[Date]])</f>
        <v>45698</v>
      </c>
    </row>
    <row r="214" spans="3:9" hidden="1" outlineLevel="1" x14ac:dyDescent="0.2">
      <c r="C214" s="94">
        <v>45699</v>
      </c>
      <c r="D214" s="32" t="s">
        <v>47</v>
      </c>
      <c r="E214" s="32" t="s">
        <v>50</v>
      </c>
      <c r="F214" s="34">
        <v>34</v>
      </c>
      <c r="G214" s="35" t="s">
        <v>307</v>
      </c>
      <c r="H214" s="37" cm="1">
        <f t="array" ref="H214">IFERROR(SUMPRODUCT(Tracking[Amount], --(Tracking[Date]&lt;=Tracking[[#This Row],[Date]]), (Tracking[Type]&lt;&gt;"Income") * (-1) + (Tracking[Type]="Income")), "-")</f>
        <v>8086.5</v>
      </c>
      <c r="I214" s="95">
        <f>IF(AND(Tracking[[#This Row],[Type]]="Income", shift_late_income_status="Active", DAY(Tracking[[#This Row],[Date]])&gt;=shift_late_income_starting_day),
      DATE(YEAR(Tracking[[#This Row],[Date]]), MONTH(Tracking[[#This Row],[Date]])+1, 1),
      Tracking[[#This Row],[Date]])</f>
        <v>45699</v>
      </c>
    </row>
    <row r="215" spans="3:9" hidden="1" outlineLevel="1" x14ac:dyDescent="0.2">
      <c r="C215" s="94">
        <v>45699</v>
      </c>
      <c r="D215" s="32" t="s">
        <v>47</v>
      </c>
      <c r="E215" s="32" t="s">
        <v>44</v>
      </c>
      <c r="F215" s="34">
        <v>21</v>
      </c>
      <c r="G215" s="35" t="s">
        <v>308</v>
      </c>
      <c r="H215" s="37" cm="1">
        <f t="array" ref="H215">IFERROR(SUMPRODUCT(Tracking[Amount], --(Tracking[Date]&lt;=Tracking[[#This Row],[Date]]), (Tracking[Type]&lt;&gt;"Income") * (-1) + (Tracking[Type]="Income")), "-")</f>
        <v>8086.5</v>
      </c>
      <c r="I215" s="95">
        <f>IF(AND(Tracking[[#This Row],[Type]]="Income", shift_late_income_status="Active", DAY(Tracking[[#This Row],[Date]])&gt;=shift_late_income_starting_day),
      DATE(YEAR(Tracking[[#This Row],[Date]]), MONTH(Tracking[[#This Row],[Date]])+1, 1),
      Tracking[[#This Row],[Date]])</f>
        <v>45699</v>
      </c>
    </row>
    <row r="216" spans="3:9" hidden="1" outlineLevel="1" x14ac:dyDescent="0.2">
      <c r="C216" s="94">
        <v>45699</v>
      </c>
      <c r="D216" s="32" t="s">
        <v>47</v>
      </c>
      <c r="E216" s="32" t="s">
        <v>56</v>
      </c>
      <c r="F216" s="34">
        <v>-93</v>
      </c>
      <c r="G216" s="35" t="s">
        <v>312</v>
      </c>
      <c r="H216" s="37" cm="1">
        <f t="array" ref="H216">IFERROR(SUMPRODUCT(Tracking[Amount], --(Tracking[Date]&lt;=Tracking[[#This Row],[Date]]), (Tracking[Type]&lt;&gt;"Income") * (-1) + (Tracking[Type]="Income")), "-")</f>
        <v>8086.5</v>
      </c>
      <c r="I216" s="95">
        <f>IF(AND(Tracking[[#This Row],[Type]]="Income", shift_late_income_status="Active", DAY(Tracking[[#This Row],[Date]])&gt;=shift_late_income_starting_day),
      DATE(YEAR(Tracking[[#This Row],[Date]]), MONTH(Tracking[[#This Row],[Date]])+1, 1),
      Tracking[[#This Row],[Date]])</f>
        <v>45699</v>
      </c>
    </row>
    <row r="217" spans="3:9" hidden="1" outlineLevel="1" x14ac:dyDescent="0.2">
      <c r="C217" s="94">
        <v>45700</v>
      </c>
      <c r="D217" s="32" t="s">
        <v>40</v>
      </c>
      <c r="E217" s="32" t="s">
        <v>43</v>
      </c>
      <c r="F217" s="34">
        <v>250</v>
      </c>
      <c r="G217" s="35"/>
      <c r="H217" s="37" cm="1">
        <f t="array" ref="H217">IFERROR(SUMPRODUCT(Tracking[Amount], --(Tracking[Date]&lt;=Tracking[[#This Row],[Date]]), (Tracking[Type]&lt;&gt;"Income") * (-1) + (Tracking[Type]="Income")), "-")</f>
        <v>8218.5</v>
      </c>
      <c r="I217" s="95">
        <f>IF(AND(Tracking[[#This Row],[Type]]="Income", shift_late_income_status="Active", DAY(Tracking[[#This Row],[Date]])&gt;=shift_late_income_starting_day),
      DATE(YEAR(Tracking[[#This Row],[Date]]), MONTH(Tracking[[#This Row],[Date]])+1, 1),
      Tracking[[#This Row],[Date]])</f>
        <v>45700</v>
      </c>
    </row>
    <row r="218" spans="3:9" hidden="1" outlineLevel="1" x14ac:dyDescent="0.2">
      <c r="C218" s="94">
        <v>45700</v>
      </c>
      <c r="D218" s="32" t="s">
        <v>47</v>
      </c>
      <c r="E218" s="32" t="s">
        <v>49</v>
      </c>
      <c r="F218" s="34">
        <v>118</v>
      </c>
      <c r="G218" s="35" t="s">
        <v>309</v>
      </c>
      <c r="H218" s="37" cm="1">
        <f t="array" ref="H218">IFERROR(SUMPRODUCT(Tracking[Amount], --(Tracking[Date]&lt;=Tracking[[#This Row],[Date]]), (Tracking[Type]&lt;&gt;"Income") * (-1) + (Tracking[Type]="Income")), "-")</f>
        <v>8218.5</v>
      </c>
      <c r="I218" s="95">
        <f>IF(AND(Tracking[[#This Row],[Type]]="Income", shift_late_income_status="Active", DAY(Tracking[[#This Row],[Date]])&gt;=shift_late_income_starting_day),
      DATE(YEAR(Tracking[[#This Row],[Date]]), MONTH(Tracking[[#This Row],[Date]])+1, 1),
      Tracking[[#This Row],[Date]])</f>
        <v>45700</v>
      </c>
    </row>
    <row r="219" spans="3:9" hidden="1" outlineLevel="1" x14ac:dyDescent="0.2">
      <c r="C219" s="94">
        <v>45701</v>
      </c>
      <c r="D219" s="32" t="s">
        <v>47</v>
      </c>
      <c r="E219" s="32" t="s">
        <v>49</v>
      </c>
      <c r="F219" s="34">
        <v>13</v>
      </c>
      <c r="G219" s="35" t="s">
        <v>310</v>
      </c>
      <c r="H219" s="37" cm="1">
        <f t="array" ref="H219">IFERROR(SUMPRODUCT(Tracking[Amount], --(Tracking[Date]&lt;=Tracking[[#This Row],[Date]]), (Tracking[Type]&lt;&gt;"Income") * (-1) + (Tracking[Type]="Income")), "-")</f>
        <v>8135.5</v>
      </c>
      <c r="I219" s="95">
        <f>IF(AND(Tracking[[#This Row],[Type]]="Income", shift_late_income_status="Active", DAY(Tracking[[#This Row],[Date]])&gt;=shift_late_income_starting_day),
      DATE(YEAR(Tracking[[#This Row],[Date]]), MONTH(Tracking[[#This Row],[Date]])+1, 1),
      Tracking[[#This Row],[Date]])</f>
        <v>45701</v>
      </c>
    </row>
    <row r="220" spans="3:9" hidden="1" outlineLevel="1" x14ac:dyDescent="0.2">
      <c r="C220" s="94">
        <v>45701</v>
      </c>
      <c r="D220" s="32" t="s">
        <v>47</v>
      </c>
      <c r="E220" s="32" t="s">
        <v>49</v>
      </c>
      <c r="F220" s="34">
        <v>70</v>
      </c>
      <c r="G220" s="35" t="s">
        <v>311</v>
      </c>
      <c r="H220" s="37" cm="1">
        <f t="array" ref="H220">IFERROR(SUMPRODUCT(Tracking[Amount], --(Tracking[Date]&lt;=Tracking[[#This Row],[Date]]), (Tracking[Type]&lt;&gt;"Income") * (-1) + (Tracking[Type]="Income")), "-")</f>
        <v>8135.5</v>
      </c>
      <c r="I220" s="95">
        <f>IF(AND(Tracking[[#This Row],[Type]]="Income", shift_late_income_status="Active", DAY(Tracking[[#This Row],[Date]])&gt;=shift_late_income_starting_day),
      DATE(YEAR(Tracking[[#This Row],[Date]]), MONTH(Tracking[[#This Row],[Date]])+1, 1),
      Tracking[[#This Row],[Date]])</f>
        <v>45701</v>
      </c>
    </row>
    <row r="221" spans="3:9" hidden="1" outlineLevel="1" x14ac:dyDescent="0.2">
      <c r="C221" s="94">
        <v>45702</v>
      </c>
      <c r="D221" s="32" t="s">
        <v>47</v>
      </c>
      <c r="E221" s="32" t="s">
        <v>51</v>
      </c>
      <c r="F221" s="34">
        <v>122</v>
      </c>
      <c r="G221" s="35" t="s">
        <v>314</v>
      </c>
      <c r="H221" s="37" cm="1">
        <f t="array" ref="H221">IFERROR(SUMPRODUCT(Tracking[Amount], --(Tracking[Date]&lt;=Tracking[[#This Row],[Date]]), (Tracking[Type]&lt;&gt;"Income") * (-1) + (Tracking[Type]="Income")), "-")</f>
        <v>8013.5</v>
      </c>
      <c r="I221" s="95">
        <f>IF(AND(Tracking[[#This Row],[Type]]="Income", shift_late_income_status="Active", DAY(Tracking[[#This Row],[Date]])&gt;=shift_late_income_starting_day),
      DATE(YEAR(Tracking[[#This Row],[Date]]), MONTH(Tracking[[#This Row],[Date]])+1, 1),
      Tracking[[#This Row],[Date]])</f>
        <v>45702</v>
      </c>
    </row>
    <row r="222" spans="3:9" hidden="1" outlineLevel="1" x14ac:dyDescent="0.2">
      <c r="C222" s="94">
        <v>45703</v>
      </c>
      <c r="D222" s="32" t="s">
        <v>47</v>
      </c>
      <c r="E222" s="32" t="s">
        <v>49</v>
      </c>
      <c r="F222" s="34">
        <v>46</v>
      </c>
      <c r="G222" s="35" t="s">
        <v>315</v>
      </c>
      <c r="H222" s="37" cm="1">
        <f t="array" ref="H222">IFERROR(SUMPRODUCT(Tracking[Amount], --(Tracking[Date]&lt;=Tracking[[#This Row],[Date]]), (Tracking[Type]&lt;&gt;"Income") * (-1) + (Tracking[Type]="Income")), "-")</f>
        <v>7916.5</v>
      </c>
      <c r="I222" s="95">
        <f>IF(AND(Tracking[[#This Row],[Type]]="Income", shift_late_income_status="Active", DAY(Tracking[[#This Row],[Date]])&gt;=shift_late_income_starting_day),
      DATE(YEAR(Tracking[[#This Row],[Date]]), MONTH(Tracking[[#This Row],[Date]])+1, 1),
      Tracking[[#This Row],[Date]])</f>
        <v>45703</v>
      </c>
    </row>
    <row r="223" spans="3:9" hidden="1" outlineLevel="1" x14ac:dyDescent="0.2">
      <c r="C223" s="94">
        <v>45703</v>
      </c>
      <c r="D223" s="32" t="s">
        <v>47</v>
      </c>
      <c r="E223" s="32" t="s">
        <v>48</v>
      </c>
      <c r="F223" s="34">
        <v>51</v>
      </c>
      <c r="G223" s="35"/>
      <c r="H223" s="37" cm="1">
        <f t="array" ref="H223">IFERROR(SUMPRODUCT(Tracking[Amount], --(Tracking[Date]&lt;=Tracking[[#This Row],[Date]]), (Tracking[Type]&lt;&gt;"Income") * (-1) + (Tracking[Type]="Income")), "-")</f>
        <v>7916.5</v>
      </c>
      <c r="I223" s="95">
        <f>IF(AND(Tracking[[#This Row],[Type]]="Income", shift_late_income_status="Active", DAY(Tracking[[#This Row],[Date]])&gt;=shift_late_income_starting_day),
      DATE(YEAR(Tracking[[#This Row],[Date]]), MONTH(Tracking[[#This Row],[Date]])+1, 1),
      Tracking[[#This Row],[Date]])</f>
        <v>45703</v>
      </c>
    </row>
    <row r="224" spans="3:9" hidden="1" outlineLevel="1" x14ac:dyDescent="0.2">
      <c r="C224" s="94">
        <v>45704</v>
      </c>
      <c r="D224" s="32" t="s">
        <v>47</v>
      </c>
      <c r="E224" s="32" t="s">
        <v>44</v>
      </c>
      <c r="F224" s="34">
        <v>218</v>
      </c>
      <c r="G224" s="35" t="s">
        <v>316</v>
      </c>
      <c r="H224" s="37" cm="1">
        <f t="array" ref="H224">IFERROR(SUMPRODUCT(Tracking[Amount], --(Tracking[Date]&lt;=Tracking[[#This Row],[Date]]), (Tracking[Type]&lt;&gt;"Income") * (-1) + (Tracking[Type]="Income")), "-")</f>
        <v>7512.5</v>
      </c>
      <c r="I224" s="95">
        <f>IF(AND(Tracking[[#This Row],[Type]]="Income", shift_late_income_status="Active", DAY(Tracking[[#This Row],[Date]])&gt;=shift_late_income_starting_day),
      DATE(YEAR(Tracking[[#This Row],[Date]]), MONTH(Tracking[[#This Row],[Date]])+1, 1),
      Tracking[[#This Row],[Date]])</f>
        <v>45704</v>
      </c>
    </row>
    <row r="225" spans="3:9" hidden="1" outlineLevel="1" x14ac:dyDescent="0.2">
      <c r="C225" s="94">
        <v>45704</v>
      </c>
      <c r="D225" s="32" t="s">
        <v>47</v>
      </c>
      <c r="E225" s="32" t="s">
        <v>49</v>
      </c>
      <c r="F225" s="34">
        <v>56</v>
      </c>
      <c r="G225" s="35" t="s">
        <v>231</v>
      </c>
      <c r="H225" s="37" cm="1">
        <f t="array" ref="H225">IFERROR(SUMPRODUCT(Tracking[Amount], --(Tracking[Date]&lt;=Tracking[[#This Row],[Date]]), (Tracking[Type]&lt;&gt;"Income") * (-1) + (Tracking[Type]="Income")), "-")</f>
        <v>7512.5</v>
      </c>
      <c r="I225" s="95">
        <f>IF(AND(Tracking[[#This Row],[Type]]="Income", shift_late_income_status="Active", DAY(Tracking[[#This Row],[Date]])&gt;=shift_late_income_starting_day),
      DATE(YEAR(Tracking[[#This Row],[Date]]), MONTH(Tracking[[#This Row],[Date]])+1, 1),
      Tracking[[#This Row],[Date]])</f>
        <v>45704</v>
      </c>
    </row>
    <row r="226" spans="3:9" hidden="1" outlineLevel="1" x14ac:dyDescent="0.2">
      <c r="C226" s="94">
        <v>45704</v>
      </c>
      <c r="D226" s="32" t="s">
        <v>47</v>
      </c>
      <c r="E226" s="32" t="s">
        <v>48</v>
      </c>
      <c r="F226" s="34">
        <v>12</v>
      </c>
      <c r="G226" s="35"/>
      <c r="H226" s="37" cm="1">
        <f t="array" ref="H226">IFERROR(SUMPRODUCT(Tracking[Amount], --(Tracking[Date]&lt;=Tracking[[#This Row],[Date]]), (Tracking[Type]&lt;&gt;"Income") * (-1) + (Tracking[Type]="Income")), "-")</f>
        <v>7512.5</v>
      </c>
      <c r="I226" s="95">
        <f>IF(AND(Tracking[[#This Row],[Type]]="Income", shift_late_income_status="Active", DAY(Tracking[[#This Row],[Date]])&gt;=shift_late_income_starting_day),
      DATE(YEAR(Tracking[[#This Row],[Date]]), MONTH(Tracking[[#This Row],[Date]])+1, 1),
      Tracking[[#This Row],[Date]])</f>
        <v>45704</v>
      </c>
    </row>
    <row r="227" spans="3:9" hidden="1" outlineLevel="1" x14ac:dyDescent="0.2">
      <c r="C227" s="94">
        <v>45704</v>
      </c>
      <c r="D227" s="32" t="s">
        <v>47</v>
      </c>
      <c r="E227" s="32" t="s">
        <v>56</v>
      </c>
      <c r="F227" s="34">
        <v>97</v>
      </c>
      <c r="G227" s="35" t="s">
        <v>317</v>
      </c>
      <c r="H227" s="37" cm="1">
        <f t="array" ref="H227">IFERROR(SUMPRODUCT(Tracking[Amount], --(Tracking[Date]&lt;=Tracking[[#This Row],[Date]]), (Tracking[Type]&lt;&gt;"Income") * (-1) + (Tracking[Type]="Income")), "-")</f>
        <v>7512.5</v>
      </c>
      <c r="I227" s="95">
        <f>IF(AND(Tracking[[#This Row],[Type]]="Income", shift_late_income_status="Active", DAY(Tracking[[#This Row],[Date]])&gt;=shift_late_income_starting_day),
      DATE(YEAR(Tracking[[#This Row],[Date]]), MONTH(Tracking[[#This Row],[Date]])+1, 1),
      Tracking[[#This Row],[Date]])</f>
        <v>45704</v>
      </c>
    </row>
    <row r="228" spans="3:9" hidden="1" outlineLevel="1" x14ac:dyDescent="0.2">
      <c r="C228" s="94">
        <v>45704</v>
      </c>
      <c r="D228" s="32" t="s">
        <v>47</v>
      </c>
      <c r="E228" s="32" t="s">
        <v>59</v>
      </c>
      <c r="F228" s="34">
        <v>21</v>
      </c>
      <c r="G228" s="35" t="s">
        <v>218</v>
      </c>
      <c r="H228" s="37" cm="1">
        <f t="array" ref="H228">IFERROR(SUMPRODUCT(Tracking[Amount], --(Tracking[Date]&lt;=Tracking[[#This Row],[Date]]), (Tracking[Type]&lt;&gt;"Income") * (-1) + (Tracking[Type]="Income")), "-")</f>
        <v>7512.5</v>
      </c>
      <c r="I228" s="95">
        <f>IF(AND(Tracking[[#This Row],[Type]]="Income", shift_late_income_status="Active", DAY(Tracking[[#This Row],[Date]])&gt;=shift_late_income_starting_day),
      DATE(YEAR(Tracking[[#This Row],[Date]]), MONTH(Tracking[[#This Row],[Date]])+1, 1),
      Tracking[[#This Row],[Date]])</f>
        <v>45704</v>
      </c>
    </row>
    <row r="229" spans="3:9" hidden="1" outlineLevel="1" x14ac:dyDescent="0.2">
      <c r="C229" s="94">
        <v>45705</v>
      </c>
      <c r="D229" s="32" t="s">
        <v>40</v>
      </c>
      <c r="E229" s="32" t="s">
        <v>44</v>
      </c>
      <c r="F229" s="34">
        <v>100</v>
      </c>
      <c r="G229" s="35" t="s">
        <v>318</v>
      </c>
      <c r="H229" s="37" cm="1">
        <f t="array" ref="H229">IFERROR(SUMPRODUCT(Tracking[Amount], --(Tracking[Date]&lt;=Tracking[[#This Row],[Date]]), (Tracking[Type]&lt;&gt;"Income") * (-1) + (Tracking[Type]="Income")), "-")</f>
        <v>7487.5</v>
      </c>
      <c r="I229" s="95">
        <f>IF(AND(Tracking[[#This Row],[Type]]="Income", shift_late_income_status="Active", DAY(Tracking[[#This Row],[Date]])&gt;=shift_late_income_starting_day),
      DATE(YEAR(Tracking[[#This Row],[Date]]), MONTH(Tracking[[#This Row],[Date]])+1, 1),
      Tracking[[#This Row],[Date]])</f>
        <v>45705</v>
      </c>
    </row>
    <row r="230" spans="3:9" hidden="1" outlineLevel="1" x14ac:dyDescent="0.2">
      <c r="C230" s="94">
        <v>45705</v>
      </c>
      <c r="D230" s="32" t="s">
        <v>47</v>
      </c>
      <c r="E230" s="32" t="s">
        <v>48</v>
      </c>
      <c r="F230" s="34">
        <v>125</v>
      </c>
      <c r="G230" s="35" t="s">
        <v>319</v>
      </c>
      <c r="H230" s="37" cm="1">
        <f t="array" ref="H230">IFERROR(SUMPRODUCT(Tracking[Amount], --(Tracking[Date]&lt;=Tracking[[#This Row],[Date]]), (Tracking[Type]&lt;&gt;"Income") * (-1) + (Tracking[Type]="Income")), "-")</f>
        <v>7487.5</v>
      </c>
      <c r="I230" s="95">
        <f>IF(AND(Tracking[[#This Row],[Type]]="Income", shift_late_income_status="Active", DAY(Tracking[[#This Row],[Date]])&gt;=shift_late_income_starting_day),
      DATE(YEAR(Tracking[[#This Row],[Date]]), MONTH(Tracking[[#This Row],[Date]])+1, 1),
      Tracking[[#This Row],[Date]])</f>
        <v>45705</v>
      </c>
    </row>
    <row r="231" spans="3:9" hidden="1" outlineLevel="1" x14ac:dyDescent="0.2">
      <c r="C231" s="94">
        <v>45706</v>
      </c>
      <c r="D231" s="32" t="s">
        <v>47</v>
      </c>
      <c r="E231" s="32" t="s">
        <v>230</v>
      </c>
      <c r="F231" s="34">
        <v>35</v>
      </c>
      <c r="G231" s="35" t="s">
        <v>301</v>
      </c>
      <c r="H231" s="37" cm="1">
        <f t="array" ref="H231">IFERROR(SUMPRODUCT(Tracking[Amount], --(Tracking[Date]&lt;=Tracking[[#This Row],[Date]]), (Tracking[Type]&lt;&gt;"Income") * (-1) + (Tracking[Type]="Income")), "-")</f>
        <v>7452.5</v>
      </c>
      <c r="I231" s="95">
        <f>IF(AND(Tracking[[#This Row],[Type]]="Income", shift_late_income_status="Active", DAY(Tracking[[#This Row],[Date]])&gt;=shift_late_income_starting_day),
      DATE(YEAR(Tracking[[#This Row],[Date]]), MONTH(Tracking[[#This Row],[Date]])+1, 1),
      Tracking[[#This Row],[Date]])</f>
        <v>45706</v>
      </c>
    </row>
    <row r="232" spans="3:9" hidden="1" outlineLevel="1" x14ac:dyDescent="0.2">
      <c r="C232" s="94">
        <v>45707</v>
      </c>
      <c r="D232" s="32" t="s">
        <v>47</v>
      </c>
      <c r="E232" s="32" t="s">
        <v>52</v>
      </c>
      <c r="F232" s="34">
        <v>70</v>
      </c>
      <c r="G232" s="35" t="s">
        <v>260</v>
      </c>
      <c r="H232" s="37" cm="1">
        <f t="array" ref="H232">IFERROR(SUMPRODUCT(Tracking[Amount], --(Tracking[Date]&lt;=Tracking[[#This Row],[Date]]), (Tracking[Type]&lt;&gt;"Income") * (-1) + (Tracking[Type]="Income")), "-")</f>
        <v>7294.5</v>
      </c>
      <c r="I232" s="95">
        <f>IF(AND(Tracking[[#This Row],[Type]]="Income", shift_late_income_status="Active", DAY(Tracking[[#This Row],[Date]])&gt;=shift_late_income_starting_day),
      DATE(YEAR(Tracking[[#This Row],[Date]]), MONTH(Tracking[[#This Row],[Date]])+1, 1),
      Tracking[[#This Row],[Date]])</f>
        <v>45707</v>
      </c>
    </row>
    <row r="233" spans="3:9" hidden="1" outlineLevel="1" x14ac:dyDescent="0.2">
      <c r="C233" s="94">
        <v>45707</v>
      </c>
      <c r="D233" s="32" t="s">
        <v>47</v>
      </c>
      <c r="E233" s="32" t="s">
        <v>51</v>
      </c>
      <c r="F233" s="34">
        <v>81</v>
      </c>
      <c r="G233" s="35" t="s">
        <v>320</v>
      </c>
      <c r="H233" s="37" cm="1">
        <f t="array" ref="H233">IFERROR(SUMPRODUCT(Tracking[Amount], --(Tracking[Date]&lt;=Tracking[[#This Row],[Date]]), (Tracking[Type]&lt;&gt;"Income") * (-1) + (Tracking[Type]="Income")), "-")</f>
        <v>7294.5</v>
      </c>
      <c r="I233" s="95">
        <f>IF(AND(Tracking[[#This Row],[Type]]="Income", shift_late_income_status="Active", DAY(Tracking[[#This Row],[Date]])&gt;=shift_late_income_starting_day),
      DATE(YEAR(Tracking[[#This Row],[Date]]), MONTH(Tracking[[#This Row],[Date]])+1, 1),
      Tracking[[#This Row],[Date]])</f>
        <v>45707</v>
      </c>
    </row>
    <row r="234" spans="3:9" hidden="1" outlineLevel="1" x14ac:dyDescent="0.2">
      <c r="C234" s="94">
        <v>45707</v>
      </c>
      <c r="D234" s="32" t="s">
        <v>47</v>
      </c>
      <c r="E234" s="32" t="s">
        <v>51</v>
      </c>
      <c r="F234" s="34">
        <v>7</v>
      </c>
      <c r="G234" s="35" t="s">
        <v>321</v>
      </c>
      <c r="H234" s="37" cm="1">
        <f t="array" ref="H234">IFERROR(SUMPRODUCT(Tracking[Amount], --(Tracking[Date]&lt;=Tracking[[#This Row],[Date]]), (Tracking[Type]&lt;&gt;"Income") * (-1) + (Tracking[Type]="Income")), "-")</f>
        <v>7294.5</v>
      </c>
      <c r="I234" s="95">
        <f>IF(AND(Tracking[[#This Row],[Type]]="Income", shift_late_income_status="Active", DAY(Tracking[[#This Row],[Date]])&gt;=shift_late_income_starting_day),
      DATE(YEAR(Tracking[[#This Row],[Date]]), MONTH(Tracking[[#This Row],[Date]])+1, 1),
      Tracking[[#This Row],[Date]])</f>
        <v>45707</v>
      </c>
    </row>
    <row r="235" spans="3:9" hidden="1" outlineLevel="1" x14ac:dyDescent="0.2">
      <c r="C235" s="94">
        <v>45709</v>
      </c>
      <c r="D235" s="32" t="s">
        <v>47</v>
      </c>
      <c r="E235" s="32" t="s">
        <v>48</v>
      </c>
      <c r="F235" s="34">
        <v>13</v>
      </c>
      <c r="G235" s="35"/>
      <c r="H235" s="37" cm="1">
        <f t="array" ref="H235">IFERROR(SUMPRODUCT(Tracking[Amount], --(Tracking[Date]&lt;=Tracking[[#This Row],[Date]]), (Tracking[Type]&lt;&gt;"Income") * (-1) + (Tracking[Type]="Income")), "-")</f>
        <v>7158.5</v>
      </c>
      <c r="I235" s="95">
        <f>IF(AND(Tracking[[#This Row],[Type]]="Income", shift_late_income_status="Active", DAY(Tracking[[#This Row],[Date]])&gt;=shift_late_income_starting_day),
      DATE(YEAR(Tracking[[#This Row],[Date]]), MONTH(Tracking[[#This Row],[Date]])+1, 1),
      Tracking[[#This Row],[Date]])</f>
        <v>45709</v>
      </c>
    </row>
    <row r="236" spans="3:9" hidden="1" outlineLevel="1" x14ac:dyDescent="0.2">
      <c r="C236" s="94">
        <v>45709</v>
      </c>
      <c r="D236" s="32" t="s">
        <v>47</v>
      </c>
      <c r="E236" s="32" t="s">
        <v>229</v>
      </c>
      <c r="F236" s="34">
        <v>123</v>
      </c>
      <c r="G236" s="35" t="s">
        <v>322</v>
      </c>
      <c r="H236" s="37" cm="1">
        <f t="array" ref="H236">IFERROR(SUMPRODUCT(Tracking[Amount], --(Tracking[Date]&lt;=Tracking[[#This Row],[Date]]), (Tracking[Type]&lt;&gt;"Income") * (-1) + (Tracking[Type]="Income")), "-")</f>
        <v>7158.5</v>
      </c>
      <c r="I236" s="95">
        <f>IF(AND(Tracking[[#This Row],[Type]]="Income", shift_late_income_status="Active", DAY(Tracking[[#This Row],[Date]])&gt;=shift_late_income_starting_day),
      DATE(YEAR(Tracking[[#This Row],[Date]]), MONTH(Tracking[[#This Row],[Date]])+1, 1),
      Tracking[[#This Row],[Date]])</f>
        <v>45709</v>
      </c>
    </row>
    <row r="237" spans="3:9" hidden="1" outlineLevel="1" x14ac:dyDescent="0.2">
      <c r="C237" s="94">
        <v>45710</v>
      </c>
      <c r="D237" s="32" t="s">
        <v>47</v>
      </c>
      <c r="E237" s="32" t="s">
        <v>229</v>
      </c>
      <c r="F237" s="34">
        <v>78</v>
      </c>
      <c r="G237" s="35" t="s">
        <v>322</v>
      </c>
      <c r="H237" s="37" cm="1">
        <f t="array" ref="H237">IFERROR(SUMPRODUCT(Tracking[Amount], --(Tracking[Date]&lt;=Tracking[[#This Row],[Date]]), (Tracking[Type]&lt;&gt;"Income") * (-1) + (Tracking[Type]="Income")), "-")</f>
        <v>7080.5</v>
      </c>
      <c r="I237" s="95">
        <f>IF(AND(Tracking[[#This Row],[Type]]="Income", shift_late_income_status="Active", DAY(Tracking[[#This Row],[Date]])&gt;=shift_late_income_starting_day),
      DATE(YEAR(Tracking[[#This Row],[Date]]), MONTH(Tracking[[#This Row],[Date]])+1, 1),
      Tracking[[#This Row],[Date]])</f>
        <v>45710</v>
      </c>
    </row>
    <row r="238" spans="3:9" hidden="1" outlineLevel="1" x14ac:dyDescent="0.2">
      <c r="C238" s="94">
        <v>45711</v>
      </c>
      <c r="D238" s="32" t="s">
        <v>47</v>
      </c>
      <c r="E238" s="32" t="s">
        <v>229</v>
      </c>
      <c r="F238" s="34">
        <v>324</v>
      </c>
      <c r="G238" s="35" t="s">
        <v>322</v>
      </c>
      <c r="H238" s="37" cm="1">
        <f t="array" ref="H238">IFERROR(SUMPRODUCT(Tracking[Amount], --(Tracking[Date]&lt;=Tracking[[#This Row],[Date]]), (Tracking[Type]&lt;&gt;"Income") * (-1) + (Tracking[Type]="Income")), "-")</f>
        <v>6747.5</v>
      </c>
      <c r="I238" s="95">
        <f>IF(AND(Tracking[[#This Row],[Type]]="Income", shift_late_income_status="Active", DAY(Tracking[[#This Row],[Date]])&gt;=shift_late_income_starting_day),
      DATE(YEAR(Tracking[[#This Row],[Date]]), MONTH(Tracking[[#This Row],[Date]])+1, 1),
      Tracking[[#This Row],[Date]])</f>
        <v>45711</v>
      </c>
    </row>
    <row r="239" spans="3:9" hidden="1" outlineLevel="1" x14ac:dyDescent="0.2">
      <c r="C239" s="94">
        <v>45711</v>
      </c>
      <c r="D239" s="32" t="s">
        <v>47</v>
      </c>
      <c r="E239" s="32" t="s">
        <v>51</v>
      </c>
      <c r="F239" s="34">
        <v>9</v>
      </c>
      <c r="G239" s="35" t="s">
        <v>323</v>
      </c>
      <c r="H239" s="37" cm="1">
        <f t="array" ref="H239">IFERROR(SUMPRODUCT(Tracking[Amount], --(Tracking[Date]&lt;=Tracking[[#This Row],[Date]]), (Tracking[Type]&lt;&gt;"Income") * (-1) + (Tracking[Type]="Income")), "-")</f>
        <v>6747.5</v>
      </c>
      <c r="I239" s="95">
        <f>IF(AND(Tracking[[#This Row],[Type]]="Income", shift_late_income_status="Active", DAY(Tracking[[#This Row],[Date]])&gt;=shift_late_income_starting_day),
      DATE(YEAR(Tracking[[#This Row],[Date]]), MONTH(Tracking[[#This Row],[Date]])+1, 1),
      Tracking[[#This Row],[Date]])</f>
        <v>45711</v>
      </c>
    </row>
    <row r="240" spans="3:9" hidden="1" outlineLevel="1" x14ac:dyDescent="0.2">
      <c r="C240" s="94">
        <v>45712</v>
      </c>
      <c r="D240" s="32" t="s">
        <v>47</v>
      </c>
      <c r="E240" s="32" t="s">
        <v>59</v>
      </c>
      <c r="F240" s="34">
        <v>15</v>
      </c>
      <c r="G240" s="35" t="s">
        <v>324</v>
      </c>
      <c r="H240" s="37" cm="1">
        <f t="array" ref="H240">IFERROR(SUMPRODUCT(Tracking[Amount], --(Tracking[Date]&lt;=Tracking[[#This Row],[Date]]), (Tracking[Type]&lt;&gt;"Income") * (-1) + (Tracking[Type]="Income")), "-")</f>
        <v>3293.5</v>
      </c>
      <c r="I240" s="95">
        <f>IF(AND(Tracking[[#This Row],[Type]]="Income", shift_late_income_status="Active", DAY(Tracking[[#This Row],[Date]])&gt;=shift_late_income_starting_day),
      DATE(YEAR(Tracking[[#This Row],[Date]]), MONTH(Tracking[[#This Row],[Date]])+1, 1),
      Tracking[[#This Row],[Date]])</f>
        <v>45712</v>
      </c>
    </row>
    <row r="241" spans="3:9" hidden="1" outlineLevel="1" x14ac:dyDescent="0.2">
      <c r="C241" s="94">
        <v>45712</v>
      </c>
      <c r="D241" s="32" t="s">
        <v>47</v>
      </c>
      <c r="E241" s="32" t="s">
        <v>58</v>
      </c>
      <c r="F241" s="34">
        <v>224</v>
      </c>
      <c r="G241" s="35" t="s">
        <v>127</v>
      </c>
      <c r="H241" s="37" cm="1">
        <f t="array" ref="H241">IFERROR(SUMPRODUCT(Tracking[Amount], --(Tracking[Date]&lt;=Tracking[[#This Row],[Date]]), (Tracking[Type]&lt;&gt;"Income") * (-1) + (Tracking[Type]="Income")), "-")</f>
        <v>3293.5</v>
      </c>
      <c r="I241" s="95">
        <f>IF(AND(Tracking[[#This Row],[Type]]="Income", shift_late_income_status="Active", DAY(Tracking[[#This Row],[Date]])&gt;=shift_late_income_starting_day),
      DATE(YEAR(Tracking[[#This Row],[Date]]), MONTH(Tracking[[#This Row],[Date]])+1, 1),
      Tracking[[#This Row],[Date]])</f>
        <v>45712</v>
      </c>
    </row>
    <row r="242" spans="3:9" hidden="1" outlineLevel="1" x14ac:dyDescent="0.2">
      <c r="C242" s="94">
        <v>45712</v>
      </c>
      <c r="D242" s="32" t="s">
        <v>47</v>
      </c>
      <c r="E242" s="32" t="s">
        <v>57</v>
      </c>
      <c r="F242" s="34">
        <v>3215</v>
      </c>
      <c r="G242" s="35"/>
      <c r="H242" s="37" cm="1">
        <f t="array" ref="H242">IFERROR(SUMPRODUCT(Tracking[Amount], --(Tracking[Date]&lt;=Tracking[[#This Row],[Date]]), (Tracking[Type]&lt;&gt;"Income") * (-1) + (Tracking[Type]="Income")), "-")</f>
        <v>3293.5</v>
      </c>
      <c r="I242" s="95">
        <f>IF(AND(Tracking[[#This Row],[Type]]="Income", shift_late_income_status="Active", DAY(Tracking[[#This Row],[Date]])&gt;=shift_late_income_starting_day),
      DATE(YEAR(Tracking[[#This Row],[Date]]), MONTH(Tracking[[#This Row],[Date]])+1, 1),
      Tracking[[#This Row],[Date]])</f>
        <v>45712</v>
      </c>
    </row>
    <row r="243" spans="3:9" hidden="1" outlineLevel="1" x14ac:dyDescent="0.2">
      <c r="C243" s="94">
        <v>45713</v>
      </c>
      <c r="D243" s="32" t="s">
        <v>47</v>
      </c>
      <c r="E243" s="32" t="s">
        <v>58</v>
      </c>
      <c r="F243" s="34">
        <v>81</v>
      </c>
      <c r="G243" s="35" t="s">
        <v>276</v>
      </c>
      <c r="H243" s="37" cm="1">
        <f t="array" ref="H243">IFERROR(SUMPRODUCT(Tracking[Amount], --(Tracking[Date]&lt;=Tracking[[#This Row],[Date]]), (Tracking[Type]&lt;&gt;"Income") * (-1) + (Tracking[Type]="Income")), "-")</f>
        <v>3128.5</v>
      </c>
      <c r="I243" s="95">
        <f>IF(AND(Tracking[[#This Row],[Type]]="Income", shift_late_income_status="Active", DAY(Tracking[[#This Row],[Date]])&gt;=shift_late_income_starting_day),
      DATE(YEAR(Tracking[[#This Row],[Date]]), MONTH(Tracking[[#This Row],[Date]])+1, 1),
      Tracking[[#This Row],[Date]])</f>
        <v>45713</v>
      </c>
    </row>
    <row r="244" spans="3:9" hidden="1" outlineLevel="1" x14ac:dyDescent="0.2">
      <c r="C244" s="94">
        <v>45713</v>
      </c>
      <c r="D244" s="32" t="s">
        <v>62</v>
      </c>
      <c r="E244" s="32" t="s">
        <v>63</v>
      </c>
      <c r="F244" s="34">
        <v>78</v>
      </c>
      <c r="G244" s="35"/>
      <c r="H244" s="37" cm="1">
        <f t="array" ref="H244">IFERROR(SUMPRODUCT(Tracking[Amount], --(Tracking[Date]&lt;=Tracking[[#This Row],[Date]]), (Tracking[Type]&lt;&gt;"Income") * (-1) + (Tracking[Type]="Income")), "-")</f>
        <v>3128.5</v>
      </c>
      <c r="I244" s="95">
        <f>IF(AND(Tracking[[#This Row],[Type]]="Income", shift_late_income_status="Active", DAY(Tracking[[#This Row],[Date]])&gt;=shift_late_income_starting_day),
      DATE(YEAR(Tracking[[#This Row],[Date]]), MONTH(Tracking[[#This Row],[Date]])+1, 1),
      Tracking[[#This Row],[Date]])</f>
        <v>45713</v>
      </c>
    </row>
    <row r="245" spans="3:9" hidden="1" outlineLevel="1" x14ac:dyDescent="0.2">
      <c r="C245" s="94">
        <v>45713</v>
      </c>
      <c r="D245" s="32" t="s">
        <v>47</v>
      </c>
      <c r="E245" s="32" t="s">
        <v>48</v>
      </c>
      <c r="F245" s="34">
        <v>6</v>
      </c>
      <c r="G245" s="35" t="s">
        <v>325</v>
      </c>
      <c r="H245" s="37" cm="1">
        <f t="array" ref="H245">IFERROR(SUMPRODUCT(Tracking[Amount], --(Tracking[Date]&lt;=Tracking[[#This Row],[Date]]), (Tracking[Type]&lt;&gt;"Income") * (-1) + (Tracking[Type]="Income")), "-")</f>
        <v>3128.5</v>
      </c>
      <c r="I245" s="95">
        <f>IF(AND(Tracking[[#This Row],[Type]]="Income", shift_late_income_status="Active", DAY(Tracking[[#This Row],[Date]])&gt;=shift_late_income_starting_day),
      DATE(YEAR(Tracking[[#This Row],[Date]]), MONTH(Tracking[[#This Row],[Date]])+1, 1),
      Tracking[[#This Row],[Date]])</f>
        <v>45713</v>
      </c>
    </row>
    <row r="246" spans="3:9" hidden="1" outlineLevel="1" x14ac:dyDescent="0.2">
      <c r="C246" s="94">
        <v>45714</v>
      </c>
      <c r="D246" s="32" t="s">
        <v>47</v>
      </c>
      <c r="E246" s="32" t="s">
        <v>59</v>
      </c>
      <c r="F246" s="34">
        <v>16</v>
      </c>
      <c r="G246" s="35" t="s">
        <v>141</v>
      </c>
      <c r="H246" s="37" cm="1">
        <f t="array" ref="H246">IFERROR(SUMPRODUCT(Tracking[Amount], --(Tracking[Date]&lt;=Tracking[[#This Row],[Date]]), (Tracking[Type]&lt;&gt;"Income") * (-1) + (Tracking[Type]="Income")), "-")</f>
        <v>2940.5</v>
      </c>
      <c r="I246" s="95">
        <f>IF(AND(Tracking[[#This Row],[Type]]="Income", shift_late_income_status="Active", DAY(Tracking[[#This Row],[Date]])&gt;=shift_late_income_starting_day),
      DATE(YEAR(Tracking[[#This Row],[Date]]), MONTH(Tracking[[#This Row],[Date]])+1, 1),
      Tracking[[#This Row],[Date]])</f>
        <v>45714</v>
      </c>
    </row>
    <row r="247" spans="3:9" hidden="1" outlineLevel="1" x14ac:dyDescent="0.2">
      <c r="C247" s="94">
        <v>45714</v>
      </c>
      <c r="D247" s="32" t="s">
        <v>47</v>
      </c>
      <c r="E247" s="32" t="s">
        <v>49</v>
      </c>
      <c r="F247" s="34">
        <v>42</v>
      </c>
      <c r="G247" s="35" t="s">
        <v>326</v>
      </c>
      <c r="H247" s="37" cm="1">
        <f t="array" ref="H247">IFERROR(SUMPRODUCT(Tracking[Amount], --(Tracking[Date]&lt;=Tracking[[#This Row],[Date]]), (Tracking[Type]&lt;&gt;"Income") * (-1) + (Tracking[Type]="Income")), "-")</f>
        <v>2940.5</v>
      </c>
      <c r="I247" s="95">
        <f>IF(AND(Tracking[[#This Row],[Type]]="Income", shift_late_income_status="Active", DAY(Tracking[[#This Row],[Date]])&gt;=shift_late_income_starting_day),
      DATE(YEAR(Tracking[[#This Row],[Date]]), MONTH(Tracking[[#This Row],[Date]])+1, 1),
      Tracking[[#This Row],[Date]])</f>
        <v>45714</v>
      </c>
    </row>
    <row r="248" spans="3:9" hidden="1" outlineLevel="1" x14ac:dyDescent="0.2">
      <c r="C248" s="94">
        <v>45714</v>
      </c>
      <c r="D248" s="32" t="s">
        <v>47</v>
      </c>
      <c r="E248" s="32" t="s">
        <v>51</v>
      </c>
      <c r="F248" s="34">
        <v>130</v>
      </c>
      <c r="G248" s="35" t="s">
        <v>327</v>
      </c>
      <c r="H248" s="37" cm="1">
        <f t="array" ref="H248">IFERROR(SUMPRODUCT(Tracking[Amount], --(Tracking[Date]&lt;=Tracking[[#This Row],[Date]]), (Tracking[Type]&lt;&gt;"Income") * (-1) + (Tracking[Type]="Income")), "-")</f>
        <v>2940.5</v>
      </c>
      <c r="I248" s="95">
        <f>IF(AND(Tracking[[#This Row],[Type]]="Income", shift_late_income_status="Active", DAY(Tracking[[#This Row],[Date]])&gt;=shift_late_income_starting_day),
      DATE(YEAR(Tracking[[#This Row],[Date]]), MONTH(Tracking[[#This Row],[Date]])+1, 1),
      Tracking[[#This Row],[Date]])</f>
        <v>45714</v>
      </c>
    </row>
    <row r="249" spans="3:9" hidden="1" outlineLevel="1" x14ac:dyDescent="0.2">
      <c r="C249" s="94">
        <v>45715</v>
      </c>
      <c r="D249" s="32" t="s">
        <v>47</v>
      </c>
      <c r="E249" s="32" t="s">
        <v>48</v>
      </c>
      <c r="F249" s="34">
        <v>80</v>
      </c>
      <c r="G249" s="35" t="s">
        <v>239</v>
      </c>
      <c r="H249" s="37" cm="1">
        <f t="array" ref="H249">IFERROR(SUMPRODUCT(Tracking[Amount], --(Tracking[Date]&lt;=Tracking[[#This Row],[Date]]), (Tracking[Type]&lt;&gt;"Income") * (-1) + (Tracking[Type]="Income")), "-")</f>
        <v>2860.5</v>
      </c>
      <c r="I249" s="95">
        <f>IF(AND(Tracking[[#This Row],[Type]]="Income", shift_late_income_status="Active", DAY(Tracking[[#This Row],[Date]])&gt;=shift_late_income_starting_day),
      DATE(YEAR(Tracking[[#This Row],[Date]]), MONTH(Tracking[[#This Row],[Date]])+1, 1),
      Tracking[[#This Row],[Date]])</f>
        <v>45715</v>
      </c>
    </row>
    <row r="250" spans="3:9" hidden="1" outlineLevel="1" x14ac:dyDescent="0.2">
      <c r="C250" s="94">
        <v>45716</v>
      </c>
      <c r="D250" s="32" t="s">
        <v>47</v>
      </c>
      <c r="E250" s="32" t="s">
        <v>58</v>
      </c>
      <c r="F250" s="34">
        <v>56</v>
      </c>
      <c r="G250" s="35" t="s">
        <v>285</v>
      </c>
      <c r="H250" s="37" cm="1">
        <f t="array" ref="H250">IFERROR(SUMPRODUCT(Tracking[Amount], --(Tracking[Date]&lt;=Tracking[[#This Row],[Date]]), (Tracking[Type]&lt;&gt;"Income") * (-1) + (Tracking[Type]="Income")), "-")</f>
        <v>1502.5</v>
      </c>
      <c r="I250" s="95">
        <f>IF(AND(Tracking[[#This Row],[Type]]="Income", shift_late_income_status="Active", DAY(Tracking[[#This Row],[Date]])&gt;=shift_late_income_starting_day),
      DATE(YEAR(Tracking[[#This Row],[Date]]), MONTH(Tracking[[#This Row],[Date]])+1, 1),
      Tracking[[#This Row],[Date]])</f>
        <v>45716</v>
      </c>
    </row>
    <row r="251" spans="3:9" hidden="1" outlineLevel="1" x14ac:dyDescent="0.2">
      <c r="C251" s="94">
        <v>45716</v>
      </c>
      <c r="D251" s="32" t="s">
        <v>47</v>
      </c>
      <c r="E251" s="32" t="s">
        <v>48</v>
      </c>
      <c r="F251" s="34">
        <v>15</v>
      </c>
      <c r="G251" s="35"/>
      <c r="H251" s="37" cm="1">
        <f t="array" ref="H251">IFERROR(SUMPRODUCT(Tracking[Amount], --(Tracking[Date]&lt;=Tracking[[#This Row],[Date]]), (Tracking[Type]&lt;&gt;"Income") * (-1) + (Tracking[Type]="Income")), "-")</f>
        <v>1502.5</v>
      </c>
      <c r="I251" s="95">
        <f>IF(AND(Tracking[[#This Row],[Type]]="Income", shift_late_income_status="Active", DAY(Tracking[[#This Row],[Date]])&gt;=shift_late_income_starting_day),
      DATE(YEAR(Tracking[[#This Row],[Date]]), MONTH(Tracking[[#This Row],[Date]])+1, 1),
      Tracking[[#This Row],[Date]])</f>
        <v>45716</v>
      </c>
    </row>
    <row r="252" spans="3:9" hidden="1" outlineLevel="1" x14ac:dyDescent="0.2">
      <c r="C252" s="94">
        <v>45716</v>
      </c>
      <c r="D252" s="32" t="s">
        <v>47</v>
      </c>
      <c r="E252" s="32" t="s">
        <v>230</v>
      </c>
      <c r="F252" s="34">
        <v>67</v>
      </c>
      <c r="G252" s="35" t="s">
        <v>331</v>
      </c>
      <c r="H252" s="37" cm="1">
        <f t="array" ref="H252">IFERROR(SUMPRODUCT(Tracking[Amount], --(Tracking[Date]&lt;=Tracking[[#This Row],[Date]]), (Tracking[Type]&lt;&gt;"Income") * (-1) + (Tracking[Type]="Income")), "-")</f>
        <v>1502.5</v>
      </c>
      <c r="I252" s="95">
        <f>IF(AND(Tracking[[#This Row],[Type]]="Income", shift_late_income_status="Active", DAY(Tracking[[#This Row],[Date]])&gt;=shift_late_income_starting_day),
      DATE(YEAR(Tracking[[#This Row],[Date]]), MONTH(Tracking[[#This Row],[Date]])+1, 1),
      Tracking[[#This Row],[Date]])</f>
        <v>45716</v>
      </c>
    </row>
    <row r="253" spans="3:9" hidden="1" outlineLevel="1" collapsed="1" x14ac:dyDescent="0.2">
      <c r="C253" s="94">
        <v>45716</v>
      </c>
      <c r="D253" s="32" t="s">
        <v>62</v>
      </c>
      <c r="E253" s="32" t="s">
        <v>62</v>
      </c>
      <c r="F253" s="34">
        <v>1220</v>
      </c>
      <c r="G253" s="35" t="s">
        <v>332</v>
      </c>
      <c r="H253" s="37" cm="1">
        <f t="array" ref="H253">IFERROR(SUMPRODUCT(Tracking[Amount], --(Tracking[Date]&lt;=Tracking[[#This Row],[Date]]), (Tracking[Type]&lt;&gt;"Income") * (-1) + (Tracking[Type]="Income")), "-")</f>
        <v>1502.5</v>
      </c>
      <c r="I253" s="95">
        <f>IF(AND(Tracking[[#This Row],[Type]]="Income", shift_late_income_status="Active", DAY(Tracking[[#This Row],[Date]])&gt;=shift_late_income_starting_day),
      DATE(YEAR(Tracking[[#This Row],[Date]]), MONTH(Tracking[[#This Row],[Date]])+1, 1),
      Tracking[[#This Row],[Date]])</f>
        <v>45716</v>
      </c>
    </row>
    <row r="254" spans="3:9" collapsed="1" x14ac:dyDescent="0.2">
      <c r="C254" s="94">
        <v>45717</v>
      </c>
      <c r="D254" s="32" t="s">
        <v>40</v>
      </c>
      <c r="E254" s="32" t="s">
        <v>41</v>
      </c>
      <c r="F254" s="34">
        <v>7500</v>
      </c>
      <c r="G254" s="35"/>
      <c r="H254" s="37" cm="1">
        <f t="array" ref="H254">IFERROR(SUMPRODUCT(Tracking[Amount], --(Tracking[Date]&lt;=Tracking[[#This Row],[Date]]), (Tracking[Type]&lt;&gt;"Income") * (-1) + (Tracking[Type]="Income")), "-")</f>
        <v>8927.5</v>
      </c>
      <c r="I254" s="95">
        <f>IF(AND(Tracking[[#This Row],[Type]]="Income", shift_late_income_status="Active", DAY(Tracking[[#This Row],[Date]])&gt;=shift_late_income_starting_day),
      DATE(YEAR(Tracking[[#This Row],[Date]]), MONTH(Tracking[[#This Row],[Date]])+1, 1),
      Tracking[[#This Row],[Date]])</f>
        <v>45717</v>
      </c>
    </row>
    <row r="255" spans="3:9" hidden="1" outlineLevel="1" x14ac:dyDescent="0.2">
      <c r="C255" s="94">
        <v>45717</v>
      </c>
      <c r="D255" s="32" t="s">
        <v>47</v>
      </c>
      <c r="E255" s="32" t="s">
        <v>52</v>
      </c>
      <c r="F255" s="34">
        <v>60</v>
      </c>
      <c r="G255" s="35" t="s">
        <v>333</v>
      </c>
      <c r="H255" s="37" cm="1">
        <f t="array" ref="H255">IFERROR(SUMPRODUCT(Tracking[Amount], --(Tracking[Date]&lt;=Tracking[[#This Row],[Date]]), (Tracking[Type]&lt;&gt;"Income") * (-1) + (Tracking[Type]="Income")), "-")</f>
        <v>8927.5</v>
      </c>
      <c r="I255" s="95">
        <f>IF(AND(Tracking[[#This Row],[Type]]="Income", shift_late_income_status="Active", DAY(Tracking[[#This Row],[Date]])&gt;=shift_late_income_starting_day),
      DATE(YEAR(Tracking[[#This Row],[Date]]), MONTH(Tracking[[#This Row],[Date]])+1, 1),
      Tracking[[#This Row],[Date]])</f>
        <v>45717</v>
      </c>
    </row>
    <row r="256" spans="3:9" hidden="1" outlineLevel="1" x14ac:dyDescent="0.2">
      <c r="C256" s="94">
        <v>45717</v>
      </c>
      <c r="D256" s="32" t="s">
        <v>47</v>
      </c>
      <c r="E256" s="32" t="s">
        <v>49</v>
      </c>
      <c r="F256" s="34">
        <v>15</v>
      </c>
      <c r="G256" s="35" t="s">
        <v>334</v>
      </c>
      <c r="H256" s="37" cm="1">
        <f t="array" ref="H256">IFERROR(SUMPRODUCT(Tracking[Amount], --(Tracking[Date]&lt;=Tracking[[#This Row],[Date]]), (Tracking[Type]&lt;&gt;"Income") * (-1) + (Tracking[Type]="Income")), "-")</f>
        <v>8927.5</v>
      </c>
      <c r="I256" s="95">
        <f>IF(AND(Tracking[[#This Row],[Type]]="Income", shift_late_income_status="Active", DAY(Tracking[[#This Row],[Date]])&gt;=shift_late_income_starting_day),
      DATE(YEAR(Tracking[[#This Row],[Date]]), MONTH(Tracking[[#This Row],[Date]])+1, 1),
      Tracking[[#This Row],[Date]])</f>
        <v>45717</v>
      </c>
    </row>
    <row r="257" spans="3:9" hidden="1" outlineLevel="1" x14ac:dyDescent="0.2">
      <c r="C257" s="94">
        <v>45718</v>
      </c>
      <c r="D257" s="32" t="s">
        <v>47</v>
      </c>
      <c r="E257" s="32" t="s">
        <v>48</v>
      </c>
      <c r="F257" s="34">
        <v>6</v>
      </c>
      <c r="G257" s="35" t="s">
        <v>325</v>
      </c>
      <c r="H257" s="37" cm="1">
        <f t="array" ref="H257">IFERROR(SUMPRODUCT(Tracking[Amount], --(Tracking[Date]&lt;=Tracking[[#This Row],[Date]]), (Tracking[Type]&lt;&gt;"Income") * (-1) + (Tracking[Type]="Income")), "-")</f>
        <v>8921.5</v>
      </c>
      <c r="I257" s="95">
        <f>IF(AND(Tracking[[#This Row],[Type]]="Income", shift_late_income_status="Active", DAY(Tracking[[#This Row],[Date]])&gt;=shift_late_income_starting_day),
      DATE(YEAR(Tracking[[#This Row],[Date]]), MONTH(Tracking[[#This Row],[Date]])+1, 1),
      Tracking[[#This Row],[Date]])</f>
        <v>45718</v>
      </c>
    </row>
    <row r="258" spans="3:9" hidden="1" outlineLevel="1" x14ac:dyDescent="0.2">
      <c r="C258" s="94">
        <v>45719</v>
      </c>
      <c r="D258" s="32" t="s">
        <v>47</v>
      </c>
      <c r="E258" s="32" t="s">
        <v>55</v>
      </c>
      <c r="F258" s="34">
        <v>39</v>
      </c>
      <c r="G258" s="35" t="s">
        <v>335</v>
      </c>
      <c r="H258" s="37" cm="1">
        <f t="array" ref="H258">IFERROR(SUMPRODUCT(Tracking[Amount], --(Tracking[Date]&lt;=Tracking[[#This Row],[Date]]), (Tracking[Type]&lt;&gt;"Income") * (-1) + (Tracking[Type]="Income")), "-")</f>
        <v>8882.5</v>
      </c>
      <c r="I258" s="95">
        <f>IF(AND(Tracking[[#This Row],[Type]]="Income", shift_late_income_status="Active", DAY(Tracking[[#This Row],[Date]])&gt;=shift_late_income_starting_day),
      DATE(YEAR(Tracking[[#This Row],[Date]]), MONTH(Tracking[[#This Row],[Date]])+1, 1),
      Tracking[[#This Row],[Date]])</f>
        <v>45719</v>
      </c>
    </row>
    <row r="259" spans="3:9" hidden="1" outlineLevel="1" x14ac:dyDescent="0.2">
      <c r="C259" s="94">
        <v>45720</v>
      </c>
      <c r="D259" s="32" t="s">
        <v>47</v>
      </c>
      <c r="E259" s="32" t="s">
        <v>48</v>
      </c>
      <c r="F259" s="34">
        <v>20</v>
      </c>
      <c r="G259" s="35"/>
      <c r="H259" s="37" cm="1">
        <f t="array" ref="H259">IFERROR(SUMPRODUCT(Tracking[Amount], --(Tracking[Date]&lt;=Tracking[[#This Row],[Date]]), (Tracking[Type]&lt;&gt;"Income") * (-1) + (Tracking[Type]="Income")), "-")</f>
        <v>8849</v>
      </c>
      <c r="I259" s="95">
        <f>IF(AND(Tracking[[#This Row],[Type]]="Income", shift_late_income_status="Active", DAY(Tracking[[#This Row],[Date]])&gt;=shift_late_income_starting_day),
      DATE(YEAR(Tracking[[#This Row],[Date]]), MONTH(Tracking[[#This Row],[Date]])+1, 1),
      Tracking[[#This Row],[Date]])</f>
        <v>45720</v>
      </c>
    </row>
    <row r="260" spans="3:9" hidden="1" outlineLevel="1" x14ac:dyDescent="0.2">
      <c r="C260" s="94">
        <v>45720</v>
      </c>
      <c r="D260" s="32" t="s">
        <v>47</v>
      </c>
      <c r="E260" s="32" t="s">
        <v>59</v>
      </c>
      <c r="F260" s="34">
        <v>13.5</v>
      </c>
      <c r="G260" s="35" t="s">
        <v>352</v>
      </c>
      <c r="H260" s="37" cm="1">
        <f t="array" ref="H260">IFERROR(SUMPRODUCT(Tracking[Amount], --(Tracking[Date]&lt;=Tracking[[#This Row],[Date]]), (Tracking[Type]&lt;&gt;"Income") * (-1) + (Tracking[Type]="Income")), "-")</f>
        <v>8849</v>
      </c>
      <c r="I260" s="95">
        <f>IF(AND(Tracking[[#This Row],[Type]]="Income", shift_late_income_status="Active", DAY(Tracking[[#This Row],[Date]])&gt;=shift_late_income_starting_day),
      DATE(YEAR(Tracking[[#This Row],[Date]]), MONTH(Tracking[[#This Row],[Date]])+1, 1),
      Tracking[[#This Row],[Date]])</f>
        <v>45720</v>
      </c>
    </row>
    <row r="261" spans="3:9" hidden="1" outlineLevel="1" x14ac:dyDescent="0.2">
      <c r="C261" s="94">
        <v>45721</v>
      </c>
      <c r="D261" s="32" t="s">
        <v>47</v>
      </c>
      <c r="E261" s="32" t="s">
        <v>48</v>
      </c>
      <c r="F261" s="34">
        <v>9</v>
      </c>
      <c r="G261" s="35"/>
      <c r="H261" s="37" cm="1">
        <f t="array" ref="H261">IFERROR(SUMPRODUCT(Tracking[Amount], --(Tracking[Date]&lt;=Tracking[[#This Row],[Date]]), (Tracking[Type]&lt;&gt;"Income") * (-1) + (Tracking[Type]="Income")), "-")</f>
        <v>8840</v>
      </c>
      <c r="I261" s="95">
        <f>IF(AND(Tracking[[#This Row],[Type]]="Income", shift_late_income_status="Active", DAY(Tracking[[#This Row],[Date]])&gt;=shift_late_income_starting_day),
      DATE(YEAR(Tracking[[#This Row],[Date]]), MONTH(Tracking[[#This Row],[Date]])+1, 1),
      Tracking[[#This Row],[Date]])</f>
        <v>45721</v>
      </c>
    </row>
    <row r="262" spans="3:9" hidden="1" outlineLevel="1" x14ac:dyDescent="0.2">
      <c r="C262" s="94">
        <v>45722</v>
      </c>
      <c r="D262" s="32" t="s">
        <v>47</v>
      </c>
      <c r="E262" s="32" t="s">
        <v>49</v>
      </c>
      <c r="F262" s="34">
        <v>15</v>
      </c>
      <c r="G262" s="35" t="s">
        <v>336</v>
      </c>
      <c r="H262" s="37" cm="1">
        <f t="array" ref="H262">IFERROR(SUMPRODUCT(Tracking[Amount], --(Tracking[Date]&lt;=Tracking[[#This Row],[Date]]), (Tracking[Type]&lt;&gt;"Income") * (-1) + (Tracking[Type]="Income")), "-")</f>
        <v>8668</v>
      </c>
      <c r="I262" s="95">
        <f>IF(AND(Tracking[[#This Row],[Type]]="Income", shift_late_income_status="Active", DAY(Tracking[[#This Row],[Date]])&gt;=shift_late_income_starting_day),
      DATE(YEAR(Tracking[[#This Row],[Date]]), MONTH(Tracking[[#This Row],[Date]])+1, 1),
      Tracking[[#This Row],[Date]])</f>
        <v>45722</v>
      </c>
    </row>
    <row r="263" spans="3:9" hidden="1" outlineLevel="1" x14ac:dyDescent="0.2">
      <c r="C263" s="94">
        <v>45722</v>
      </c>
      <c r="D263" s="32" t="s">
        <v>47</v>
      </c>
      <c r="E263" s="32" t="s">
        <v>60</v>
      </c>
      <c r="F263" s="34">
        <v>1</v>
      </c>
      <c r="G263" s="35"/>
      <c r="H263" s="37" cm="1">
        <f t="array" ref="H263">IFERROR(SUMPRODUCT(Tracking[Amount], --(Tracking[Date]&lt;=Tracking[[#This Row],[Date]]), (Tracking[Type]&lt;&gt;"Income") * (-1) + (Tracking[Type]="Income")), "-")</f>
        <v>8668</v>
      </c>
      <c r="I263" s="95">
        <f>IF(AND(Tracking[[#This Row],[Type]]="Income", shift_late_income_status="Active", DAY(Tracking[[#This Row],[Date]])&gt;=shift_late_income_starting_day),
      DATE(YEAR(Tracking[[#This Row],[Date]]), MONTH(Tracking[[#This Row],[Date]])+1, 1),
      Tracking[[#This Row],[Date]])</f>
        <v>45722</v>
      </c>
    </row>
    <row r="264" spans="3:9" hidden="1" outlineLevel="1" x14ac:dyDescent="0.2">
      <c r="C264" s="94">
        <v>45722</v>
      </c>
      <c r="D264" s="32" t="s">
        <v>47</v>
      </c>
      <c r="E264" s="32" t="s">
        <v>51</v>
      </c>
      <c r="F264" s="34">
        <v>62</v>
      </c>
      <c r="G264" s="35" t="s">
        <v>302</v>
      </c>
      <c r="H264" s="37" cm="1">
        <f t="array" ref="H264">IFERROR(SUMPRODUCT(Tracking[Amount], --(Tracking[Date]&lt;=Tracking[[#This Row],[Date]]), (Tracking[Type]&lt;&gt;"Income") * (-1) + (Tracking[Type]="Income")), "-")</f>
        <v>8668</v>
      </c>
      <c r="I264" s="95">
        <f>IF(AND(Tracking[[#This Row],[Type]]="Income", shift_late_income_status="Active", DAY(Tracking[[#This Row],[Date]])&gt;=shift_late_income_starting_day),
      DATE(YEAR(Tracking[[#This Row],[Date]]), MONTH(Tracking[[#This Row],[Date]])+1, 1),
      Tracking[[#This Row],[Date]])</f>
        <v>45722</v>
      </c>
    </row>
    <row r="265" spans="3:9" hidden="1" outlineLevel="1" x14ac:dyDescent="0.2">
      <c r="C265" s="94">
        <v>45722</v>
      </c>
      <c r="D265" s="32" t="s">
        <v>47</v>
      </c>
      <c r="E265" s="32" t="s">
        <v>44</v>
      </c>
      <c r="F265" s="34">
        <v>15</v>
      </c>
      <c r="G265" s="35" t="s">
        <v>337</v>
      </c>
      <c r="H265" s="37" cm="1">
        <f t="array" ref="H265">IFERROR(SUMPRODUCT(Tracking[Amount], --(Tracking[Date]&lt;=Tracking[[#This Row],[Date]]), (Tracking[Type]&lt;&gt;"Income") * (-1) + (Tracking[Type]="Income")), "-")</f>
        <v>8668</v>
      </c>
      <c r="I265" s="95">
        <f>IF(AND(Tracking[[#This Row],[Type]]="Income", shift_late_income_status="Active", DAY(Tracking[[#This Row],[Date]])&gt;=shift_late_income_starting_day),
      DATE(YEAR(Tracking[[#This Row],[Date]]), MONTH(Tracking[[#This Row],[Date]])+1, 1),
      Tracking[[#This Row],[Date]])</f>
        <v>45722</v>
      </c>
    </row>
    <row r="266" spans="3:9" hidden="1" outlineLevel="1" x14ac:dyDescent="0.2">
      <c r="C266" s="94">
        <v>45722</v>
      </c>
      <c r="D266" s="32" t="s">
        <v>47</v>
      </c>
      <c r="E266" s="32" t="s">
        <v>48</v>
      </c>
      <c r="F266" s="34">
        <v>9</v>
      </c>
      <c r="G266" s="35"/>
      <c r="H266" s="37" cm="1">
        <f t="array" ref="H266">IFERROR(SUMPRODUCT(Tracking[Amount], --(Tracking[Date]&lt;=Tracking[[#This Row],[Date]]), (Tracking[Type]&lt;&gt;"Income") * (-1) + (Tracking[Type]="Income")), "-")</f>
        <v>8668</v>
      </c>
      <c r="I266" s="95">
        <f>IF(AND(Tracking[[#This Row],[Type]]="Income", shift_late_income_status="Active", DAY(Tracking[[#This Row],[Date]])&gt;=shift_late_income_starting_day),
      DATE(YEAR(Tracking[[#This Row],[Date]]), MONTH(Tracking[[#This Row],[Date]])+1, 1),
      Tracking[[#This Row],[Date]])</f>
        <v>45722</v>
      </c>
    </row>
    <row r="267" spans="3:9" hidden="1" outlineLevel="1" x14ac:dyDescent="0.2">
      <c r="C267" s="94">
        <v>45722</v>
      </c>
      <c r="D267" s="32" t="s">
        <v>47</v>
      </c>
      <c r="E267" s="32" t="s">
        <v>52</v>
      </c>
      <c r="F267" s="34">
        <v>70</v>
      </c>
      <c r="G267" s="35" t="s">
        <v>260</v>
      </c>
      <c r="H267" s="37" cm="1">
        <f t="array" ref="H267">IFERROR(SUMPRODUCT(Tracking[Amount], --(Tracking[Date]&lt;=Tracking[[#This Row],[Date]]), (Tracking[Type]&lt;&gt;"Income") * (-1) + (Tracking[Type]="Income")), "-")</f>
        <v>8668</v>
      </c>
      <c r="I267" s="95">
        <f>IF(AND(Tracking[[#This Row],[Type]]="Income", shift_late_income_status="Active", DAY(Tracking[[#This Row],[Date]])&gt;=shift_late_income_starting_day),
      DATE(YEAR(Tracking[[#This Row],[Date]]), MONTH(Tracking[[#This Row],[Date]])+1, 1),
      Tracking[[#This Row],[Date]])</f>
        <v>45722</v>
      </c>
    </row>
    <row r="268" spans="3:9" hidden="1" outlineLevel="1" x14ac:dyDescent="0.2">
      <c r="C268" s="94">
        <v>45723</v>
      </c>
      <c r="D268" s="32" t="s">
        <v>47</v>
      </c>
      <c r="E268" s="32" t="s">
        <v>60</v>
      </c>
      <c r="F268" s="34">
        <v>17</v>
      </c>
      <c r="G268" s="35" t="s">
        <v>338</v>
      </c>
      <c r="H268" s="37" cm="1">
        <f t="array" ref="H268">IFERROR(SUMPRODUCT(Tracking[Amount], --(Tracking[Date]&lt;=Tracking[[#This Row],[Date]]), (Tracking[Type]&lt;&gt;"Income") * (-1) + (Tracking[Type]="Income")), "-")</f>
        <v>8490</v>
      </c>
      <c r="I268" s="95">
        <f>IF(AND(Tracking[[#This Row],[Type]]="Income", shift_late_income_status="Active", DAY(Tracking[[#This Row],[Date]])&gt;=shift_late_income_starting_day),
      DATE(YEAR(Tracking[[#This Row],[Date]]), MONTH(Tracking[[#This Row],[Date]])+1, 1),
      Tracking[[#This Row],[Date]])</f>
        <v>45723</v>
      </c>
    </row>
    <row r="269" spans="3:9" hidden="1" outlineLevel="1" x14ac:dyDescent="0.2">
      <c r="C269" s="94">
        <v>45723</v>
      </c>
      <c r="D269" s="32" t="s">
        <v>47</v>
      </c>
      <c r="E269" s="32" t="s">
        <v>235</v>
      </c>
      <c r="F269" s="34">
        <v>120</v>
      </c>
      <c r="G269" s="35" t="s">
        <v>339</v>
      </c>
      <c r="H269" s="37" cm="1">
        <f t="array" ref="H269">IFERROR(SUMPRODUCT(Tracking[Amount], --(Tracking[Date]&lt;=Tracking[[#This Row],[Date]]), (Tracking[Type]&lt;&gt;"Income") * (-1) + (Tracking[Type]="Income")), "-")</f>
        <v>8490</v>
      </c>
      <c r="I269" s="95">
        <f>IF(AND(Tracking[[#This Row],[Type]]="Income", shift_late_income_status="Active", DAY(Tracking[[#This Row],[Date]])&gt;=shift_late_income_starting_day),
      DATE(YEAR(Tracking[[#This Row],[Date]]), MONTH(Tracking[[#This Row],[Date]])+1, 1),
      Tracking[[#This Row],[Date]])</f>
        <v>45723</v>
      </c>
    </row>
    <row r="270" spans="3:9" hidden="1" outlineLevel="1" x14ac:dyDescent="0.2">
      <c r="C270" s="94">
        <v>45723</v>
      </c>
      <c r="D270" s="32" t="s">
        <v>47</v>
      </c>
      <c r="E270" s="32" t="s">
        <v>48</v>
      </c>
      <c r="F270" s="34">
        <v>6</v>
      </c>
      <c r="G270" s="35" t="s">
        <v>325</v>
      </c>
      <c r="H270" s="37" cm="1">
        <f t="array" ref="H270">IFERROR(SUMPRODUCT(Tracking[Amount], --(Tracking[Date]&lt;=Tracking[[#This Row],[Date]]), (Tracking[Type]&lt;&gt;"Income") * (-1) + (Tracking[Type]="Income")), "-")</f>
        <v>8490</v>
      </c>
      <c r="I270" s="95">
        <f>IF(AND(Tracking[[#This Row],[Type]]="Income", shift_late_income_status="Active", DAY(Tracking[[#This Row],[Date]])&gt;=shift_late_income_starting_day),
      DATE(YEAR(Tracking[[#This Row],[Date]]), MONTH(Tracking[[#This Row],[Date]])+1, 1),
      Tracking[[#This Row],[Date]])</f>
        <v>45723</v>
      </c>
    </row>
    <row r="271" spans="3:9" hidden="1" outlineLevel="1" x14ac:dyDescent="0.2">
      <c r="C271" s="94">
        <v>45723</v>
      </c>
      <c r="D271" s="32" t="s">
        <v>47</v>
      </c>
      <c r="E271" s="32" t="s">
        <v>235</v>
      </c>
      <c r="F271" s="34">
        <v>35</v>
      </c>
      <c r="G271" s="35" t="s">
        <v>301</v>
      </c>
      <c r="H271" s="37" cm="1">
        <f t="array" ref="H271">IFERROR(SUMPRODUCT(Tracking[Amount], --(Tracking[Date]&lt;=Tracking[[#This Row],[Date]]), (Tracking[Type]&lt;&gt;"Income") * (-1) + (Tracking[Type]="Income")), "-")</f>
        <v>8490</v>
      </c>
      <c r="I271" s="95">
        <f>IF(AND(Tracking[[#This Row],[Type]]="Income", shift_late_income_status="Active", DAY(Tracking[[#This Row],[Date]])&gt;=shift_late_income_starting_day),
      DATE(YEAR(Tracking[[#This Row],[Date]]), MONTH(Tracking[[#This Row],[Date]])+1, 1),
      Tracking[[#This Row],[Date]])</f>
        <v>45723</v>
      </c>
    </row>
    <row r="272" spans="3:9" hidden="1" outlineLevel="1" x14ac:dyDescent="0.2">
      <c r="C272" s="94">
        <v>45724</v>
      </c>
      <c r="D272" s="32" t="s">
        <v>47</v>
      </c>
      <c r="E272" s="32" t="s">
        <v>48</v>
      </c>
      <c r="F272" s="34">
        <v>55</v>
      </c>
      <c r="G272" s="35" t="s">
        <v>239</v>
      </c>
      <c r="H272" s="37" cm="1">
        <f t="array" ref="H272">IFERROR(SUMPRODUCT(Tracking[Amount], --(Tracking[Date]&lt;=Tracking[[#This Row],[Date]]), (Tracking[Type]&lt;&gt;"Income") * (-1) + (Tracking[Type]="Income")), "-")</f>
        <v>8410</v>
      </c>
      <c r="I272" s="95">
        <f>IF(AND(Tracking[[#This Row],[Type]]="Income", shift_late_income_status="Active", DAY(Tracking[[#This Row],[Date]])&gt;=shift_late_income_starting_day),
      DATE(YEAR(Tracking[[#This Row],[Date]]), MONTH(Tracking[[#This Row],[Date]])+1, 1),
      Tracking[[#This Row],[Date]])</f>
        <v>45724</v>
      </c>
    </row>
    <row r="273" spans="3:9" hidden="1" outlineLevel="1" x14ac:dyDescent="0.2">
      <c r="C273" s="94">
        <v>45724</v>
      </c>
      <c r="D273" s="32" t="s">
        <v>47</v>
      </c>
      <c r="E273" s="32" t="s">
        <v>44</v>
      </c>
      <c r="F273" s="34">
        <v>25</v>
      </c>
      <c r="G273" s="35" t="s">
        <v>268</v>
      </c>
      <c r="H273" s="37" cm="1">
        <f t="array" ref="H273">IFERROR(SUMPRODUCT(Tracking[Amount], --(Tracking[Date]&lt;=Tracking[[#This Row],[Date]]), (Tracking[Type]&lt;&gt;"Income") * (-1) + (Tracking[Type]="Income")), "-")</f>
        <v>8410</v>
      </c>
      <c r="I273" s="95">
        <f>IF(AND(Tracking[[#This Row],[Type]]="Income", shift_late_income_status="Active", DAY(Tracking[[#This Row],[Date]])&gt;=shift_late_income_starting_day),
      DATE(YEAR(Tracking[[#This Row],[Date]]), MONTH(Tracking[[#This Row],[Date]])+1, 1),
      Tracking[[#This Row],[Date]])</f>
        <v>45724</v>
      </c>
    </row>
    <row r="274" spans="3:9" hidden="1" outlineLevel="1" x14ac:dyDescent="0.2">
      <c r="C274" s="94">
        <v>45725</v>
      </c>
      <c r="D274" s="32" t="s">
        <v>47</v>
      </c>
      <c r="E274" s="32" t="s">
        <v>59</v>
      </c>
      <c r="F274" s="34">
        <v>13</v>
      </c>
      <c r="G274" s="35" t="s">
        <v>254</v>
      </c>
      <c r="H274" s="37" cm="1">
        <f t="array" ref="H274">IFERROR(SUMPRODUCT(Tracking[Amount], --(Tracking[Date]&lt;=Tracking[[#This Row],[Date]]), (Tracking[Type]&lt;&gt;"Income") * (-1) + (Tracking[Type]="Income")), "-")</f>
        <v>8397</v>
      </c>
      <c r="I274" s="95">
        <f>IF(AND(Tracking[[#This Row],[Type]]="Income", shift_late_income_status="Active", DAY(Tracking[[#This Row],[Date]])&gt;=shift_late_income_starting_day),
      DATE(YEAR(Tracking[[#This Row],[Date]]), MONTH(Tracking[[#This Row],[Date]])+1, 1),
      Tracking[[#This Row],[Date]])</f>
        <v>45725</v>
      </c>
    </row>
    <row r="275" spans="3:9" hidden="1" outlineLevel="1" x14ac:dyDescent="0.2">
      <c r="C275" s="94">
        <v>45726</v>
      </c>
      <c r="D275" s="32" t="s">
        <v>47</v>
      </c>
      <c r="E275" s="32" t="s">
        <v>51</v>
      </c>
      <c r="F275" s="34">
        <v>7</v>
      </c>
      <c r="G275" s="35"/>
      <c r="H275" s="37" cm="1">
        <f t="array" ref="H275">IFERROR(SUMPRODUCT(Tracking[Amount], --(Tracking[Date]&lt;=Tracking[[#This Row],[Date]]), (Tracking[Type]&lt;&gt;"Income") * (-1) + (Tracking[Type]="Income")), "-")</f>
        <v>8390</v>
      </c>
      <c r="I275" s="95">
        <f>IF(AND(Tracking[[#This Row],[Type]]="Income", shift_late_income_status="Active", DAY(Tracking[[#This Row],[Date]])&gt;=shift_late_income_starting_day),
      DATE(YEAR(Tracking[[#This Row],[Date]]), MONTH(Tracking[[#This Row],[Date]])+1, 1),
      Tracking[[#This Row],[Date]])</f>
        <v>45726</v>
      </c>
    </row>
    <row r="276" spans="3:9" hidden="1" outlineLevel="1" x14ac:dyDescent="0.2">
      <c r="C276" s="94">
        <v>45727</v>
      </c>
      <c r="D276" s="32" t="s">
        <v>47</v>
      </c>
      <c r="E276" s="32" t="s">
        <v>48</v>
      </c>
      <c r="F276" s="34">
        <v>11</v>
      </c>
      <c r="G276" s="35"/>
      <c r="H276" s="37" cm="1">
        <f t="array" ref="H276">IFERROR(SUMPRODUCT(Tracking[Amount], --(Tracking[Date]&lt;=Tracking[[#This Row],[Date]]), (Tracking[Type]&lt;&gt;"Income") * (-1) + (Tracking[Type]="Income")), "-")</f>
        <v>8332</v>
      </c>
      <c r="I276" s="95">
        <f>IF(AND(Tracking[[#This Row],[Type]]="Income", shift_late_income_status="Active", DAY(Tracking[[#This Row],[Date]])&gt;=shift_late_income_starting_day),
      DATE(YEAR(Tracking[[#This Row],[Date]]), MONTH(Tracking[[#This Row],[Date]])+1, 1),
      Tracking[[#This Row],[Date]])</f>
        <v>45727</v>
      </c>
    </row>
    <row r="277" spans="3:9" hidden="1" outlineLevel="1" x14ac:dyDescent="0.2">
      <c r="C277" s="94">
        <v>45727</v>
      </c>
      <c r="D277" s="32" t="s">
        <v>47</v>
      </c>
      <c r="E277" s="32" t="s">
        <v>60</v>
      </c>
      <c r="F277" s="34">
        <v>2</v>
      </c>
      <c r="G277" s="35" t="s">
        <v>340</v>
      </c>
      <c r="H277" s="37" cm="1">
        <f t="array" ref="H277">IFERROR(SUMPRODUCT(Tracking[Amount], --(Tracking[Date]&lt;=Tracking[[#This Row],[Date]]), (Tracking[Type]&lt;&gt;"Income") * (-1) + (Tracking[Type]="Income")), "-")</f>
        <v>8332</v>
      </c>
      <c r="I277" s="95">
        <f>IF(AND(Tracking[[#This Row],[Type]]="Income", shift_late_income_status="Active", DAY(Tracking[[#This Row],[Date]])&gt;=shift_late_income_starting_day),
      DATE(YEAR(Tracking[[#This Row],[Date]]), MONTH(Tracking[[#This Row],[Date]])+1, 1),
      Tracking[[#This Row],[Date]])</f>
        <v>45727</v>
      </c>
    </row>
    <row r="278" spans="3:9" hidden="1" outlineLevel="1" x14ac:dyDescent="0.2">
      <c r="C278" s="94">
        <v>45727</v>
      </c>
      <c r="D278" s="32" t="s">
        <v>47</v>
      </c>
      <c r="E278" s="32" t="s">
        <v>235</v>
      </c>
      <c r="F278" s="34">
        <v>45</v>
      </c>
      <c r="G278" s="35" t="s">
        <v>341</v>
      </c>
      <c r="H278" s="37" cm="1">
        <f t="array" ref="H278">IFERROR(SUMPRODUCT(Tracking[Amount], --(Tracking[Date]&lt;=Tracking[[#This Row],[Date]]), (Tracking[Type]&lt;&gt;"Income") * (-1) + (Tracking[Type]="Income")), "-")</f>
        <v>8332</v>
      </c>
      <c r="I278" s="95">
        <f>IF(AND(Tracking[[#This Row],[Type]]="Income", shift_late_income_status="Active", DAY(Tracking[[#This Row],[Date]])&gt;=shift_late_income_starting_day),
      DATE(YEAR(Tracking[[#This Row],[Date]]), MONTH(Tracking[[#This Row],[Date]])+1, 1),
      Tracking[[#This Row],[Date]])</f>
        <v>45727</v>
      </c>
    </row>
    <row r="279" spans="3:9" hidden="1" outlineLevel="1" x14ac:dyDescent="0.2">
      <c r="C279" s="94">
        <v>45728</v>
      </c>
      <c r="D279" s="32" t="s">
        <v>47</v>
      </c>
      <c r="E279" s="32" t="s">
        <v>49</v>
      </c>
      <c r="F279" s="34">
        <v>64</v>
      </c>
      <c r="G279" s="35" t="s">
        <v>315</v>
      </c>
      <c r="H279" s="37" cm="1">
        <f t="array" ref="H279">IFERROR(SUMPRODUCT(Tracking[Amount], --(Tracking[Date]&lt;=Tracking[[#This Row],[Date]]), (Tracking[Type]&lt;&gt;"Income") * (-1) + (Tracking[Type]="Income")), "-")</f>
        <v>8151</v>
      </c>
      <c r="I279" s="95">
        <f>IF(AND(Tracking[[#This Row],[Type]]="Income", shift_late_income_status="Active", DAY(Tracking[[#This Row],[Date]])&gt;=shift_late_income_starting_day),
      DATE(YEAR(Tracking[[#This Row],[Date]]), MONTH(Tracking[[#This Row],[Date]])+1, 1),
      Tracking[[#This Row],[Date]])</f>
        <v>45728</v>
      </c>
    </row>
    <row r="280" spans="3:9" hidden="1" outlineLevel="1" x14ac:dyDescent="0.2">
      <c r="C280" s="94">
        <v>45728</v>
      </c>
      <c r="D280" s="32" t="s">
        <v>47</v>
      </c>
      <c r="E280" s="32" t="s">
        <v>58</v>
      </c>
      <c r="F280" s="34">
        <v>117</v>
      </c>
      <c r="G280" s="35" t="s">
        <v>300</v>
      </c>
      <c r="H280" s="37" cm="1">
        <f t="array" ref="H280">IFERROR(SUMPRODUCT(Tracking[Amount], --(Tracking[Date]&lt;=Tracking[[#This Row],[Date]]), (Tracking[Type]&lt;&gt;"Income") * (-1) + (Tracking[Type]="Income")), "-")</f>
        <v>8151</v>
      </c>
      <c r="I280" s="95">
        <f>IF(AND(Tracking[[#This Row],[Type]]="Income", shift_late_income_status="Active", DAY(Tracking[[#This Row],[Date]])&gt;=shift_late_income_starting_day),
      DATE(YEAR(Tracking[[#This Row],[Date]]), MONTH(Tracking[[#This Row],[Date]])+1, 1),
      Tracking[[#This Row],[Date]])</f>
        <v>45728</v>
      </c>
    </row>
    <row r="281" spans="3:9" hidden="1" outlineLevel="1" x14ac:dyDescent="0.2">
      <c r="C281" s="94">
        <v>45729</v>
      </c>
      <c r="D281" s="32" t="s">
        <v>47</v>
      </c>
      <c r="E281" s="32" t="s">
        <v>48</v>
      </c>
      <c r="F281" s="34">
        <v>43</v>
      </c>
      <c r="G281" s="35"/>
      <c r="H281" s="37" cm="1">
        <f t="array" ref="H281">IFERROR(SUMPRODUCT(Tracking[Amount], --(Tracking[Date]&lt;=Tracking[[#This Row],[Date]]), (Tracking[Type]&lt;&gt;"Income") * (-1) + (Tracking[Type]="Income")), "-")</f>
        <v>8108</v>
      </c>
      <c r="I281" s="95">
        <f>IF(AND(Tracking[[#This Row],[Type]]="Income", shift_late_income_status="Active", DAY(Tracking[[#This Row],[Date]])&gt;=shift_late_income_starting_day),
      DATE(YEAR(Tracking[[#This Row],[Date]]), MONTH(Tracking[[#This Row],[Date]])+1, 1),
      Tracking[[#This Row],[Date]])</f>
        <v>45729</v>
      </c>
    </row>
    <row r="282" spans="3:9" hidden="1" outlineLevel="1" x14ac:dyDescent="0.2">
      <c r="C282" s="94">
        <v>45730</v>
      </c>
      <c r="D282" s="32" t="s">
        <v>47</v>
      </c>
      <c r="E282" s="32" t="s">
        <v>52</v>
      </c>
      <c r="F282" s="34">
        <v>20</v>
      </c>
      <c r="G282" s="35" t="s">
        <v>255</v>
      </c>
      <c r="H282" s="37" cm="1">
        <f t="array" ref="H282">IFERROR(SUMPRODUCT(Tracking[Amount], --(Tracking[Date]&lt;=Tracking[[#This Row],[Date]]), (Tracking[Type]&lt;&gt;"Income") * (-1) + (Tracking[Type]="Income")), "-")</f>
        <v>8008</v>
      </c>
      <c r="I282" s="95">
        <f>IF(AND(Tracking[[#This Row],[Type]]="Income", shift_late_income_status="Active", DAY(Tracking[[#This Row],[Date]])&gt;=shift_late_income_starting_day),
      DATE(YEAR(Tracking[[#This Row],[Date]]), MONTH(Tracking[[#This Row],[Date]])+1, 1),
      Tracking[[#This Row],[Date]])</f>
        <v>45730</v>
      </c>
    </row>
    <row r="283" spans="3:9" hidden="1" outlineLevel="1" x14ac:dyDescent="0.2">
      <c r="C283" s="94">
        <v>45730</v>
      </c>
      <c r="D283" s="32" t="s">
        <v>47</v>
      </c>
      <c r="E283" s="32" t="s">
        <v>49</v>
      </c>
      <c r="F283" s="34">
        <v>60</v>
      </c>
      <c r="G283" s="35" t="s">
        <v>342</v>
      </c>
      <c r="H283" s="37" cm="1">
        <f t="array" ref="H283">IFERROR(SUMPRODUCT(Tracking[Amount], --(Tracking[Date]&lt;=Tracking[[#This Row],[Date]]), (Tracking[Type]&lt;&gt;"Income") * (-1) + (Tracking[Type]="Income")), "-")</f>
        <v>8008</v>
      </c>
      <c r="I283" s="95">
        <f>IF(AND(Tracking[[#This Row],[Type]]="Income", shift_late_income_status="Active", DAY(Tracking[[#This Row],[Date]])&gt;=shift_late_income_starting_day),
      DATE(YEAR(Tracking[[#This Row],[Date]]), MONTH(Tracking[[#This Row],[Date]])+1, 1),
      Tracking[[#This Row],[Date]])</f>
        <v>45730</v>
      </c>
    </row>
    <row r="284" spans="3:9" hidden="1" outlineLevel="1" x14ac:dyDescent="0.2">
      <c r="C284" s="94">
        <v>45730</v>
      </c>
      <c r="D284" s="32" t="s">
        <v>47</v>
      </c>
      <c r="E284" s="32" t="s">
        <v>48</v>
      </c>
      <c r="F284" s="34">
        <v>20</v>
      </c>
      <c r="G284" s="35"/>
      <c r="H284" s="37" cm="1">
        <f t="array" ref="H284">IFERROR(SUMPRODUCT(Tracking[Amount], --(Tracking[Date]&lt;=Tracking[[#This Row],[Date]]), (Tracking[Type]&lt;&gt;"Income") * (-1) + (Tracking[Type]="Income")), "-")</f>
        <v>8008</v>
      </c>
      <c r="I284" s="95">
        <f>IF(AND(Tracking[[#This Row],[Type]]="Income", shift_late_income_status="Active", DAY(Tracking[[#This Row],[Date]])&gt;=shift_late_income_starting_day),
      DATE(YEAR(Tracking[[#This Row],[Date]]), MONTH(Tracking[[#This Row],[Date]])+1, 1),
      Tracking[[#This Row],[Date]])</f>
        <v>45730</v>
      </c>
    </row>
    <row r="285" spans="3:9" hidden="1" outlineLevel="1" x14ac:dyDescent="0.2">
      <c r="C285" s="94">
        <v>45731</v>
      </c>
      <c r="D285" s="32" t="s">
        <v>47</v>
      </c>
      <c r="E285" s="32" t="s">
        <v>49</v>
      </c>
      <c r="F285" s="34">
        <v>150</v>
      </c>
      <c r="G285" s="35" t="s">
        <v>343</v>
      </c>
      <c r="H285" s="37" cm="1">
        <f t="array" ref="H285">IFERROR(SUMPRODUCT(Tracking[Amount], --(Tracking[Date]&lt;=Tracking[[#This Row],[Date]]), (Tracking[Type]&lt;&gt;"Income") * (-1) + (Tracking[Type]="Income")), "-")</f>
        <v>7858</v>
      </c>
      <c r="I285" s="95">
        <f>IF(AND(Tracking[[#This Row],[Type]]="Income", shift_late_income_status="Active", DAY(Tracking[[#This Row],[Date]])&gt;=shift_late_income_starting_day),
      DATE(YEAR(Tracking[[#This Row],[Date]]), MONTH(Tracking[[#This Row],[Date]])+1, 1),
      Tracking[[#This Row],[Date]])</f>
        <v>45731</v>
      </c>
    </row>
    <row r="286" spans="3:9" hidden="1" outlineLevel="1" x14ac:dyDescent="0.2">
      <c r="C286" s="94">
        <v>45732</v>
      </c>
      <c r="D286" s="32" t="s">
        <v>47</v>
      </c>
      <c r="E286" s="32" t="s">
        <v>48</v>
      </c>
      <c r="F286" s="34">
        <v>20</v>
      </c>
      <c r="G286" s="35"/>
      <c r="H286" s="37" cm="1">
        <f t="array" ref="H286">IFERROR(SUMPRODUCT(Tracking[Amount], --(Tracking[Date]&lt;=Tracking[[#This Row],[Date]]), (Tracking[Type]&lt;&gt;"Income") * (-1) + (Tracking[Type]="Income")), "-")</f>
        <v>7817</v>
      </c>
      <c r="I286" s="95">
        <f>IF(AND(Tracking[[#This Row],[Type]]="Income", shift_late_income_status="Active", DAY(Tracking[[#This Row],[Date]])&gt;=shift_late_income_starting_day),
      DATE(YEAR(Tracking[[#This Row],[Date]]), MONTH(Tracking[[#This Row],[Date]])+1, 1),
      Tracking[[#This Row],[Date]])</f>
        <v>45732</v>
      </c>
    </row>
    <row r="287" spans="3:9" hidden="1" outlineLevel="1" x14ac:dyDescent="0.2">
      <c r="C287" s="94">
        <v>45732</v>
      </c>
      <c r="D287" s="32" t="s">
        <v>47</v>
      </c>
      <c r="E287" s="32" t="s">
        <v>59</v>
      </c>
      <c r="F287" s="34">
        <v>21</v>
      </c>
      <c r="G287" s="35" t="s">
        <v>218</v>
      </c>
      <c r="H287" s="37" cm="1">
        <f t="array" ref="H287">IFERROR(SUMPRODUCT(Tracking[Amount], --(Tracking[Date]&lt;=Tracking[[#This Row],[Date]]), (Tracking[Type]&lt;&gt;"Income") * (-1) + (Tracking[Type]="Income")), "-")</f>
        <v>7817</v>
      </c>
      <c r="I287" s="95">
        <f>IF(AND(Tracking[[#This Row],[Type]]="Income", shift_late_income_status="Active", DAY(Tracking[[#This Row],[Date]])&gt;=shift_late_income_starting_day),
      DATE(YEAR(Tracking[[#This Row],[Date]]), MONTH(Tracking[[#This Row],[Date]])+1, 1),
      Tracking[[#This Row],[Date]])</f>
        <v>45732</v>
      </c>
    </row>
    <row r="288" spans="3:9" hidden="1" outlineLevel="1" x14ac:dyDescent="0.2">
      <c r="C288" s="94">
        <v>45733</v>
      </c>
      <c r="D288" s="32" t="s">
        <v>47</v>
      </c>
      <c r="E288" s="32" t="s">
        <v>50</v>
      </c>
      <c r="F288" s="34">
        <v>34</v>
      </c>
      <c r="G288" s="35" t="s">
        <v>307</v>
      </c>
      <c r="H288" s="37" cm="1">
        <f t="array" ref="H288">IFERROR(SUMPRODUCT(Tracking[Amount], --(Tracking[Date]&lt;=Tracking[[#This Row],[Date]]), (Tracking[Type]&lt;&gt;"Income") * (-1) + (Tracking[Type]="Income")), "-")</f>
        <v>7982</v>
      </c>
      <c r="I288" s="95">
        <f>IF(AND(Tracking[[#This Row],[Type]]="Income", shift_late_income_status="Active", DAY(Tracking[[#This Row],[Date]])&gt;=shift_late_income_starting_day),
      DATE(YEAR(Tracking[[#This Row],[Date]]), MONTH(Tracking[[#This Row],[Date]])+1, 1),
      Tracking[[#This Row],[Date]])</f>
        <v>45733</v>
      </c>
    </row>
    <row r="289" spans="3:9" hidden="1" outlineLevel="1" x14ac:dyDescent="0.2">
      <c r="C289" s="94">
        <v>45733</v>
      </c>
      <c r="D289" s="32" t="s">
        <v>47</v>
      </c>
      <c r="E289" s="32" t="s">
        <v>48</v>
      </c>
      <c r="F289" s="34">
        <v>8</v>
      </c>
      <c r="G289" s="35"/>
      <c r="H289" s="37" cm="1">
        <f t="array" ref="H289">IFERROR(SUMPRODUCT(Tracking[Amount], --(Tracking[Date]&lt;=Tracking[[#This Row],[Date]]), (Tracking[Type]&lt;&gt;"Income") * (-1) + (Tracking[Type]="Income")), "-")</f>
        <v>7982</v>
      </c>
      <c r="I289" s="95">
        <f>IF(AND(Tracking[[#This Row],[Type]]="Income", shift_late_income_status="Active", DAY(Tracking[[#This Row],[Date]])&gt;=shift_late_income_starting_day),
      DATE(YEAR(Tracking[[#This Row],[Date]]), MONTH(Tracking[[#This Row],[Date]])+1, 1),
      Tracking[[#This Row],[Date]])</f>
        <v>45733</v>
      </c>
    </row>
    <row r="290" spans="3:9" hidden="1" outlineLevel="1" x14ac:dyDescent="0.2">
      <c r="C290" s="94">
        <v>45733</v>
      </c>
      <c r="D290" s="32" t="s">
        <v>47</v>
      </c>
      <c r="E290" s="32" t="s">
        <v>51</v>
      </c>
      <c r="F290" s="34">
        <v>43</v>
      </c>
      <c r="G290" s="35" t="s">
        <v>344</v>
      </c>
      <c r="H290" s="37" cm="1">
        <f t="array" ref="H290">IFERROR(SUMPRODUCT(Tracking[Amount], --(Tracking[Date]&lt;=Tracking[[#This Row],[Date]]), (Tracking[Type]&lt;&gt;"Income") * (-1) + (Tracking[Type]="Income")), "-")</f>
        <v>7982</v>
      </c>
      <c r="I290" s="95">
        <f>IF(AND(Tracking[[#This Row],[Type]]="Income", shift_late_income_status="Active", DAY(Tracking[[#This Row],[Date]])&gt;=shift_late_income_starting_day),
      DATE(YEAR(Tracking[[#This Row],[Date]]), MONTH(Tracking[[#This Row],[Date]])+1, 1),
      Tracking[[#This Row],[Date]])</f>
        <v>45733</v>
      </c>
    </row>
    <row r="291" spans="3:9" hidden="1" outlineLevel="1" x14ac:dyDescent="0.2">
      <c r="C291" s="94">
        <v>45733</v>
      </c>
      <c r="D291" s="32" t="s">
        <v>40</v>
      </c>
      <c r="E291" s="32" t="s">
        <v>43</v>
      </c>
      <c r="F291" s="34">
        <v>250</v>
      </c>
      <c r="G291" s="35"/>
      <c r="H291" s="37" cm="1">
        <f t="array" ref="H291">IFERROR(SUMPRODUCT(Tracking[Amount], --(Tracking[Date]&lt;=Tracking[[#This Row],[Date]]), (Tracking[Type]&lt;&gt;"Income") * (-1) + (Tracking[Type]="Income")), "-")</f>
        <v>7982</v>
      </c>
      <c r="I291" s="95">
        <f>IF(AND(Tracking[[#This Row],[Type]]="Income", shift_late_income_status="Active", DAY(Tracking[[#This Row],[Date]])&gt;=shift_late_income_starting_day),
      DATE(YEAR(Tracking[[#This Row],[Date]]), MONTH(Tracking[[#This Row],[Date]])+1, 1),
      Tracking[[#This Row],[Date]])</f>
        <v>45733</v>
      </c>
    </row>
    <row r="292" spans="3:9" hidden="1" outlineLevel="1" x14ac:dyDescent="0.2">
      <c r="C292" s="94">
        <v>45734</v>
      </c>
      <c r="D292" s="32" t="s">
        <v>47</v>
      </c>
      <c r="E292" s="32" t="s">
        <v>49</v>
      </c>
      <c r="F292" s="34">
        <v>41</v>
      </c>
      <c r="G292" s="35" t="s">
        <v>262</v>
      </c>
      <c r="H292" s="37" cm="1">
        <f t="array" ref="H292">IFERROR(SUMPRODUCT(Tracking[Amount], --(Tracking[Date]&lt;=Tracking[[#This Row],[Date]]), (Tracking[Type]&lt;&gt;"Income") * (-1) + (Tracking[Type]="Income")), "-")</f>
        <v>7941</v>
      </c>
      <c r="I292" s="95">
        <f>IF(AND(Tracking[[#This Row],[Type]]="Income", shift_late_income_status="Active", DAY(Tracking[[#This Row],[Date]])&gt;=shift_late_income_starting_day),
      DATE(YEAR(Tracking[[#This Row],[Date]]), MONTH(Tracking[[#This Row],[Date]])+1, 1),
      Tracking[[#This Row],[Date]])</f>
        <v>45734</v>
      </c>
    </row>
    <row r="293" spans="3:9" hidden="1" outlineLevel="1" x14ac:dyDescent="0.2">
      <c r="C293" s="94">
        <v>45735</v>
      </c>
      <c r="D293" s="32" t="s">
        <v>47</v>
      </c>
      <c r="E293" s="32" t="s">
        <v>60</v>
      </c>
      <c r="F293" s="34">
        <v>1</v>
      </c>
      <c r="G293" s="35" t="s">
        <v>232</v>
      </c>
      <c r="H293" s="37" cm="1">
        <f t="array" ref="H293">IFERROR(SUMPRODUCT(Tracking[Amount], --(Tracking[Date]&lt;=Tracking[[#This Row],[Date]]), (Tracking[Type]&lt;&gt;"Income") * (-1) + (Tracking[Type]="Income")), "-")</f>
        <v>7850</v>
      </c>
      <c r="I293" s="95">
        <f>IF(AND(Tracking[[#This Row],[Type]]="Income", shift_late_income_status="Active", DAY(Tracking[[#This Row],[Date]])&gt;=shift_late_income_starting_day),
      DATE(YEAR(Tracking[[#This Row],[Date]]), MONTH(Tracking[[#This Row],[Date]])+1, 1),
      Tracking[[#This Row],[Date]])</f>
        <v>45735</v>
      </c>
    </row>
    <row r="294" spans="3:9" hidden="1" outlineLevel="1" x14ac:dyDescent="0.2">
      <c r="C294" s="94">
        <v>45735</v>
      </c>
      <c r="D294" s="32" t="s">
        <v>47</v>
      </c>
      <c r="E294" s="32" t="s">
        <v>49</v>
      </c>
      <c r="F294" s="34">
        <v>5</v>
      </c>
      <c r="G294" s="35" t="s">
        <v>299</v>
      </c>
      <c r="H294" s="37" cm="1">
        <f t="array" ref="H294">IFERROR(SUMPRODUCT(Tracking[Amount], --(Tracking[Date]&lt;=Tracking[[#This Row],[Date]]), (Tracking[Type]&lt;&gt;"Income") * (-1) + (Tracking[Type]="Income")), "-")</f>
        <v>7850</v>
      </c>
      <c r="I294" s="95">
        <f>IF(AND(Tracking[[#This Row],[Type]]="Income", shift_late_income_status="Active", DAY(Tracking[[#This Row],[Date]])&gt;=shift_late_income_starting_day),
      DATE(YEAR(Tracking[[#This Row],[Date]]), MONTH(Tracking[[#This Row],[Date]])+1, 1),
      Tracking[[#This Row],[Date]])</f>
        <v>45735</v>
      </c>
    </row>
    <row r="295" spans="3:9" hidden="1" outlineLevel="1" x14ac:dyDescent="0.2">
      <c r="C295" s="94">
        <v>45735</v>
      </c>
      <c r="D295" s="32" t="s">
        <v>47</v>
      </c>
      <c r="E295" s="32" t="s">
        <v>235</v>
      </c>
      <c r="F295" s="34">
        <v>35</v>
      </c>
      <c r="G295" s="35" t="s">
        <v>301</v>
      </c>
      <c r="H295" s="37" cm="1">
        <f t="array" ref="H295">IFERROR(SUMPRODUCT(Tracking[Amount], --(Tracking[Date]&lt;=Tracking[[#This Row],[Date]]), (Tracking[Type]&lt;&gt;"Income") * (-1) + (Tracking[Type]="Income")), "-")</f>
        <v>7850</v>
      </c>
      <c r="I295" s="95">
        <f>IF(AND(Tracking[[#This Row],[Type]]="Income", shift_late_income_status="Active", DAY(Tracking[[#This Row],[Date]])&gt;=shift_late_income_starting_day),
      DATE(YEAR(Tracking[[#This Row],[Date]]), MONTH(Tracking[[#This Row],[Date]])+1, 1),
      Tracking[[#This Row],[Date]])</f>
        <v>45735</v>
      </c>
    </row>
    <row r="296" spans="3:9" hidden="1" outlineLevel="1" x14ac:dyDescent="0.2">
      <c r="C296" s="94">
        <v>45735</v>
      </c>
      <c r="D296" s="32" t="s">
        <v>47</v>
      </c>
      <c r="E296" s="32" t="s">
        <v>52</v>
      </c>
      <c r="F296" s="34">
        <v>20</v>
      </c>
      <c r="G296" s="35" t="s">
        <v>302</v>
      </c>
      <c r="H296" s="37" cm="1">
        <f t="array" ref="H296">IFERROR(SUMPRODUCT(Tracking[Amount], --(Tracking[Date]&lt;=Tracking[[#This Row],[Date]]), (Tracking[Type]&lt;&gt;"Income") * (-1) + (Tracking[Type]="Income")), "-")</f>
        <v>7850</v>
      </c>
      <c r="I296" s="95">
        <f>IF(AND(Tracking[[#This Row],[Type]]="Income", shift_late_income_status="Active", DAY(Tracking[[#This Row],[Date]])&gt;=shift_late_income_starting_day),
      DATE(YEAR(Tracking[[#This Row],[Date]]), MONTH(Tracking[[#This Row],[Date]])+1, 1),
      Tracking[[#This Row],[Date]])</f>
        <v>45735</v>
      </c>
    </row>
    <row r="297" spans="3:9" hidden="1" outlineLevel="1" x14ac:dyDescent="0.2">
      <c r="C297" s="94">
        <v>45735</v>
      </c>
      <c r="D297" s="32" t="s">
        <v>47</v>
      </c>
      <c r="E297" s="32" t="s">
        <v>51</v>
      </c>
      <c r="F297" s="34">
        <v>30</v>
      </c>
      <c r="G297" s="35" t="s">
        <v>302</v>
      </c>
      <c r="H297" s="37" cm="1">
        <f t="array" ref="H297">IFERROR(SUMPRODUCT(Tracking[Amount], --(Tracking[Date]&lt;=Tracking[[#This Row],[Date]]), (Tracking[Type]&lt;&gt;"Income") * (-1) + (Tracking[Type]="Income")), "-")</f>
        <v>7850</v>
      </c>
      <c r="I297" s="95">
        <f>IF(AND(Tracking[[#This Row],[Type]]="Income", shift_late_income_status="Active", DAY(Tracking[[#This Row],[Date]])&gt;=shift_late_income_starting_day),
      DATE(YEAR(Tracking[[#This Row],[Date]]), MONTH(Tracking[[#This Row],[Date]])+1, 1),
      Tracking[[#This Row],[Date]])</f>
        <v>45735</v>
      </c>
    </row>
    <row r="298" spans="3:9" hidden="1" outlineLevel="1" x14ac:dyDescent="0.2">
      <c r="C298" s="94">
        <v>45736</v>
      </c>
      <c r="D298" s="32" t="s">
        <v>47</v>
      </c>
      <c r="E298" s="32" t="s">
        <v>56</v>
      </c>
      <c r="F298" s="34">
        <v>200</v>
      </c>
      <c r="G298" s="35" t="s">
        <v>346</v>
      </c>
      <c r="H298" s="37" cm="1">
        <f t="array" ref="H298">IFERROR(SUMPRODUCT(Tracking[Amount], --(Tracking[Date]&lt;=Tracking[[#This Row],[Date]]), (Tracking[Type]&lt;&gt;"Income") * (-1) + (Tracking[Type]="Income")), "-")</f>
        <v>7650</v>
      </c>
      <c r="I298" s="95">
        <f>IF(AND(Tracking[[#This Row],[Type]]="Income", shift_late_income_status="Active", DAY(Tracking[[#This Row],[Date]])&gt;=shift_late_income_starting_day),
      DATE(YEAR(Tracking[[#This Row],[Date]]), MONTH(Tracking[[#This Row],[Date]])+1, 1),
      Tracking[[#This Row],[Date]])</f>
        <v>45736</v>
      </c>
    </row>
    <row r="299" spans="3:9" hidden="1" outlineLevel="1" x14ac:dyDescent="0.2">
      <c r="C299" s="94">
        <v>45737</v>
      </c>
      <c r="D299" s="32" t="s">
        <v>47</v>
      </c>
      <c r="E299" s="32" t="s">
        <v>48</v>
      </c>
      <c r="F299" s="34">
        <v>44</v>
      </c>
      <c r="G299" s="35"/>
      <c r="H299" s="37" cm="1">
        <f t="array" ref="H299">IFERROR(SUMPRODUCT(Tracking[Amount], --(Tracking[Date]&lt;=Tracking[[#This Row],[Date]]), (Tracking[Type]&lt;&gt;"Income") * (-1) + (Tracking[Type]="Income")), "-")</f>
        <v>7606</v>
      </c>
      <c r="I299" s="95">
        <f>IF(AND(Tracking[[#This Row],[Type]]="Income", shift_late_income_status="Active", DAY(Tracking[[#This Row],[Date]])&gt;=shift_late_income_starting_day),
      DATE(YEAR(Tracking[[#This Row],[Date]]), MONTH(Tracking[[#This Row],[Date]])+1, 1),
      Tracking[[#This Row],[Date]])</f>
        <v>45737</v>
      </c>
    </row>
    <row r="300" spans="3:9" hidden="1" outlineLevel="1" x14ac:dyDescent="0.2">
      <c r="C300" s="94">
        <v>45738</v>
      </c>
      <c r="D300" s="32" t="s">
        <v>47</v>
      </c>
      <c r="E300" s="32" t="s">
        <v>56</v>
      </c>
      <c r="F300" s="34">
        <v>350</v>
      </c>
      <c r="G300" s="35" t="s">
        <v>347</v>
      </c>
      <c r="H300" s="37" cm="1">
        <f t="array" ref="H300">IFERROR(SUMPRODUCT(Tracking[Amount], --(Tracking[Date]&lt;=Tracking[[#This Row],[Date]]), (Tracking[Type]&lt;&gt;"Income") * (-1) + (Tracking[Type]="Income")), "-")</f>
        <v>7097</v>
      </c>
      <c r="I300" s="95">
        <f>IF(AND(Tracking[[#This Row],[Type]]="Income", shift_late_income_status="Active", DAY(Tracking[[#This Row],[Date]])&gt;=shift_late_income_starting_day),
      DATE(YEAR(Tracking[[#This Row],[Date]]), MONTH(Tracking[[#This Row],[Date]])+1, 1),
      Tracking[[#This Row],[Date]])</f>
        <v>45738</v>
      </c>
    </row>
    <row r="301" spans="3:9" hidden="1" outlineLevel="1" x14ac:dyDescent="0.2">
      <c r="C301" s="94">
        <v>45738</v>
      </c>
      <c r="D301" s="32" t="s">
        <v>47</v>
      </c>
      <c r="E301" s="32" t="s">
        <v>49</v>
      </c>
      <c r="F301" s="34">
        <v>53</v>
      </c>
      <c r="G301" s="35" t="s">
        <v>348</v>
      </c>
      <c r="H301" s="37" cm="1">
        <f t="array" ref="H301">IFERROR(SUMPRODUCT(Tracking[Amount], --(Tracking[Date]&lt;=Tracking[[#This Row],[Date]]), (Tracking[Type]&lt;&gt;"Income") * (-1) + (Tracking[Type]="Income")), "-")</f>
        <v>7097</v>
      </c>
      <c r="I301" s="95">
        <f>IF(AND(Tracking[[#This Row],[Type]]="Income", shift_late_income_status="Active", DAY(Tracking[[#This Row],[Date]])&gt;=shift_late_income_starting_day),
      DATE(YEAR(Tracking[[#This Row],[Date]]), MONTH(Tracking[[#This Row],[Date]])+1, 1),
      Tracking[[#This Row],[Date]])</f>
        <v>45738</v>
      </c>
    </row>
    <row r="302" spans="3:9" hidden="1" outlineLevel="1" x14ac:dyDescent="0.2">
      <c r="C302" s="94">
        <v>45738</v>
      </c>
      <c r="D302" s="32" t="s">
        <v>47</v>
      </c>
      <c r="E302" s="32" t="s">
        <v>60</v>
      </c>
      <c r="F302" s="34">
        <v>10</v>
      </c>
      <c r="G302" s="35" t="s">
        <v>349</v>
      </c>
      <c r="H302" s="37" cm="1">
        <f t="array" ref="H302">IFERROR(SUMPRODUCT(Tracking[Amount], --(Tracking[Date]&lt;=Tracking[[#This Row],[Date]]), (Tracking[Type]&lt;&gt;"Income") * (-1) + (Tracking[Type]="Income")), "-")</f>
        <v>7097</v>
      </c>
      <c r="I302" s="95">
        <f>IF(AND(Tracking[[#This Row],[Type]]="Income", shift_late_income_status="Active", DAY(Tracking[[#This Row],[Date]])&gt;=shift_late_income_starting_day),
      DATE(YEAR(Tracking[[#This Row],[Date]]), MONTH(Tracking[[#This Row],[Date]])+1, 1),
      Tracking[[#This Row],[Date]])</f>
        <v>45738</v>
      </c>
    </row>
    <row r="303" spans="3:9" hidden="1" outlineLevel="1" x14ac:dyDescent="0.2">
      <c r="C303" s="94">
        <v>45738</v>
      </c>
      <c r="D303" s="32" t="s">
        <v>47</v>
      </c>
      <c r="E303" s="32" t="s">
        <v>51</v>
      </c>
      <c r="F303" s="34">
        <v>16</v>
      </c>
      <c r="G303" s="35" t="s">
        <v>350</v>
      </c>
      <c r="H303" s="37" cm="1">
        <f t="array" ref="H303">IFERROR(SUMPRODUCT(Tracking[Amount], --(Tracking[Date]&lt;=Tracking[[#This Row],[Date]]), (Tracking[Type]&lt;&gt;"Income") * (-1) + (Tracking[Type]="Income")), "-")</f>
        <v>7097</v>
      </c>
      <c r="I303" s="95">
        <f>IF(AND(Tracking[[#This Row],[Type]]="Income", shift_late_income_status="Active", DAY(Tracking[[#This Row],[Date]])&gt;=shift_late_income_starting_day),
      DATE(YEAR(Tracking[[#This Row],[Date]]), MONTH(Tracking[[#This Row],[Date]])+1, 1),
      Tracking[[#This Row],[Date]])</f>
        <v>45738</v>
      </c>
    </row>
    <row r="304" spans="3:9" hidden="1" outlineLevel="1" x14ac:dyDescent="0.2">
      <c r="C304" s="94">
        <v>45738</v>
      </c>
      <c r="D304" s="32" t="s">
        <v>47</v>
      </c>
      <c r="E304" s="32" t="s">
        <v>48</v>
      </c>
      <c r="F304" s="34">
        <v>7</v>
      </c>
      <c r="G304" s="35"/>
      <c r="H304" s="37" cm="1">
        <f t="array" ref="H304">IFERROR(SUMPRODUCT(Tracking[Amount], --(Tracking[Date]&lt;=Tracking[[#This Row],[Date]]), (Tracking[Type]&lt;&gt;"Income") * (-1) + (Tracking[Type]="Income")), "-")</f>
        <v>7097</v>
      </c>
      <c r="I304" s="95">
        <f>IF(AND(Tracking[[#This Row],[Type]]="Income", shift_late_income_status="Active", DAY(Tracking[[#This Row],[Date]])&gt;=shift_late_income_starting_day),
      DATE(YEAR(Tracking[[#This Row],[Date]]), MONTH(Tracking[[#This Row],[Date]])+1, 1),
      Tracking[[#This Row],[Date]])</f>
        <v>45738</v>
      </c>
    </row>
    <row r="305" spans="3:9" hidden="1" outlineLevel="1" x14ac:dyDescent="0.2">
      <c r="C305" s="94">
        <v>45738</v>
      </c>
      <c r="D305" s="32" t="s">
        <v>47</v>
      </c>
      <c r="E305" s="32" t="s">
        <v>235</v>
      </c>
      <c r="F305" s="34">
        <v>45</v>
      </c>
      <c r="G305" s="35" t="s">
        <v>301</v>
      </c>
      <c r="H305" s="37" cm="1">
        <f t="array" ref="H305">IFERROR(SUMPRODUCT(Tracking[Amount], --(Tracking[Date]&lt;=Tracking[[#This Row],[Date]]), (Tracking[Type]&lt;&gt;"Income") * (-1) + (Tracking[Type]="Income")), "-")</f>
        <v>7097</v>
      </c>
      <c r="I305" s="95">
        <f>IF(AND(Tracking[[#This Row],[Type]]="Income", shift_late_income_status="Active", DAY(Tracking[[#This Row],[Date]])&gt;=shift_late_income_starting_day),
      DATE(YEAR(Tracking[[#This Row],[Date]]), MONTH(Tracking[[#This Row],[Date]])+1, 1),
      Tracking[[#This Row],[Date]])</f>
        <v>45738</v>
      </c>
    </row>
    <row r="306" spans="3:9" hidden="1" outlineLevel="1" x14ac:dyDescent="0.2">
      <c r="C306" s="94">
        <v>45738</v>
      </c>
      <c r="D306" s="32" t="s">
        <v>47</v>
      </c>
      <c r="E306" s="32" t="s">
        <v>48</v>
      </c>
      <c r="F306" s="34">
        <v>11</v>
      </c>
      <c r="G306" s="35"/>
      <c r="H306" s="37" cm="1">
        <f t="array" ref="H306">IFERROR(SUMPRODUCT(Tracking[Amount], --(Tracking[Date]&lt;=Tracking[[#This Row],[Date]]), (Tracking[Type]&lt;&gt;"Income") * (-1) + (Tracking[Type]="Income")), "-")</f>
        <v>7097</v>
      </c>
      <c r="I306" s="95">
        <f>IF(AND(Tracking[[#This Row],[Type]]="Income", shift_late_income_status="Active", DAY(Tracking[[#This Row],[Date]])&gt;=shift_late_income_starting_day),
      DATE(YEAR(Tracking[[#This Row],[Date]]), MONTH(Tracking[[#This Row],[Date]])+1, 1),
      Tracking[[#This Row],[Date]])</f>
        <v>45738</v>
      </c>
    </row>
    <row r="307" spans="3:9" hidden="1" outlineLevel="1" x14ac:dyDescent="0.2">
      <c r="C307" s="94">
        <v>45738</v>
      </c>
      <c r="D307" s="32" t="s">
        <v>47</v>
      </c>
      <c r="E307" s="32" t="s">
        <v>60</v>
      </c>
      <c r="F307" s="34">
        <v>7</v>
      </c>
      <c r="G307" s="35" t="s">
        <v>351</v>
      </c>
      <c r="H307" s="37" cm="1">
        <f t="array" ref="H307">IFERROR(SUMPRODUCT(Tracking[Amount], --(Tracking[Date]&lt;=Tracking[[#This Row],[Date]]), (Tracking[Type]&lt;&gt;"Income") * (-1) + (Tracking[Type]="Income")), "-")</f>
        <v>7097</v>
      </c>
      <c r="I307" s="95">
        <f>IF(AND(Tracking[[#This Row],[Type]]="Income", shift_late_income_status="Active", DAY(Tracking[[#This Row],[Date]])&gt;=shift_late_income_starting_day),
      DATE(YEAR(Tracking[[#This Row],[Date]]), MONTH(Tracking[[#This Row],[Date]])+1, 1),
      Tracking[[#This Row],[Date]])</f>
        <v>45738</v>
      </c>
    </row>
    <row r="308" spans="3:9" hidden="1" outlineLevel="1" x14ac:dyDescent="0.2">
      <c r="C308" s="94">
        <v>45738</v>
      </c>
      <c r="D308" s="32" t="s">
        <v>47</v>
      </c>
      <c r="E308" s="32" t="s">
        <v>59</v>
      </c>
      <c r="F308" s="34">
        <v>10</v>
      </c>
      <c r="G308" s="35" t="s">
        <v>353</v>
      </c>
      <c r="H308" s="37" cm="1">
        <f t="array" ref="H308">IFERROR(SUMPRODUCT(Tracking[Amount], --(Tracking[Date]&lt;=Tracking[[#This Row],[Date]]), (Tracking[Type]&lt;&gt;"Income") * (-1) + (Tracking[Type]="Income")), "-")</f>
        <v>7097</v>
      </c>
      <c r="I308" s="95">
        <f>IF(AND(Tracking[[#This Row],[Type]]="Income", shift_late_income_status="Active", DAY(Tracking[[#This Row],[Date]])&gt;=shift_late_income_starting_day),
      DATE(YEAR(Tracking[[#This Row],[Date]]), MONTH(Tracking[[#This Row],[Date]])+1, 1),
      Tracking[[#This Row],[Date]])</f>
        <v>45738</v>
      </c>
    </row>
    <row r="309" spans="3:9" hidden="1" outlineLevel="1" x14ac:dyDescent="0.2">
      <c r="C309" s="94">
        <v>45739</v>
      </c>
      <c r="D309" s="32" t="s">
        <v>47</v>
      </c>
      <c r="E309" s="32" t="s">
        <v>58</v>
      </c>
      <c r="F309" s="34">
        <v>280</v>
      </c>
      <c r="G309" s="35" t="s">
        <v>127</v>
      </c>
      <c r="H309" s="37" cm="1">
        <f t="array" ref="H309">IFERROR(SUMPRODUCT(Tracking[Amount], --(Tracking[Date]&lt;=Tracking[[#This Row],[Date]]), (Tracking[Type]&lt;&gt;"Income") * (-1) + (Tracking[Type]="Income")), "-")</f>
        <v>6817</v>
      </c>
      <c r="I309" s="95">
        <f>IF(AND(Tracking[[#This Row],[Type]]="Income", shift_late_income_status="Active", DAY(Tracking[[#This Row],[Date]])&gt;=shift_late_income_starting_day),
      DATE(YEAR(Tracking[[#This Row],[Date]]), MONTH(Tracking[[#This Row],[Date]])+1, 1),
      Tracking[[#This Row],[Date]])</f>
        <v>45739</v>
      </c>
    </row>
    <row r="310" spans="3:9" hidden="1" outlineLevel="1" x14ac:dyDescent="0.2">
      <c r="C310" s="94">
        <v>45740</v>
      </c>
      <c r="D310" s="32" t="s">
        <v>47</v>
      </c>
      <c r="E310" s="32" t="s">
        <v>59</v>
      </c>
      <c r="F310" s="34">
        <v>73</v>
      </c>
      <c r="G310" s="35" t="s">
        <v>345</v>
      </c>
      <c r="H310" s="37" cm="1">
        <f t="array" ref="H310">IFERROR(SUMPRODUCT(Tracking[Amount], --(Tracking[Date]&lt;=Tracking[[#This Row],[Date]]), (Tracking[Type]&lt;&gt;"Income") * (-1) + (Tracking[Type]="Income")), "-")</f>
        <v>6674</v>
      </c>
      <c r="I310" s="95">
        <f>IF(AND(Tracking[[#This Row],[Type]]="Income", shift_late_income_status="Active", DAY(Tracking[[#This Row],[Date]])&gt;=shift_late_income_starting_day),
      DATE(YEAR(Tracking[[#This Row],[Date]]), MONTH(Tracking[[#This Row],[Date]])+1, 1),
      Tracking[[#This Row],[Date]])</f>
        <v>45740</v>
      </c>
    </row>
    <row r="311" spans="3:9" hidden="1" outlineLevel="1" x14ac:dyDescent="0.2">
      <c r="C311" s="94">
        <v>45740</v>
      </c>
      <c r="D311" s="32" t="s">
        <v>47</v>
      </c>
      <c r="E311" s="32" t="s">
        <v>59</v>
      </c>
      <c r="F311" s="34">
        <v>15</v>
      </c>
      <c r="G311" s="35" t="s">
        <v>324</v>
      </c>
      <c r="H311" s="37" cm="1">
        <f t="array" ref="H311">IFERROR(SUMPRODUCT(Tracking[Amount], --(Tracking[Date]&lt;=Tracking[[#This Row],[Date]]), (Tracking[Type]&lt;&gt;"Income") * (-1) + (Tracking[Type]="Income")), "-")</f>
        <v>6674</v>
      </c>
      <c r="I311" s="95">
        <f>IF(AND(Tracking[[#This Row],[Type]]="Income", shift_late_income_status="Active", DAY(Tracking[[#This Row],[Date]])&gt;=shift_late_income_starting_day),
      DATE(YEAR(Tracking[[#This Row],[Date]]), MONTH(Tracking[[#This Row],[Date]])+1, 1),
      Tracking[[#This Row],[Date]])</f>
        <v>45740</v>
      </c>
    </row>
    <row r="312" spans="3:9" hidden="1" outlineLevel="1" x14ac:dyDescent="0.2">
      <c r="C312" s="94">
        <v>45740</v>
      </c>
      <c r="D312" s="32" t="s">
        <v>47</v>
      </c>
      <c r="E312" s="32" t="s">
        <v>49</v>
      </c>
      <c r="F312" s="34">
        <v>55</v>
      </c>
      <c r="G312" s="35" t="s">
        <v>262</v>
      </c>
      <c r="H312" s="37" cm="1">
        <f t="array" ref="H312">IFERROR(SUMPRODUCT(Tracking[Amount], --(Tracking[Date]&lt;=Tracking[[#This Row],[Date]]), (Tracking[Type]&lt;&gt;"Income") * (-1) + (Tracking[Type]="Income")), "-")</f>
        <v>6674</v>
      </c>
      <c r="I312" s="95">
        <f>IF(AND(Tracking[[#This Row],[Type]]="Income", shift_late_income_status="Active", DAY(Tracking[[#This Row],[Date]])&gt;=shift_late_income_starting_day),
      DATE(YEAR(Tracking[[#This Row],[Date]]), MONTH(Tracking[[#This Row],[Date]])+1, 1),
      Tracking[[#This Row],[Date]])</f>
        <v>45740</v>
      </c>
    </row>
    <row r="313" spans="3:9" hidden="1" outlineLevel="1" x14ac:dyDescent="0.2">
      <c r="C313" s="94">
        <v>45741</v>
      </c>
      <c r="D313" s="32" t="s">
        <v>62</v>
      </c>
      <c r="E313" s="32" t="s">
        <v>62</v>
      </c>
      <c r="F313" s="34">
        <v>372</v>
      </c>
      <c r="G313" s="35"/>
      <c r="H313" s="37" cm="1">
        <f t="array" ref="H313">IFERROR(SUMPRODUCT(Tracking[Amount], --(Tracking[Date]&lt;=Tracking[[#This Row],[Date]]), (Tracking[Type]&lt;&gt;"Income") * (-1) + (Tracking[Type]="Income")), "-")</f>
        <v>5552</v>
      </c>
      <c r="I313" s="95">
        <f>IF(AND(Tracking[[#This Row],[Type]]="Income", shift_late_income_status="Active", DAY(Tracking[[#This Row],[Date]])&gt;=shift_late_income_starting_day),
      DATE(YEAR(Tracking[[#This Row],[Date]]), MONTH(Tracking[[#This Row],[Date]])+1, 1),
      Tracking[[#This Row],[Date]])</f>
        <v>45741</v>
      </c>
    </row>
    <row r="314" spans="3:9" hidden="1" outlineLevel="1" x14ac:dyDescent="0.2">
      <c r="C314" s="94">
        <v>45741</v>
      </c>
      <c r="D314" s="32" t="s">
        <v>62</v>
      </c>
      <c r="E314" s="32" t="s">
        <v>64</v>
      </c>
      <c r="F314" s="34">
        <v>200</v>
      </c>
      <c r="G314" s="35"/>
      <c r="H314" s="37" cm="1">
        <f t="array" ref="H314">IFERROR(SUMPRODUCT(Tracking[Amount], --(Tracking[Date]&lt;=Tracking[[#This Row],[Date]]), (Tracking[Type]&lt;&gt;"Income") * (-1) + (Tracking[Type]="Income")), "-")</f>
        <v>5552</v>
      </c>
      <c r="I314" s="95">
        <f>IF(AND(Tracking[[#This Row],[Type]]="Income", shift_late_income_status="Active", DAY(Tracking[[#This Row],[Date]])&gt;=shift_late_income_starting_day),
      DATE(YEAR(Tracking[[#This Row],[Date]]), MONTH(Tracking[[#This Row],[Date]])+1, 1),
      Tracking[[#This Row],[Date]])</f>
        <v>45741</v>
      </c>
    </row>
    <row r="315" spans="3:9" hidden="1" outlineLevel="1" x14ac:dyDescent="0.2">
      <c r="C315" s="94">
        <v>45741</v>
      </c>
      <c r="D315" s="32" t="s">
        <v>47</v>
      </c>
      <c r="E315" s="32" t="s">
        <v>58</v>
      </c>
      <c r="F315" s="34">
        <v>81</v>
      </c>
      <c r="G315" s="35" t="s">
        <v>276</v>
      </c>
      <c r="H315" s="37" cm="1">
        <f t="array" ref="H315">IFERROR(SUMPRODUCT(Tracking[Amount], --(Tracking[Date]&lt;=Tracking[[#This Row],[Date]]), (Tracking[Type]&lt;&gt;"Income") * (-1) + (Tracking[Type]="Income")), "-")</f>
        <v>5552</v>
      </c>
      <c r="I315" s="95">
        <f>IF(AND(Tracking[[#This Row],[Type]]="Income", shift_late_income_status="Active", DAY(Tracking[[#This Row],[Date]])&gt;=shift_late_income_starting_day),
      DATE(YEAR(Tracking[[#This Row],[Date]]), MONTH(Tracking[[#This Row],[Date]])+1, 1),
      Tracking[[#This Row],[Date]])</f>
        <v>45741</v>
      </c>
    </row>
    <row r="316" spans="3:9" hidden="1" outlineLevel="1" x14ac:dyDescent="0.2">
      <c r="C316" s="94">
        <v>45741</v>
      </c>
      <c r="D316" s="32" t="s">
        <v>47</v>
      </c>
      <c r="E316" s="32" t="s">
        <v>51</v>
      </c>
      <c r="F316" s="34">
        <v>117</v>
      </c>
      <c r="G316" s="35" t="s">
        <v>354</v>
      </c>
      <c r="H316" s="37" cm="1">
        <f t="array" ref="H316">IFERROR(SUMPRODUCT(Tracking[Amount], --(Tracking[Date]&lt;=Tracking[[#This Row],[Date]]), (Tracking[Type]&lt;&gt;"Income") * (-1) + (Tracking[Type]="Income")), "-")</f>
        <v>5552</v>
      </c>
      <c r="I316" s="95">
        <f>IF(AND(Tracking[[#This Row],[Type]]="Income", shift_late_income_status="Active", DAY(Tracking[[#This Row],[Date]])&gt;=shift_late_income_starting_day),
      DATE(YEAR(Tracking[[#This Row],[Date]]), MONTH(Tracking[[#This Row],[Date]])+1, 1),
      Tracking[[#This Row],[Date]])</f>
        <v>45741</v>
      </c>
    </row>
    <row r="317" spans="3:9" hidden="1" outlineLevel="1" x14ac:dyDescent="0.2">
      <c r="C317" s="94">
        <v>45741</v>
      </c>
      <c r="D317" s="32" t="s">
        <v>47</v>
      </c>
      <c r="E317" s="32" t="s">
        <v>54</v>
      </c>
      <c r="F317" s="34">
        <v>163</v>
      </c>
      <c r="G317" s="35" t="s">
        <v>304</v>
      </c>
      <c r="H317" s="37" cm="1">
        <f t="array" ref="H317">IFERROR(SUMPRODUCT(Tracking[Amount], --(Tracking[Date]&lt;=Tracking[[#This Row],[Date]]), (Tracking[Type]&lt;&gt;"Income") * (-1) + (Tracking[Type]="Income")), "-")</f>
        <v>5552</v>
      </c>
      <c r="I317" s="95">
        <f>IF(AND(Tracking[[#This Row],[Type]]="Income", shift_late_income_status="Active", DAY(Tracking[[#This Row],[Date]])&gt;=shift_late_income_starting_day),
      DATE(YEAR(Tracking[[#This Row],[Date]]), MONTH(Tracking[[#This Row],[Date]])+1, 1),
      Tracking[[#This Row],[Date]])</f>
        <v>45741</v>
      </c>
    </row>
    <row r="318" spans="3:9" hidden="1" outlineLevel="1" x14ac:dyDescent="0.2">
      <c r="C318" s="94">
        <v>45741</v>
      </c>
      <c r="D318" s="32" t="s">
        <v>47</v>
      </c>
      <c r="E318" s="32" t="s">
        <v>49</v>
      </c>
      <c r="F318" s="34">
        <v>105</v>
      </c>
      <c r="G318" s="35" t="s">
        <v>343</v>
      </c>
      <c r="H318" s="37" cm="1">
        <f t="array" ref="H318">IFERROR(SUMPRODUCT(Tracking[Amount], --(Tracking[Date]&lt;=Tracking[[#This Row],[Date]]), (Tracking[Type]&lt;&gt;"Income") * (-1) + (Tracking[Type]="Income")), "-")</f>
        <v>5552</v>
      </c>
      <c r="I318" s="95">
        <f>IF(AND(Tracking[[#This Row],[Type]]="Income", shift_late_income_status="Active", DAY(Tracking[[#This Row],[Date]])&gt;=shift_late_income_starting_day),
      DATE(YEAR(Tracking[[#This Row],[Date]]), MONTH(Tracking[[#This Row],[Date]])+1, 1),
      Tracking[[#This Row],[Date]])</f>
        <v>45741</v>
      </c>
    </row>
    <row r="319" spans="3:9" hidden="1" outlineLevel="1" x14ac:dyDescent="0.2">
      <c r="C319" s="94">
        <v>45741</v>
      </c>
      <c r="D319" s="32" t="s">
        <v>47</v>
      </c>
      <c r="E319" s="32" t="s">
        <v>48</v>
      </c>
      <c r="F319" s="34">
        <v>6</v>
      </c>
      <c r="G319" s="35" t="s">
        <v>325</v>
      </c>
      <c r="H319" s="37" cm="1">
        <f t="array" ref="H319">IFERROR(SUMPRODUCT(Tracking[Amount], --(Tracking[Date]&lt;=Tracking[[#This Row],[Date]]), (Tracking[Type]&lt;&gt;"Income") * (-1) + (Tracking[Type]="Income")), "-")</f>
        <v>5552</v>
      </c>
      <c r="I319" s="95">
        <f>IF(AND(Tracking[[#This Row],[Type]]="Income", shift_late_income_status="Active", DAY(Tracking[[#This Row],[Date]])&gt;=shift_late_income_starting_day),
      DATE(YEAR(Tracking[[#This Row],[Date]]), MONTH(Tracking[[#This Row],[Date]])+1, 1),
      Tracking[[#This Row],[Date]])</f>
        <v>45741</v>
      </c>
    </row>
    <row r="320" spans="3:9" hidden="1" outlineLevel="1" x14ac:dyDescent="0.2">
      <c r="C320" s="94">
        <v>45741</v>
      </c>
      <c r="D320" s="32" t="s">
        <v>62</v>
      </c>
      <c r="E320" s="32" t="s">
        <v>63</v>
      </c>
      <c r="F320" s="34">
        <v>78</v>
      </c>
      <c r="G320" s="35"/>
      <c r="H320" s="37" cm="1">
        <f t="array" ref="H320">IFERROR(SUMPRODUCT(Tracking[Amount], --(Tracking[Date]&lt;=Tracking[[#This Row],[Date]]), (Tracking[Type]&lt;&gt;"Income") * (-1) + (Tracking[Type]="Income")), "-")</f>
        <v>5552</v>
      </c>
      <c r="I320" s="95">
        <f>IF(AND(Tracking[[#This Row],[Type]]="Income", shift_late_income_status="Active", DAY(Tracking[[#This Row],[Date]])&gt;=shift_late_income_starting_day),
      DATE(YEAR(Tracking[[#This Row],[Date]]), MONTH(Tracking[[#This Row],[Date]])+1, 1),
      Tracking[[#This Row],[Date]])</f>
        <v>45741</v>
      </c>
    </row>
    <row r="321" spans="3:9" hidden="1" outlineLevel="1" x14ac:dyDescent="0.2">
      <c r="C321" s="94">
        <v>45742</v>
      </c>
      <c r="D321" s="32" t="s">
        <v>47</v>
      </c>
      <c r="E321" s="32" t="s">
        <v>59</v>
      </c>
      <c r="F321" s="34">
        <v>16</v>
      </c>
      <c r="G321" s="35" t="s">
        <v>141</v>
      </c>
      <c r="H321" s="37" cm="1">
        <f t="array" ref="H321">IFERROR(SUMPRODUCT(Tracking[Amount], --(Tracking[Date]&lt;=Tracking[[#This Row],[Date]]), (Tracking[Type]&lt;&gt;"Income") * (-1) + (Tracking[Type]="Income")), "-")</f>
        <v>5813</v>
      </c>
      <c r="I321" s="95">
        <f>IF(AND(Tracking[[#This Row],[Type]]="Income", shift_late_income_status="Active", DAY(Tracking[[#This Row],[Date]])&gt;=shift_late_income_starting_day),
      DATE(YEAR(Tracking[[#This Row],[Date]]), MONTH(Tracking[[#This Row],[Date]])+1, 1),
      Tracking[[#This Row],[Date]])</f>
        <v>45742</v>
      </c>
    </row>
    <row r="322" spans="3:9" hidden="1" outlineLevel="1" x14ac:dyDescent="0.2">
      <c r="C322" s="94">
        <v>45742</v>
      </c>
      <c r="D322" s="32" t="s">
        <v>47</v>
      </c>
      <c r="E322" s="32" t="s">
        <v>56</v>
      </c>
      <c r="F322" s="34">
        <v>860</v>
      </c>
      <c r="G322" s="35" t="s">
        <v>347</v>
      </c>
      <c r="H322" s="37" cm="1">
        <f t="array" ref="H322">IFERROR(SUMPRODUCT(Tracking[Amount], --(Tracking[Date]&lt;=Tracking[[#This Row],[Date]]), (Tracking[Type]&lt;&gt;"Income") * (-1) + (Tracking[Type]="Income")), "-")</f>
        <v>5813</v>
      </c>
      <c r="I322" s="95">
        <f>IF(AND(Tracking[[#This Row],[Type]]="Income", shift_late_income_status="Active", DAY(Tracking[[#This Row],[Date]])&gt;=shift_late_income_starting_day),
      DATE(YEAR(Tracking[[#This Row],[Date]]), MONTH(Tracking[[#This Row],[Date]])+1, 1),
      Tracking[[#This Row],[Date]])</f>
        <v>45742</v>
      </c>
    </row>
    <row r="323" spans="3:9" hidden="1" outlineLevel="1" x14ac:dyDescent="0.2">
      <c r="C323" s="94">
        <v>45742</v>
      </c>
      <c r="D323" s="32" t="s">
        <v>47</v>
      </c>
      <c r="E323" s="32" t="s">
        <v>48</v>
      </c>
      <c r="F323" s="34">
        <v>43</v>
      </c>
      <c r="G323" s="35" t="s">
        <v>239</v>
      </c>
      <c r="H323" s="37" cm="1">
        <f t="array" ref="H323">IFERROR(SUMPRODUCT(Tracking[Amount], --(Tracking[Date]&lt;=Tracking[[#This Row],[Date]]), (Tracking[Type]&lt;&gt;"Income") * (-1) + (Tracking[Type]="Income")), "-")</f>
        <v>5813</v>
      </c>
      <c r="I323" s="95">
        <f>IF(AND(Tracking[[#This Row],[Type]]="Income", shift_late_income_status="Active", DAY(Tracking[[#This Row],[Date]])&gt;=shift_late_income_starting_day),
      DATE(YEAR(Tracking[[#This Row],[Date]]), MONTH(Tracking[[#This Row],[Date]])+1, 1),
      Tracking[[#This Row],[Date]])</f>
        <v>45742</v>
      </c>
    </row>
    <row r="324" spans="3:9" hidden="1" outlineLevel="1" x14ac:dyDescent="0.2">
      <c r="C324" s="94">
        <v>45742</v>
      </c>
      <c r="D324" s="32" t="s">
        <v>40</v>
      </c>
      <c r="E324" s="32" t="s">
        <v>44</v>
      </c>
      <c r="F324" s="34">
        <v>1180</v>
      </c>
      <c r="G324" s="35" t="s">
        <v>357</v>
      </c>
      <c r="H324" s="37" cm="1">
        <f t="array" ref="H324">IFERROR(SUMPRODUCT(Tracking[Amount], --(Tracking[Date]&lt;=Tracking[[#This Row],[Date]]), (Tracking[Type]&lt;&gt;"Income") * (-1) + (Tracking[Type]="Income")), "-")</f>
        <v>5813</v>
      </c>
      <c r="I324" s="95">
        <f>IF(AND(Tracking[[#This Row],[Type]]="Income", shift_late_income_status="Active", DAY(Tracking[[#This Row],[Date]])&gt;=shift_late_income_starting_day),
      DATE(YEAR(Tracking[[#This Row],[Date]]), MONTH(Tracking[[#This Row],[Date]])+1, 1),
      Tracking[[#This Row],[Date]])</f>
        <v>45742</v>
      </c>
    </row>
    <row r="325" spans="3:9" hidden="1" outlineLevel="1" x14ac:dyDescent="0.2">
      <c r="C325" s="94">
        <v>45743</v>
      </c>
      <c r="D325" s="32" t="s">
        <v>47</v>
      </c>
      <c r="E325" s="32" t="s">
        <v>57</v>
      </c>
      <c r="F325" s="34">
        <v>1955</v>
      </c>
      <c r="G325" s="35" t="s">
        <v>355</v>
      </c>
      <c r="H325" s="37" cm="1">
        <f t="array" ref="H325">IFERROR(SUMPRODUCT(Tracking[Amount], --(Tracking[Date]&lt;=Tracking[[#This Row],[Date]]), (Tracking[Type]&lt;&gt;"Income") * (-1) + (Tracking[Type]="Income")), "-")</f>
        <v>2533</v>
      </c>
      <c r="I325" s="95">
        <f>IF(AND(Tracking[[#This Row],[Type]]="Income", shift_late_income_status="Active", DAY(Tracking[[#This Row],[Date]])&gt;=shift_late_income_starting_day),
      DATE(YEAR(Tracking[[#This Row],[Date]]), MONTH(Tracking[[#This Row],[Date]])+1, 1),
      Tracking[[#This Row],[Date]])</f>
        <v>45743</v>
      </c>
    </row>
    <row r="326" spans="3:9" hidden="1" outlineLevel="1" x14ac:dyDescent="0.2">
      <c r="C326" s="94">
        <v>45743</v>
      </c>
      <c r="D326" s="32" t="s">
        <v>47</v>
      </c>
      <c r="E326" s="32" t="s">
        <v>51</v>
      </c>
      <c r="F326" s="34">
        <v>26</v>
      </c>
      <c r="G326" s="35" t="s">
        <v>356</v>
      </c>
      <c r="H326" s="37" cm="1">
        <f t="array" ref="H326">IFERROR(SUMPRODUCT(Tracking[Amount], --(Tracking[Date]&lt;=Tracking[[#This Row],[Date]]), (Tracking[Type]&lt;&gt;"Income") * (-1) + (Tracking[Type]="Income")), "-")</f>
        <v>2533</v>
      </c>
      <c r="I326" s="95">
        <f>IF(AND(Tracking[[#This Row],[Type]]="Income", shift_late_income_status="Active", DAY(Tracking[[#This Row],[Date]])&gt;=shift_late_income_starting_day),
      DATE(YEAR(Tracking[[#This Row],[Date]]), MONTH(Tracking[[#This Row],[Date]])+1, 1),
      Tracking[[#This Row],[Date]])</f>
        <v>45743</v>
      </c>
    </row>
    <row r="327" spans="3:9" hidden="1" outlineLevel="1" x14ac:dyDescent="0.2">
      <c r="C327" s="94">
        <v>45743</v>
      </c>
      <c r="D327" s="32" t="s">
        <v>47</v>
      </c>
      <c r="E327" s="32" t="s">
        <v>48</v>
      </c>
      <c r="F327" s="34">
        <v>12</v>
      </c>
      <c r="G327" s="35"/>
      <c r="H327" s="37" cm="1">
        <f t="array" ref="H327">IFERROR(SUMPRODUCT(Tracking[Amount], --(Tracking[Date]&lt;=Tracking[[#This Row],[Date]]), (Tracking[Type]&lt;&gt;"Income") * (-1) + (Tracking[Type]="Income")), "-")</f>
        <v>2533</v>
      </c>
      <c r="I327" s="95">
        <f>IF(AND(Tracking[[#This Row],[Type]]="Income", shift_late_income_status="Active", DAY(Tracking[[#This Row],[Date]])&gt;=shift_late_income_starting_day),
      DATE(YEAR(Tracking[[#This Row],[Date]]), MONTH(Tracking[[#This Row],[Date]])+1, 1),
      Tracking[[#This Row],[Date]])</f>
        <v>45743</v>
      </c>
    </row>
    <row r="328" spans="3:9" hidden="1" outlineLevel="1" x14ac:dyDescent="0.2">
      <c r="C328" s="94">
        <v>45743</v>
      </c>
      <c r="D328" s="32" t="s">
        <v>47</v>
      </c>
      <c r="E328" s="32" t="s">
        <v>52</v>
      </c>
      <c r="F328" s="34">
        <v>27</v>
      </c>
      <c r="G328" s="35" t="s">
        <v>358</v>
      </c>
      <c r="H328" s="37" cm="1">
        <f t="array" ref="H328">IFERROR(SUMPRODUCT(Tracking[Amount], --(Tracking[Date]&lt;=Tracking[[#This Row],[Date]]), (Tracking[Type]&lt;&gt;"Income") * (-1) + (Tracking[Type]="Income")), "-")</f>
        <v>2533</v>
      </c>
      <c r="I328" s="95">
        <f>IF(AND(Tracking[[#This Row],[Type]]="Income", shift_late_income_status="Active", DAY(Tracking[[#This Row],[Date]])&gt;=shift_late_income_starting_day),
      DATE(YEAR(Tracking[[#This Row],[Date]]), MONTH(Tracking[[#This Row],[Date]])+1, 1),
      Tracking[[#This Row],[Date]])</f>
        <v>45743</v>
      </c>
    </row>
    <row r="329" spans="3:9" hidden="1" outlineLevel="1" x14ac:dyDescent="0.2">
      <c r="C329" s="94">
        <v>45743</v>
      </c>
      <c r="D329" s="32" t="s">
        <v>47</v>
      </c>
      <c r="E329" s="32" t="s">
        <v>57</v>
      </c>
      <c r="F329" s="34">
        <v>1260</v>
      </c>
      <c r="G329" s="35"/>
      <c r="H329" s="37" cm="1">
        <f t="array" ref="H329">IFERROR(SUMPRODUCT(Tracking[Amount], --(Tracking[Date]&lt;=Tracking[[#This Row],[Date]]), (Tracking[Type]&lt;&gt;"Income") * (-1) + (Tracking[Type]="Income")), "-")</f>
        <v>2533</v>
      </c>
      <c r="I329" s="95">
        <f>IF(AND(Tracking[[#This Row],[Type]]="Income", shift_late_income_status="Active", DAY(Tracking[[#This Row],[Date]])&gt;=shift_late_income_starting_day),
      DATE(YEAR(Tracking[[#This Row],[Date]]), MONTH(Tracking[[#This Row],[Date]])+1, 1),
      Tracking[[#This Row],[Date]])</f>
        <v>45743</v>
      </c>
    </row>
    <row r="330" spans="3:9" hidden="1" outlineLevel="1" x14ac:dyDescent="0.2">
      <c r="C330" s="94">
        <v>45744</v>
      </c>
      <c r="D330" s="32" t="s">
        <v>47</v>
      </c>
      <c r="E330" s="32" t="s">
        <v>58</v>
      </c>
      <c r="F330" s="34">
        <v>39</v>
      </c>
      <c r="G330" s="35" t="s">
        <v>285</v>
      </c>
      <c r="H330" s="37" cm="1">
        <f t="array" ref="H330">IFERROR(SUMPRODUCT(Tracking[Amount], --(Tracking[Date]&lt;=Tracking[[#This Row],[Date]]), (Tracking[Type]&lt;&gt;"Income") * (-1) + (Tracking[Type]="Income")), "-")</f>
        <v>2472</v>
      </c>
      <c r="I330" s="95">
        <f>IF(AND(Tracking[[#This Row],[Type]]="Income", shift_late_income_status="Active", DAY(Tracking[[#This Row],[Date]])&gt;=shift_late_income_starting_day),
      DATE(YEAR(Tracking[[#This Row],[Date]]), MONTH(Tracking[[#This Row],[Date]])+1, 1),
      Tracking[[#This Row],[Date]])</f>
        <v>45744</v>
      </c>
    </row>
    <row r="331" spans="3:9" hidden="1" outlineLevel="1" x14ac:dyDescent="0.2">
      <c r="C331" s="94">
        <v>45744</v>
      </c>
      <c r="D331" s="32" t="s">
        <v>47</v>
      </c>
      <c r="E331" s="32" t="s">
        <v>48</v>
      </c>
      <c r="F331" s="34">
        <v>22</v>
      </c>
      <c r="G331" s="35"/>
      <c r="H331" s="37" cm="1">
        <f t="array" ref="H331">IFERROR(SUMPRODUCT(Tracking[Amount], --(Tracking[Date]&lt;=Tracking[[#This Row],[Date]]), (Tracking[Type]&lt;&gt;"Income") * (-1) + (Tracking[Type]="Income")), "-")</f>
        <v>2472</v>
      </c>
      <c r="I331" s="95">
        <f>IF(AND(Tracking[[#This Row],[Type]]="Income", shift_late_income_status="Active", DAY(Tracking[[#This Row],[Date]])&gt;=shift_late_income_starting_day),
      DATE(YEAR(Tracking[[#This Row],[Date]]), MONTH(Tracking[[#This Row],[Date]])+1, 1),
      Tracking[[#This Row],[Date]])</f>
        <v>45744</v>
      </c>
    </row>
    <row r="332" spans="3:9" hidden="1" outlineLevel="1" x14ac:dyDescent="0.2">
      <c r="C332" s="94">
        <v>45745</v>
      </c>
      <c r="D332" s="32" t="s">
        <v>47</v>
      </c>
      <c r="E332" s="32" t="s">
        <v>49</v>
      </c>
      <c r="F332" s="34">
        <v>110</v>
      </c>
      <c r="G332" s="35" t="s">
        <v>359</v>
      </c>
      <c r="H332" s="37" cm="1">
        <f t="array" ref="H332">IFERROR(SUMPRODUCT(Tracking[Amount], --(Tracking[Date]&lt;=Tracking[[#This Row],[Date]]), (Tracking[Type]&lt;&gt;"Income") * (-1) + (Tracking[Type]="Income")), "-")</f>
        <v>1738</v>
      </c>
      <c r="I332" s="95">
        <f>IF(AND(Tracking[[#This Row],[Type]]="Income", shift_late_income_status="Active", DAY(Tracking[[#This Row],[Date]])&gt;=shift_late_income_starting_day),
      DATE(YEAR(Tracking[[#This Row],[Date]]), MONTH(Tracking[[#This Row],[Date]])+1, 1),
      Tracking[[#This Row],[Date]])</f>
        <v>45745</v>
      </c>
    </row>
    <row r="333" spans="3:9" hidden="1" outlineLevel="1" x14ac:dyDescent="0.2">
      <c r="C333" s="94">
        <v>45745</v>
      </c>
      <c r="D333" s="32" t="s">
        <v>47</v>
      </c>
      <c r="E333" s="32" t="s">
        <v>56</v>
      </c>
      <c r="F333" s="34">
        <v>327</v>
      </c>
      <c r="G333" s="35" t="s">
        <v>245</v>
      </c>
      <c r="H333" s="37" cm="1">
        <f t="array" ref="H333">IFERROR(SUMPRODUCT(Tracking[Amount], --(Tracking[Date]&lt;=Tracking[[#This Row],[Date]]), (Tracking[Type]&lt;&gt;"Income") * (-1) + (Tracking[Type]="Income")), "-")</f>
        <v>1738</v>
      </c>
      <c r="I333" s="95">
        <f>IF(AND(Tracking[[#This Row],[Type]]="Income", shift_late_income_status="Active", DAY(Tracking[[#This Row],[Date]])&gt;=shift_late_income_starting_day),
      DATE(YEAR(Tracking[[#This Row],[Date]]), MONTH(Tracking[[#This Row],[Date]])+1, 1),
      Tracking[[#This Row],[Date]])</f>
        <v>45745</v>
      </c>
    </row>
    <row r="334" spans="3:9" hidden="1" outlineLevel="1" x14ac:dyDescent="0.2">
      <c r="C334" s="94">
        <v>45745</v>
      </c>
      <c r="D334" s="32" t="s">
        <v>47</v>
      </c>
      <c r="E334" s="32" t="s">
        <v>48</v>
      </c>
      <c r="F334" s="34">
        <v>39</v>
      </c>
      <c r="G334" s="35"/>
      <c r="H334" s="37" cm="1">
        <f t="array" ref="H334">IFERROR(SUMPRODUCT(Tracking[Amount], --(Tracking[Date]&lt;=Tracking[[#This Row],[Date]]), (Tracking[Type]&lt;&gt;"Income") * (-1) + (Tracking[Type]="Income")), "-")</f>
        <v>1738</v>
      </c>
      <c r="I334" s="95">
        <f>IF(AND(Tracking[[#This Row],[Type]]="Income", shift_late_income_status="Active", DAY(Tracking[[#This Row],[Date]])&gt;=shift_late_income_starting_day),
      DATE(YEAR(Tracking[[#This Row],[Date]]), MONTH(Tracking[[#This Row],[Date]])+1, 1),
      Tracking[[#This Row],[Date]])</f>
        <v>45745</v>
      </c>
    </row>
    <row r="335" spans="3:9" hidden="1" outlineLevel="1" x14ac:dyDescent="0.2">
      <c r="C335" s="94">
        <v>45745</v>
      </c>
      <c r="D335" s="32" t="s">
        <v>47</v>
      </c>
      <c r="E335" s="32" t="s">
        <v>53</v>
      </c>
      <c r="F335" s="34">
        <v>193</v>
      </c>
      <c r="G335" s="35" t="s">
        <v>360</v>
      </c>
      <c r="H335" s="37" cm="1">
        <f t="array" ref="H335">IFERROR(SUMPRODUCT(Tracking[Amount], --(Tracking[Date]&lt;=Tracking[[#This Row],[Date]]), (Tracking[Type]&lt;&gt;"Income") * (-1) + (Tracking[Type]="Income")), "-")</f>
        <v>1738</v>
      </c>
      <c r="I335" s="95">
        <f>IF(AND(Tracking[[#This Row],[Type]]="Income", shift_late_income_status="Active", DAY(Tracking[[#This Row],[Date]])&gt;=shift_late_income_starting_day),
      DATE(YEAR(Tracking[[#This Row],[Date]]), MONTH(Tracking[[#This Row],[Date]])+1, 1),
      Tracking[[#This Row],[Date]])</f>
        <v>45745</v>
      </c>
    </row>
    <row r="336" spans="3:9" hidden="1" outlineLevel="1" x14ac:dyDescent="0.2">
      <c r="C336" s="94">
        <v>45745</v>
      </c>
      <c r="D336" s="32" t="s">
        <v>47</v>
      </c>
      <c r="E336" s="32" t="s">
        <v>44</v>
      </c>
      <c r="F336" s="34">
        <v>60</v>
      </c>
      <c r="G336" s="35" t="s">
        <v>361</v>
      </c>
      <c r="H336" s="37" cm="1">
        <f t="array" ref="H336">IFERROR(SUMPRODUCT(Tracking[Amount], --(Tracking[Date]&lt;=Tracking[[#This Row],[Date]]), (Tracking[Type]&lt;&gt;"Income") * (-1) + (Tracking[Type]="Income")), "-")</f>
        <v>1738</v>
      </c>
      <c r="I336" s="95">
        <f>IF(AND(Tracking[[#This Row],[Type]]="Income", shift_late_income_status="Active", DAY(Tracking[[#This Row],[Date]])&gt;=shift_late_income_starting_day),
      DATE(YEAR(Tracking[[#This Row],[Date]]), MONTH(Tracking[[#This Row],[Date]])+1, 1),
      Tracking[[#This Row],[Date]])</f>
        <v>45745</v>
      </c>
    </row>
    <row r="337" spans="3:9" hidden="1" outlineLevel="1" x14ac:dyDescent="0.2">
      <c r="C337" s="94">
        <v>45745</v>
      </c>
      <c r="D337" s="32" t="s">
        <v>47</v>
      </c>
      <c r="E337" s="32" t="s">
        <v>60</v>
      </c>
      <c r="F337" s="34">
        <v>5</v>
      </c>
      <c r="G337" s="35" t="s">
        <v>338</v>
      </c>
      <c r="H337" s="37" cm="1">
        <f t="array" ref="H337">IFERROR(SUMPRODUCT(Tracking[Amount], --(Tracking[Date]&lt;=Tracking[[#This Row],[Date]]), (Tracking[Type]&lt;&gt;"Income") * (-1) + (Tracking[Type]="Income")), "-")</f>
        <v>1738</v>
      </c>
      <c r="I337" s="95">
        <f>IF(AND(Tracking[[#This Row],[Type]]="Income", shift_late_income_status="Active", DAY(Tracking[[#This Row],[Date]])&gt;=shift_late_income_starting_day),
      DATE(YEAR(Tracking[[#This Row],[Date]]), MONTH(Tracking[[#This Row],[Date]])+1, 1),
      Tracking[[#This Row],[Date]])</f>
        <v>45745</v>
      </c>
    </row>
    <row r="338" spans="3:9" hidden="1" outlineLevel="1" x14ac:dyDescent="0.2">
      <c r="C338" s="94">
        <v>45746</v>
      </c>
      <c r="D338" s="32" t="s">
        <v>47</v>
      </c>
      <c r="E338" s="32" t="s">
        <v>48</v>
      </c>
      <c r="F338" s="34">
        <v>11</v>
      </c>
      <c r="G338" s="35"/>
      <c r="H338" s="37" cm="1">
        <f t="array" ref="H338">IFERROR(SUMPRODUCT(Tracking[Amount], --(Tracking[Date]&lt;=Tracking[[#This Row],[Date]]), (Tracking[Type]&lt;&gt;"Income") * (-1) + (Tracking[Type]="Income")), "-")</f>
        <v>1727</v>
      </c>
      <c r="I338" s="95">
        <f>IF(AND(Tracking[[#This Row],[Type]]="Income", shift_late_income_status="Active", DAY(Tracking[[#This Row],[Date]])&gt;=shift_late_income_starting_day),
      DATE(YEAR(Tracking[[#This Row],[Date]]), MONTH(Tracking[[#This Row],[Date]])+1, 1),
      Tracking[[#This Row],[Date]])</f>
        <v>45746</v>
      </c>
    </row>
    <row r="339" spans="3:9" hidden="1" outlineLevel="1" x14ac:dyDescent="0.2">
      <c r="C339" s="94">
        <v>45747</v>
      </c>
      <c r="D339" s="32" t="s">
        <v>47</v>
      </c>
      <c r="E339" s="32" t="s">
        <v>44</v>
      </c>
      <c r="F339" s="34">
        <v>143</v>
      </c>
      <c r="G339" s="35" t="s">
        <v>362</v>
      </c>
      <c r="H339" s="37" cm="1">
        <f t="array" ref="H339">IFERROR(SUMPRODUCT(Tracking[Amount], --(Tracking[Date]&lt;=Tracking[[#This Row],[Date]]), (Tracking[Type]&lt;&gt;"Income") * (-1) + (Tracking[Type]="Income")), "-")</f>
        <v>1023</v>
      </c>
      <c r="I339" s="95">
        <f>IF(AND(Tracking[[#This Row],[Type]]="Income", shift_late_income_status="Active", DAY(Tracking[[#This Row],[Date]])&gt;=shift_late_income_starting_day),
      DATE(YEAR(Tracking[[#This Row],[Date]]), MONTH(Tracking[[#This Row],[Date]])+1, 1),
      Tracking[[#This Row],[Date]])</f>
        <v>45747</v>
      </c>
    </row>
    <row r="340" spans="3:9" hidden="1" outlineLevel="1" collapsed="1" x14ac:dyDescent="0.2">
      <c r="C340" s="94">
        <v>45747</v>
      </c>
      <c r="D340" s="32" t="s">
        <v>47</v>
      </c>
      <c r="E340" s="32" t="s">
        <v>48</v>
      </c>
      <c r="F340" s="34">
        <v>31</v>
      </c>
      <c r="G340" s="35"/>
      <c r="H340" s="37" cm="1">
        <f t="array" ref="H340">IFERROR(SUMPRODUCT(Tracking[Amount], --(Tracking[Date]&lt;=Tracking[[#This Row],[Date]]), (Tracking[Type]&lt;&gt;"Income") * (-1) + (Tracking[Type]="Income")), "-")</f>
        <v>1023</v>
      </c>
      <c r="I340" s="95">
        <f>IF(AND(Tracking[[#This Row],[Type]]="Income", shift_late_income_status="Active", DAY(Tracking[[#This Row],[Date]])&gt;=shift_late_income_starting_day),
      DATE(YEAR(Tracking[[#This Row],[Date]]), MONTH(Tracking[[#This Row],[Date]])+1, 1),
      Tracking[[#This Row],[Date]])</f>
        <v>45747</v>
      </c>
    </row>
    <row r="341" spans="3:9" hidden="1" outlineLevel="1" x14ac:dyDescent="0.2">
      <c r="C341" s="94">
        <v>45747</v>
      </c>
      <c r="D341" s="32" t="s">
        <v>62</v>
      </c>
      <c r="E341" s="32" t="s">
        <v>62</v>
      </c>
      <c r="F341" s="34">
        <v>530</v>
      </c>
      <c r="G341" s="35"/>
      <c r="H341" s="37" cm="1">
        <f t="array" ref="H341">IFERROR(SUMPRODUCT(Tracking[Amount], --(Tracking[Date]&lt;=Tracking[[#This Row],[Date]]), (Tracking[Type]&lt;&gt;"Income") * (-1) + (Tracking[Type]="Income")), "-")</f>
        <v>1023</v>
      </c>
      <c r="I341" s="95">
        <f>IF(AND(Tracking[[#This Row],[Type]]="Income", shift_late_income_status="Active", DAY(Tracking[[#This Row],[Date]])&gt;=shift_late_income_starting_day),
      DATE(YEAR(Tracking[[#This Row],[Date]]), MONTH(Tracking[[#This Row],[Date]])+1, 1),
      Tracking[[#This Row],[Date]])</f>
        <v>45747</v>
      </c>
    </row>
    <row r="342" spans="3:9" collapsed="1" x14ac:dyDescent="0.2">
      <c r="C342" s="94">
        <v>45748</v>
      </c>
      <c r="D342" s="32" t="s">
        <v>40</v>
      </c>
      <c r="E342" s="32" t="s">
        <v>41</v>
      </c>
      <c r="F342" s="34">
        <v>7500</v>
      </c>
      <c r="G342" s="35"/>
      <c r="H342" s="37" cm="1">
        <f t="array" ref="H342">IFERROR(SUMPRODUCT(Tracking[Amount], --(Tracking[Date]&lt;=Tracking[[#This Row],[Date]]), (Tracking[Type]&lt;&gt;"Income") * (-1) + (Tracking[Type]="Income")), "-")</f>
        <v>7566</v>
      </c>
      <c r="I342" s="95">
        <f>IF(AND(Tracking[[#This Row],[Type]]="Income", shift_late_income_status="Active", DAY(Tracking[[#This Row],[Date]])&gt;=shift_late_income_starting_day),
      DATE(YEAR(Tracking[[#This Row],[Date]]), MONTH(Tracking[[#This Row],[Date]])+1, 1),
      Tracking[[#This Row],[Date]])</f>
        <v>45748</v>
      </c>
    </row>
    <row r="343" spans="3:9" hidden="1" outlineLevel="1" x14ac:dyDescent="0.2">
      <c r="C343" s="94">
        <v>45748</v>
      </c>
      <c r="D343" s="32" t="s">
        <v>47</v>
      </c>
      <c r="E343" s="32" t="s">
        <v>59</v>
      </c>
      <c r="F343" s="34">
        <v>60</v>
      </c>
      <c r="G343" s="35" t="s">
        <v>295</v>
      </c>
      <c r="H343" s="37" cm="1">
        <f t="array" ref="H343">IFERROR(SUMPRODUCT(Tracking[Amount], --(Tracking[Date]&lt;=Tracking[[#This Row],[Date]]), (Tracking[Type]&lt;&gt;"Income") * (-1) + (Tracking[Type]="Income")), "-")</f>
        <v>7566</v>
      </c>
      <c r="I343" s="95">
        <f>IF(AND(Tracking[[#This Row],[Type]]="Income", shift_late_income_status="Active", DAY(Tracking[[#This Row],[Date]])&gt;=shift_late_income_starting_day),
      DATE(YEAR(Tracking[[#This Row],[Date]]), MONTH(Tracking[[#This Row],[Date]])+1, 1),
      Tracking[[#This Row],[Date]])</f>
        <v>45748</v>
      </c>
    </row>
    <row r="344" spans="3:9" hidden="1" outlineLevel="1" x14ac:dyDescent="0.2">
      <c r="C344" s="94">
        <v>45748</v>
      </c>
      <c r="D344" s="32" t="s">
        <v>47</v>
      </c>
      <c r="E344" s="32" t="s">
        <v>60</v>
      </c>
      <c r="F344" s="34">
        <v>10</v>
      </c>
      <c r="G344" s="35" t="s">
        <v>351</v>
      </c>
      <c r="H344" s="37" cm="1">
        <f t="array" ref="H344">IFERROR(SUMPRODUCT(Tracking[Amount], --(Tracking[Date]&lt;=Tracking[[#This Row],[Date]]), (Tracking[Type]&lt;&gt;"Income") * (-1) + (Tracking[Type]="Income")), "-")</f>
        <v>7566</v>
      </c>
      <c r="I344" s="95">
        <f>IF(AND(Tracking[[#This Row],[Type]]="Income", shift_late_income_status="Active", DAY(Tracking[[#This Row],[Date]])&gt;=shift_late_income_starting_day),
      DATE(YEAR(Tracking[[#This Row],[Date]]), MONTH(Tracking[[#This Row],[Date]])+1, 1),
      Tracking[[#This Row],[Date]])</f>
        <v>45748</v>
      </c>
    </row>
    <row r="345" spans="3:9" hidden="1" outlineLevel="1" x14ac:dyDescent="0.2">
      <c r="C345" s="94">
        <v>45748</v>
      </c>
      <c r="D345" s="32" t="s">
        <v>47</v>
      </c>
      <c r="E345" s="32" t="s">
        <v>49</v>
      </c>
      <c r="F345" s="34">
        <v>18</v>
      </c>
      <c r="G345" s="35" t="s">
        <v>363</v>
      </c>
      <c r="H345" s="37" cm="1">
        <f t="array" ref="H345">IFERROR(SUMPRODUCT(Tracking[Amount], --(Tracking[Date]&lt;=Tracking[[#This Row],[Date]]), (Tracking[Type]&lt;&gt;"Income") * (-1) + (Tracking[Type]="Income")), "-")</f>
        <v>7566</v>
      </c>
      <c r="I345" s="95">
        <f>IF(AND(Tracking[[#This Row],[Type]]="Income", shift_late_income_status="Active", DAY(Tracking[[#This Row],[Date]])&gt;=shift_late_income_starting_day),
      DATE(YEAR(Tracking[[#This Row],[Date]]), MONTH(Tracking[[#This Row],[Date]])+1, 1),
      Tracking[[#This Row],[Date]])</f>
        <v>45748</v>
      </c>
    </row>
    <row r="346" spans="3:9" hidden="1" outlineLevel="1" x14ac:dyDescent="0.2">
      <c r="C346" s="94">
        <v>45748</v>
      </c>
      <c r="D346" s="32" t="s">
        <v>47</v>
      </c>
      <c r="E346" s="32" t="s">
        <v>48</v>
      </c>
      <c r="F346" s="34">
        <v>23</v>
      </c>
      <c r="G346" s="35"/>
      <c r="H346" s="37" cm="1">
        <f t="array" ref="H346">IFERROR(SUMPRODUCT(Tracking[Amount], --(Tracking[Date]&lt;=Tracking[[#This Row],[Date]]), (Tracking[Type]&lt;&gt;"Income") * (-1) + (Tracking[Type]="Income")), "-")</f>
        <v>7566</v>
      </c>
      <c r="I346" s="95">
        <f>IF(AND(Tracking[[#This Row],[Type]]="Income", shift_late_income_status="Active", DAY(Tracking[[#This Row],[Date]])&gt;=shift_late_income_starting_day),
      DATE(YEAR(Tracking[[#This Row],[Date]]), MONTH(Tracking[[#This Row],[Date]])+1, 1),
      Tracking[[#This Row],[Date]])</f>
        <v>45748</v>
      </c>
    </row>
    <row r="347" spans="3:9" hidden="1" outlineLevel="1" x14ac:dyDescent="0.2">
      <c r="C347" s="94">
        <v>45748</v>
      </c>
      <c r="D347" s="32" t="s">
        <v>47</v>
      </c>
      <c r="E347" s="32" t="s">
        <v>235</v>
      </c>
      <c r="F347" s="34">
        <v>44</v>
      </c>
      <c r="G347" s="35" t="s">
        <v>301</v>
      </c>
      <c r="H347" s="37" cm="1">
        <f t="array" ref="H347">IFERROR(SUMPRODUCT(Tracking[Amount], --(Tracking[Date]&lt;=Tracking[[#This Row],[Date]]), (Tracking[Type]&lt;&gt;"Income") * (-1) + (Tracking[Type]="Income")), "-")</f>
        <v>7566</v>
      </c>
      <c r="I347" s="95">
        <f>IF(AND(Tracking[[#This Row],[Type]]="Income", shift_late_income_status="Active", DAY(Tracking[[#This Row],[Date]])&gt;=shift_late_income_starting_day),
      DATE(YEAR(Tracking[[#This Row],[Date]]), MONTH(Tracking[[#This Row],[Date]])+1, 1),
      Tracking[[#This Row],[Date]])</f>
        <v>45748</v>
      </c>
    </row>
    <row r="348" spans="3:9" hidden="1" outlineLevel="1" x14ac:dyDescent="0.2">
      <c r="C348" s="94">
        <v>45748</v>
      </c>
      <c r="D348" s="32" t="s">
        <v>47</v>
      </c>
      <c r="E348" s="32" t="s">
        <v>51</v>
      </c>
      <c r="F348" s="34">
        <v>55</v>
      </c>
      <c r="G348" s="35" t="s">
        <v>302</v>
      </c>
      <c r="H348" s="37" cm="1">
        <f t="array" ref="H348">IFERROR(SUMPRODUCT(Tracking[Amount], --(Tracking[Date]&lt;=Tracking[[#This Row],[Date]]), (Tracking[Type]&lt;&gt;"Income") * (-1) + (Tracking[Type]="Income")), "-")</f>
        <v>7566</v>
      </c>
      <c r="I348" s="95">
        <f>IF(AND(Tracking[[#This Row],[Type]]="Income", shift_late_income_status="Active", DAY(Tracking[[#This Row],[Date]])&gt;=shift_late_income_starting_day),
      DATE(YEAR(Tracking[[#This Row],[Date]]), MONTH(Tracking[[#This Row],[Date]])+1, 1),
      Tracking[[#This Row],[Date]])</f>
        <v>45748</v>
      </c>
    </row>
    <row r="349" spans="3:9" hidden="1" outlineLevel="1" x14ac:dyDescent="0.2">
      <c r="C349" s="94">
        <v>45748</v>
      </c>
      <c r="D349" s="32" t="s">
        <v>47</v>
      </c>
      <c r="E349" s="32" t="s">
        <v>52</v>
      </c>
      <c r="F349" s="34">
        <v>145</v>
      </c>
      <c r="G349" s="35" t="s">
        <v>302</v>
      </c>
      <c r="H349" s="37" cm="1">
        <f t="array" ref="H349">IFERROR(SUMPRODUCT(Tracking[Amount], --(Tracking[Date]&lt;=Tracking[[#This Row],[Date]]), (Tracking[Type]&lt;&gt;"Income") * (-1) + (Tracking[Type]="Income")), "-")</f>
        <v>7566</v>
      </c>
      <c r="I349" s="95">
        <f>IF(AND(Tracking[[#This Row],[Type]]="Income", shift_late_income_status="Active", DAY(Tracking[[#This Row],[Date]])&gt;=shift_late_income_starting_day),
      DATE(YEAR(Tracking[[#This Row],[Date]]), MONTH(Tracking[[#This Row],[Date]])+1, 1),
      Tracking[[#This Row],[Date]])</f>
        <v>45748</v>
      </c>
    </row>
    <row r="350" spans="3:9" hidden="1" outlineLevel="1" x14ac:dyDescent="0.2">
      <c r="C350" s="94">
        <v>45748</v>
      </c>
      <c r="D350" s="32" t="s">
        <v>47</v>
      </c>
      <c r="E350" s="32" t="s">
        <v>56</v>
      </c>
      <c r="F350" s="34">
        <v>602</v>
      </c>
      <c r="G350" s="35" t="s">
        <v>347</v>
      </c>
      <c r="H350" s="37" cm="1">
        <f t="array" ref="H350">IFERROR(SUMPRODUCT(Tracking[Amount], --(Tracking[Date]&lt;=Tracking[[#This Row],[Date]]), (Tracking[Type]&lt;&gt;"Income") * (-1) + (Tracking[Type]="Income")), "-")</f>
        <v>7566</v>
      </c>
      <c r="I350" s="95">
        <f>IF(AND(Tracking[[#This Row],[Type]]="Income", shift_late_income_status="Active", DAY(Tracking[[#This Row],[Date]])&gt;=shift_late_income_starting_day),
      DATE(YEAR(Tracking[[#This Row],[Date]]), MONTH(Tracking[[#This Row],[Date]])+1, 1),
      Tracking[[#This Row],[Date]])</f>
        <v>45748</v>
      </c>
    </row>
    <row r="351" spans="3:9" hidden="1" outlineLevel="1" x14ac:dyDescent="0.2">
      <c r="C351" s="94">
        <v>45749</v>
      </c>
      <c r="D351" s="32" t="s">
        <v>47</v>
      </c>
      <c r="E351" s="32" t="s">
        <v>51</v>
      </c>
      <c r="F351" s="34">
        <v>156</v>
      </c>
      <c r="G351" s="35" t="s">
        <v>364</v>
      </c>
      <c r="H351" s="37" cm="1">
        <f t="array" ref="H351">IFERROR(SUMPRODUCT(Tracking[Amount], --(Tracking[Date]&lt;=Tracking[[#This Row],[Date]]), (Tracking[Type]&lt;&gt;"Income") * (-1) + (Tracking[Type]="Income")), "-")</f>
        <v>7385</v>
      </c>
      <c r="I351" s="95">
        <f>IF(AND(Tracking[[#This Row],[Type]]="Income", shift_late_income_status="Active", DAY(Tracking[[#This Row],[Date]])&gt;=shift_late_income_starting_day),
      DATE(YEAR(Tracking[[#This Row],[Date]]), MONTH(Tracking[[#This Row],[Date]])+1, 1),
      Tracking[[#This Row],[Date]])</f>
        <v>45749</v>
      </c>
    </row>
    <row r="352" spans="3:9" hidden="1" outlineLevel="1" x14ac:dyDescent="0.2">
      <c r="C352" s="94">
        <v>45749</v>
      </c>
      <c r="D352" s="32" t="s">
        <v>47</v>
      </c>
      <c r="E352" s="32" t="s">
        <v>48</v>
      </c>
      <c r="F352" s="34">
        <v>11</v>
      </c>
      <c r="G352" s="35"/>
      <c r="H352" s="37" cm="1">
        <f t="array" ref="H352">IFERROR(SUMPRODUCT(Tracking[Amount], --(Tracking[Date]&lt;=Tracking[[#This Row],[Date]]), (Tracking[Type]&lt;&gt;"Income") * (-1) + (Tracking[Type]="Income")), "-")</f>
        <v>7385</v>
      </c>
      <c r="I352" s="95">
        <f>IF(AND(Tracking[[#This Row],[Type]]="Income", shift_late_income_status="Active", DAY(Tracking[[#This Row],[Date]])&gt;=shift_late_income_starting_day),
      DATE(YEAR(Tracking[[#This Row],[Date]]), MONTH(Tracking[[#This Row],[Date]])+1, 1),
      Tracking[[#This Row],[Date]])</f>
        <v>45749</v>
      </c>
    </row>
    <row r="353" spans="3:9" hidden="1" outlineLevel="1" x14ac:dyDescent="0.2">
      <c r="C353" s="94">
        <v>45749</v>
      </c>
      <c r="D353" s="32" t="s">
        <v>47</v>
      </c>
      <c r="E353" s="32" t="s">
        <v>59</v>
      </c>
      <c r="F353" s="34">
        <v>14</v>
      </c>
      <c r="G353" s="35" t="s">
        <v>352</v>
      </c>
      <c r="H353" s="37" cm="1">
        <f t="array" ref="H353">IFERROR(SUMPRODUCT(Tracking[Amount], --(Tracking[Date]&lt;=Tracking[[#This Row],[Date]]), (Tracking[Type]&lt;&gt;"Income") * (-1) + (Tracking[Type]="Income")), "-")</f>
        <v>7385</v>
      </c>
      <c r="I353" s="95">
        <f>IF(AND(Tracking[[#This Row],[Type]]="Income", shift_late_income_status="Active", DAY(Tracking[[#This Row],[Date]])&gt;=shift_late_income_starting_day),
      DATE(YEAR(Tracking[[#This Row],[Date]]), MONTH(Tracking[[#This Row],[Date]])+1, 1),
      Tracking[[#This Row],[Date]])</f>
        <v>45749</v>
      </c>
    </row>
    <row r="354" spans="3:9" hidden="1" outlineLevel="1" x14ac:dyDescent="0.2">
      <c r="C354" s="94">
        <v>45750</v>
      </c>
      <c r="D354" s="32" t="s">
        <v>47</v>
      </c>
      <c r="E354" s="32" t="s">
        <v>58</v>
      </c>
      <c r="F354" s="34">
        <v>119</v>
      </c>
      <c r="G354" s="35" t="s">
        <v>300</v>
      </c>
      <c r="H354" s="37" cm="1">
        <f t="array" ref="H354">IFERROR(SUMPRODUCT(Tracking[Amount], --(Tracking[Date]&lt;=Tracking[[#This Row],[Date]]), (Tracking[Type]&lt;&gt;"Income") * (-1) + (Tracking[Type]="Income")), "-")</f>
        <v>7192</v>
      </c>
      <c r="I354" s="95">
        <f>IF(AND(Tracking[[#This Row],[Type]]="Income", shift_late_income_status="Active", DAY(Tracking[[#This Row],[Date]])&gt;=shift_late_income_starting_day),
      DATE(YEAR(Tracking[[#This Row],[Date]]), MONTH(Tracking[[#This Row],[Date]])+1, 1),
      Tracking[[#This Row],[Date]])</f>
        <v>45750</v>
      </c>
    </row>
    <row r="355" spans="3:9" hidden="1" outlineLevel="1" x14ac:dyDescent="0.2">
      <c r="C355" s="94">
        <v>45750</v>
      </c>
      <c r="D355" s="32" t="s">
        <v>47</v>
      </c>
      <c r="E355" s="32" t="s">
        <v>48</v>
      </c>
      <c r="F355" s="34">
        <v>74</v>
      </c>
      <c r="G355" s="35" t="s">
        <v>365</v>
      </c>
      <c r="H355" s="37" cm="1">
        <f t="array" ref="H355">IFERROR(SUMPRODUCT(Tracking[Amount], --(Tracking[Date]&lt;=Tracking[[#This Row],[Date]]), (Tracking[Type]&lt;&gt;"Income") * (-1) + (Tracking[Type]="Income")), "-")</f>
        <v>7192</v>
      </c>
      <c r="I355" s="95">
        <f>IF(AND(Tracking[[#This Row],[Type]]="Income", shift_late_income_status="Active", DAY(Tracking[[#This Row],[Date]])&gt;=shift_late_income_starting_day),
      DATE(YEAR(Tracking[[#This Row],[Date]]), MONTH(Tracking[[#This Row],[Date]])+1, 1),
      Tracking[[#This Row],[Date]])</f>
        <v>45750</v>
      </c>
    </row>
    <row r="356" spans="3:9" hidden="1" outlineLevel="1" x14ac:dyDescent="0.2">
      <c r="C356" s="94">
        <v>45751</v>
      </c>
      <c r="D356" s="32" t="s">
        <v>47</v>
      </c>
      <c r="E356" s="32" t="s">
        <v>53</v>
      </c>
      <c r="F356" s="34">
        <v>49</v>
      </c>
      <c r="G356" s="35" t="s">
        <v>273</v>
      </c>
      <c r="H356" s="37" cm="1">
        <f t="array" ref="H356">IFERROR(SUMPRODUCT(Tracking[Amount], --(Tracking[Date]&lt;=Tracking[[#This Row],[Date]]), (Tracking[Type]&lt;&gt;"Income") * (-1) + (Tracking[Type]="Income")), "-")</f>
        <v>7006</v>
      </c>
      <c r="I356" s="95">
        <f>IF(AND(Tracking[[#This Row],[Type]]="Income", shift_late_income_status="Active", DAY(Tracking[[#This Row],[Date]])&gt;=shift_late_income_starting_day),
      DATE(YEAR(Tracking[[#This Row],[Date]]), MONTH(Tracking[[#This Row],[Date]])+1, 1),
      Tracking[[#This Row],[Date]])</f>
        <v>45751</v>
      </c>
    </row>
    <row r="357" spans="3:9" hidden="1" outlineLevel="1" x14ac:dyDescent="0.2">
      <c r="C357" s="94">
        <v>45751</v>
      </c>
      <c r="D357" s="32" t="s">
        <v>47</v>
      </c>
      <c r="E357" s="32" t="s">
        <v>48</v>
      </c>
      <c r="F357" s="34">
        <v>40</v>
      </c>
      <c r="G357" s="35" t="s">
        <v>366</v>
      </c>
      <c r="H357" s="37" cm="1">
        <f t="array" ref="H357">IFERROR(SUMPRODUCT(Tracking[Amount], --(Tracking[Date]&lt;=Tracking[[#This Row],[Date]]), (Tracking[Type]&lt;&gt;"Income") * (-1) + (Tracking[Type]="Income")), "-")</f>
        <v>7006</v>
      </c>
      <c r="I357" s="95">
        <f>IF(AND(Tracking[[#This Row],[Type]]="Income", shift_late_income_status="Active", DAY(Tracking[[#This Row],[Date]])&gt;=shift_late_income_starting_day),
      DATE(YEAR(Tracking[[#This Row],[Date]]), MONTH(Tracking[[#This Row],[Date]])+1, 1),
      Tracking[[#This Row],[Date]])</f>
        <v>45751</v>
      </c>
    </row>
    <row r="358" spans="3:9" hidden="1" outlineLevel="1" x14ac:dyDescent="0.2">
      <c r="C358" s="94">
        <v>45751</v>
      </c>
      <c r="D358" s="32" t="s">
        <v>47</v>
      </c>
      <c r="E358" s="32" t="s">
        <v>49</v>
      </c>
      <c r="F358" s="34">
        <v>62</v>
      </c>
      <c r="G358" s="35" t="s">
        <v>367</v>
      </c>
      <c r="H358" s="37" cm="1">
        <f t="array" ref="H358">IFERROR(SUMPRODUCT(Tracking[Amount], --(Tracking[Date]&lt;=Tracking[[#This Row],[Date]]), (Tracking[Type]&lt;&gt;"Income") * (-1) + (Tracking[Type]="Income")), "-")</f>
        <v>7006</v>
      </c>
      <c r="I358" s="95">
        <f>IF(AND(Tracking[[#This Row],[Type]]="Income", shift_late_income_status="Active", DAY(Tracking[[#This Row],[Date]])&gt;=shift_late_income_starting_day),
      DATE(YEAR(Tracking[[#This Row],[Date]]), MONTH(Tracking[[#This Row],[Date]])+1, 1),
      Tracking[[#This Row],[Date]])</f>
        <v>45751</v>
      </c>
    </row>
    <row r="359" spans="3:9" hidden="1" outlineLevel="1" x14ac:dyDescent="0.2">
      <c r="C359" s="94">
        <v>45751</v>
      </c>
      <c r="D359" s="32" t="s">
        <v>47</v>
      </c>
      <c r="E359" s="32" t="s">
        <v>55</v>
      </c>
      <c r="F359" s="34">
        <v>35</v>
      </c>
      <c r="G359" s="35" t="s">
        <v>368</v>
      </c>
      <c r="H359" s="37" cm="1">
        <f t="array" ref="H359">IFERROR(SUMPRODUCT(Tracking[Amount], --(Tracking[Date]&lt;=Tracking[[#This Row],[Date]]), (Tracking[Type]&lt;&gt;"Income") * (-1) + (Tracking[Type]="Income")), "-")</f>
        <v>7006</v>
      </c>
      <c r="I359" s="95">
        <f>IF(AND(Tracking[[#This Row],[Type]]="Income", shift_late_income_status="Active", DAY(Tracking[[#This Row],[Date]])&gt;=shift_late_income_starting_day),
      DATE(YEAR(Tracking[[#This Row],[Date]]), MONTH(Tracking[[#This Row],[Date]])+1, 1),
      Tracking[[#This Row],[Date]])</f>
        <v>45751</v>
      </c>
    </row>
    <row r="360" spans="3:9" hidden="1" outlineLevel="1" x14ac:dyDescent="0.2">
      <c r="C360" s="94">
        <v>45752</v>
      </c>
      <c r="D360" s="32" t="s">
        <v>47</v>
      </c>
      <c r="E360" s="32" t="s">
        <v>48</v>
      </c>
      <c r="F360" s="34">
        <v>125</v>
      </c>
      <c r="G360" s="35" t="s">
        <v>246</v>
      </c>
      <c r="H360" s="37" cm="1">
        <f t="array" ref="H360">IFERROR(SUMPRODUCT(Tracking[Amount], --(Tracking[Date]&lt;=Tracking[[#This Row],[Date]]), (Tracking[Type]&lt;&gt;"Income") * (-1) + (Tracking[Type]="Income")), "-")</f>
        <v>6747</v>
      </c>
      <c r="I360" s="95">
        <f>IF(AND(Tracking[[#This Row],[Type]]="Income", shift_late_income_status="Active", DAY(Tracking[[#This Row],[Date]])&gt;=shift_late_income_starting_day),
      DATE(YEAR(Tracking[[#This Row],[Date]]), MONTH(Tracking[[#This Row],[Date]])+1, 1),
      Tracking[[#This Row],[Date]])</f>
        <v>45752</v>
      </c>
    </row>
    <row r="361" spans="3:9" hidden="1" outlineLevel="1" x14ac:dyDescent="0.2">
      <c r="C361" s="94">
        <v>45752</v>
      </c>
      <c r="D361" s="32" t="s">
        <v>47</v>
      </c>
      <c r="E361" s="32" t="s">
        <v>235</v>
      </c>
      <c r="F361" s="34">
        <v>45</v>
      </c>
      <c r="G361" s="35" t="s">
        <v>369</v>
      </c>
      <c r="H361" s="37" cm="1">
        <f t="array" ref="H361">IFERROR(SUMPRODUCT(Tracking[Amount], --(Tracking[Date]&lt;=Tracking[[#This Row],[Date]]), (Tracking[Type]&lt;&gt;"Income") * (-1) + (Tracking[Type]="Income")), "-")</f>
        <v>6747</v>
      </c>
      <c r="I361" s="95">
        <f>IF(AND(Tracking[[#This Row],[Type]]="Income", shift_late_income_status="Active", DAY(Tracking[[#This Row],[Date]])&gt;=shift_late_income_starting_day),
      DATE(YEAR(Tracking[[#This Row],[Date]]), MONTH(Tracking[[#This Row],[Date]])+1, 1),
      Tracking[[#This Row],[Date]])</f>
        <v>45752</v>
      </c>
    </row>
    <row r="362" spans="3:9" hidden="1" outlineLevel="1" x14ac:dyDescent="0.2">
      <c r="C362" s="94">
        <v>45752</v>
      </c>
      <c r="D362" s="32" t="s">
        <v>47</v>
      </c>
      <c r="E362" s="32" t="s">
        <v>49</v>
      </c>
      <c r="F362" s="34">
        <v>65</v>
      </c>
      <c r="G362" s="35" t="s">
        <v>370</v>
      </c>
      <c r="H362" s="37" cm="1">
        <f t="array" ref="H362">IFERROR(SUMPRODUCT(Tracking[Amount], --(Tracking[Date]&lt;=Tracking[[#This Row],[Date]]), (Tracking[Type]&lt;&gt;"Income") * (-1) + (Tracking[Type]="Income")), "-")</f>
        <v>6747</v>
      </c>
      <c r="I362" s="95">
        <f>IF(AND(Tracking[[#This Row],[Type]]="Income", shift_late_income_status="Active", DAY(Tracking[[#This Row],[Date]])&gt;=shift_late_income_starting_day),
      DATE(YEAR(Tracking[[#This Row],[Date]]), MONTH(Tracking[[#This Row],[Date]])+1, 1),
      Tracking[[#This Row],[Date]])</f>
        <v>45752</v>
      </c>
    </row>
    <row r="363" spans="3:9" hidden="1" outlineLevel="1" x14ac:dyDescent="0.2">
      <c r="C363" s="94">
        <v>45752</v>
      </c>
      <c r="D363" s="32" t="s">
        <v>47</v>
      </c>
      <c r="E363" s="32" t="s">
        <v>60</v>
      </c>
      <c r="F363" s="34">
        <v>24</v>
      </c>
      <c r="G363" s="35" t="s">
        <v>338</v>
      </c>
      <c r="H363" s="37" cm="1">
        <f t="array" ref="H363">IFERROR(SUMPRODUCT(Tracking[Amount], --(Tracking[Date]&lt;=Tracking[[#This Row],[Date]]), (Tracking[Type]&lt;&gt;"Income") * (-1) + (Tracking[Type]="Income")), "-")</f>
        <v>6747</v>
      </c>
      <c r="I363" s="95">
        <f>IF(AND(Tracking[[#This Row],[Type]]="Income", shift_late_income_status="Active", DAY(Tracking[[#This Row],[Date]])&gt;=shift_late_income_starting_day),
      DATE(YEAR(Tracking[[#This Row],[Date]]), MONTH(Tracking[[#This Row],[Date]])+1, 1),
      Tracking[[#This Row],[Date]])</f>
        <v>45752</v>
      </c>
    </row>
    <row r="364" spans="3:9" hidden="1" outlineLevel="1" x14ac:dyDescent="0.2">
      <c r="C364" s="94">
        <v>45753</v>
      </c>
      <c r="D364" s="32" t="s">
        <v>47</v>
      </c>
      <c r="E364" s="32" t="s">
        <v>56</v>
      </c>
      <c r="F364" s="34">
        <v>124</v>
      </c>
      <c r="G364" s="35" t="s">
        <v>372</v>
      </c>
      <c r="H364" s="37" cm="1">
        <f t="array" ref="H364">IFERROR(SUMPRODUCT(Tracking[Amount], --(Tracking[Date]&lt;=Tracking[[#This Row],[Date]]), (Tracking[Type]&lt;&gt;"Income") * (-1) + (Tracking[Type]="Income")), "-")</f>
        <v>6623</v>
      </c>
      <c r="I364" s="95">
        <f>IF(AND(Tracking[[#This Row],[Type]]="Income", shift_late_income_status="Active", DAY(Tracking[[#This Row],[Date]])&gt;=shift_late_income_starting_day),
      DATE(YEAR(Tracking[[#This Row],[Date]]), MONTH(Tracking[[#This Row],[Date]])+1, 1),
      Tracking[[#This Row],[Date]])</f>
        <v>45753</v>
      </c>
    </row>
    <row r="365" spans="3:9" hidden="1" outlineLevel="1" x14ac:dyDescent="0.2">
      <c r="C365" s="94">
        <v>45754</v>
      </c>
      <c r="D365" s="32" t="s">
        <v>47</v>
      </c>
      <c r="E365" s="32" t="s">
        <v>55</v>
      </c>
      <c r="F365" s="34">
        <v>34</v>
      </c>
      <c r="G365" s="35" t="s">
        <v>371</v>
      </c>
      <c r="H365" s="37" cm="1">
        <f t="array" ref="H365">IFERROR(SUMPRODUCT(Tracking[Amount], --(Tracking[Date]&lt;=Tracking[[#This Row],[Date]]), (Tracking[Type]&lt;&gt;"Income") * (-1) + (Tracking[Type]="Income")), "-")</f>
        <v>6589</v>
      </c>
      <c r="I365" s="95">
        <f>IF(AND(Tracking[[#This Row],[Type]]="Income", shift_late_income_status="Active", DAY(Tracking[[#This Row],[Date]])&gt;=shift_late_income_starting_day),
      DATE(YEAR(Tracking[[#This Row],[Date]]), MONTH(Tracking[[#This Row],[Date]])+1, 1),
      Tracking[[#This Row],[Date]])</f>
        <v>45754</v>
      </c>
    </row>
    <row r="366" spans="3:9" hidden="1" outlineLevel="1" x14ac:dyDescent="0.2">
      <c r="C366" s="94">
        <v>45755</v>
      </c>
      <c r="D366" s="32" t="s">
        <v>47</v>
      </c>
      <c r="E366" s="32" t="s">
        <v>56</v>
      </c>
      <c r="F366" s="34">
        <v>20</v>
      </c>
      <c r="G366" s="35" t="s">
        <v>373</v>
      </c>
      <c r="H366" s="37" cm="1">
        <f t="array" ref="H366">IFERROR(SUMPRODUCT(Tracking[Amount], --(Tracking[Date]&lt;=Tracking[[#This Row],[Date]]), (Tracking[Type]&lt;&gt;"Income") * (-1) + (Tracking[Type]="Income")), "-")</f>
        <v>6557</v>
      </c>
      <c r="I366" s="95">
        <f>IF(AND(Tracking[[#This Row],[Type]]="Income", shift_late_income_status="Active", DAY(Tracking[[#This Row],[Date]])&gt;=shift_late_income_starting_day),
      DATE(YEAR(Tracking[[#This Row],[Date]]), MONTH(Tracking[[#This Row],[Date]])+1, 1),
      Tracking[[#This Row],[Date]])</f>
        <v>45755</v>
      </c>
    </row>
    <row r="367" spans="3:9" hidden="1" outlineLevel="1" x14ac:dyDescent="0.2">
      <c r="C367" s="94">
        <v>45755</v>
      </c>
      <c r="D367" s="32" t="s">
        <v>47</v>
      </c>
      <c r="E367" s="32" t="s">
        <v>48</v>
      </c>
      <c r="F367" s="34">
        <v>12</v>
      </c>
      <c r="G367" s="35"/>
      <c r="H367" s="37" cm="1">
        <f t="array" ref="H367">IFERROR(SUMPRODUCT(Tracking[Amount], --(Tracking[Date]&lt;=Tracking[[#This Row],[Date]]), (Tracking[Type]&lt;&gt;"Income") * (-1) + (Tracking[Type]="Income")), "-")</f>
        <v>6557</v>
      </c>
      <c r="I367" s="95">
        <f>IF(AND(Tracking[[#This Row],[Type]]="Income", shift_late_income_status="Active", DAY(Tracking[[#This Row],[Date]])&gt;=shift_late_income_starting_day),
      DATE(YEAR(Tracking[[#This Row],[Date]]), MONTH(Tracking[[#This Row],[Date]])+1, 1),
      Tracking[[#This Row],[Date]])</f>
        <v>45755</v>
      </c>
    </row>
    <row r="368" spans="3:9" hidden="1" outlineLevel="1" x14ac:dyDescent="0.2">
      <c r="C368" s="94">
        <v>45756</v>
      </c>
      <c r="D368" s="32" t="s">
        <v>47</v>
      </c>
      <c r="E368" s="32" t="s">
        <v>59</v>
      </c>
      <c r="F368" s="34">
        <v>13</v>
      </c>
      <c r="G368" s="35" t="s">
        <v>254</v>
      </c>
      <c r="H368" s="37" cm="1">
        <f t="array" ref="H368">IFERROR(SUMPRODUCT(Tracking[Amount], --(Tracking[Date]&lt;=Tracking[[#This Row],[Date]]), (Tracking[Type]&lt;&gt;"Income") * (-1) + (Tracking[Type]="Income")), "-")</f>
        <v>6544</v>
      </c>
      <c r="I368" s="95">
        <f>IF(AND(Tracking[[#This Row],[Type]]="Income", shift_late_income_status="Active", DAY(Tracking[[#This Row],[Date]])&gt;=shift_late_income_starting_day),
      DATE(YEAR(Tracking[[#This Row],[Date]]), MONTH(Tracking[[#This Row],[Date]])+1, 1),
      Tracking[[#This Row],[Date]])</f>
        <v>45756</v>
      </c>
    </row>
    <row r="369" spans="3:9" hidden="1" outlineLevel="1" x14ac:dyDescent="0.2">
      <c r="C369" s="94">
        <v>45757</v>
      </c>
      <c r="D369" s="32" t="s">
        <v>47</v>
      </c>
      <c r="E369" s="32" t="s">
        <v>52</v>
      </c>
      <c r="F369" s="34">
        <v>140</v>
      </c>
      <c r="G369" s="35" t="s">
        <v>260</v>
      </c>
      <c r="H369" s="37" cm="1">
        <f t="array" ref="H369">IFERROR(SUMPRODUCT(Tracking[Amount], --(Tracking[Date]&lt;=Tracking[[#This Row],[Date]]), (Tracking[Type]&lt;&gt;"Income") * (-1) + (Tracking[Type]="Income")), "-")</f>
        <v>6404</v>
      </c>
      <c r="I369" s="95">
        <f>IF(AND(Tracking[[#This Row],[Type]]="Income", shift_late_income_status="Active", DAY(Tracking[[#This Row],[Date]])&gt;=shift_late_income_starting_day),
      DATE(YEAR(Tracking[[#This Row],[Date]]), MONTH(Tracking[[#This Row],[Date]])+1, 1),
      Tracking[[#This Row],[Date]])</f>
        <v>45757</v>
      </c>
    </row>
    <row r="370" spans="3:9" hidden="1" outlineLevel="1" x14ac:dyDescent="0.2">
      <c r="C370" s="94">
        <v>45758</v>
      </c>
      <c r="D370" s="32" t="s">
        <v>47</v>
      </c>
      <c r="E370" s="32" t="s">
        <v>48</v>
      </c>
      <c r="F370" s="34">
        <v>47</v>
      </c>
      <c r="G370" s="35" t="s">
        <v>374</v>
      </c>
      <c r="H370" s="37" cm="1">
        <f t="array" ref="H370">IFERROR(SUMPRODUCT(Tracking[Amount], --(Tracking[Date]&lt;=Tracking[[#This Row],[Date]]), (Tracking[Type]&lt;&gt;"Income") * (-1) + (Tracking[Type]="Income")), "-")</f>
        <v>6357</v>
      </c>
      <c r="I370" s="95">
        <f>IF(AND(Tracking[[#This Row],[Type]]="Income", shift_late_income_status="Active", DAY(Tracking[[#This Row],[Date]])&gt;=shift_late_income_starting_day),
      DATE(YEAR(Tracking[[#This Row],[Date]]), MONTH(Tracking[[#This Row],[Date]])+1, 1),
      Tracking[[#This Row],[Date]])</f>
        <v>45758</v>
      </c>
    </row>
    <row r="371" spans="3:9" hidden="1" outlineLevel="1" x14ac:dyDescent="0.2">
      <c r="C371" s="94">
        <v>45759</v>
      </c>
      <c r="D371" s="32" t="s">
        <v>47</v>
      </c>
      <c r="E371" s="32" t="s">
        <v>48</v>
      </c>
      <c r="F371" s="34">
        <v>26</v>
      </c>
      <c r="G371" s="35"/>
      <c r="H371" s="37" cm="1">
        <f t="array" ref="H371">IFERROR(SUMPRODUCT(Tracking[Amount], --(Tracking[Date]&lt;=Tracking[[#This Row],[Date]]), (Tracking[Type]&lt;&gt;"Income") * (-1) + (Tracking[Type]="Income")), "-")</f>
        <v>6331</v>
      </c>
      <c r="I371" s="95">
        <f>IF(AND(Tracking[[#This Row],[Type]]="Income", shift_late_income_status="Active", DAY(Tracking[[#This Row],[Date]])&gt;=shift_late_income_starting_day),
      DATE(YEAR(Tracking[[#This Row],[Date]]), MONTH(Tracking[[#This Row],[Date]])+1, 1),
      Tracking[[#This Row],[Date]])</f>
        <v>45759</v>
      </c>
    </row>
    <row r="372" spans="3:9" hidden="1" outlineLevel="1" x14ac:dyDescent="0.2">
      <c r="C372" s="94">
        <v>45760</v>
      </c>
      <c r="D372" s="32" t="s">
        <v>47</v>
      </c>
      <c r="E372" s="32" t="s">
        <v>48</v>
      </c>
      <c r="F372" s="34">
        <v>11</v>
      </c>
      <c r="G372" s="35"/>
      <c r="H372" s="37" cm="1">
        <f t="array" ref="H372">IFERROR(SUMPRODUCT(Tracking[Amount], --(Tracking[Date]&lt;=Tracking[[#This Row],[Date]]), (Tracking[Type]&lt;&gt;"Income") * (-1) + (Tracking[Type]="Income")), "-")</f>
        <v>6278</v>
      </c>
      <c r="I372" s="95">
        <f>IF(AND(Tracking[[#This Row],[Type]]="Income", shift_late_income_status="Active", DAY(Tracking[[#This Row],[Date]])&gt;=shift_late_income_starting_day),
      DATE(YEAR(Tracking[[#This Row],[Date]]), MONTH(Tracking[[#This Row],[Date]])+1, 1),
      Tracking[[#This Row],[Date]])</f>
        <v>45760</v>
      </c>
    </row>
    <row r="373" spans="3:9" hidden="1" outlineLevel="1" x14ac:dyDescent="0.2">
      <c r="C373" s="94">
        <v>45760</v>
      </c>
      <c r="D373" s="32" t="s">
        <v>47</v>
      </c>
      <c r="E373" s="32" t="s">
        <v>44</v>
      </c>
      <c r="F373" s="34">
        <v>42</v>
      </c>
      <c r="G373" s="35" t="s">
        <v>268</v>
      </c>
      <c r="H373" s="37" cm="1">
        <f t="array" ref="H373">IFERROR(SUMPRODUCT(Tracking[Amount], --(Tracking[Date]&lt;=Tracking[[#This Row],[Date]]), (Tracking[Type]&lt;&gt;"Income") * (-1) + (Tracking[Type]="Income")), "-")</f>
        <v>6278</v>
      </c>
      <c r="I373" s="95">
        <f>IF(AND(Tracking[[#This Row],[Type]]="Income", shift_late_income_status="Active", DAY(Tracking[[#This Row],[Date]])&gt;=shift_late_income_starting_day),
      DATE(YEAR(Tracking[[#This Row],[Date]]), MONTH(Tracking[[#This Row],[Date]])+1, 1),
      Tracking[[#This Row],[Date]])</f>
        <v>45760</v>
      </c>
    </row>
    <row r="374" spans="3:9" hidden="1" outlineLevel="1" x14ac:dyDescent="0.2">
      <c r="C374" s="94">
        <v>45761</v>
      </c>
      <c r="D374" s="32" t="s">
        <v>47</v>
      </c>
      <c r="E374" s="32" t="s">
        <v>49</v>
      </c>
      <c r="F374" s="34">
        <v>66</v>
      </c>
      <c r="G374" s="35" t="s">
        <v>375</v>
      </c>
      <c r="H374" s="37" cm="1">
        <f t="array" ref="H374">IFERROR(SUMPRODUCT(Tracking[Amount], --(Tracking[Date]&lt;=Tracking[[#This Row],[Date]]), (Tracking[Type]&lt;&gt;"Income") * (-1) + (Tracking[Type]="Income")), "-")</f>
        <v>6212</v>
      </c>
      <c r="I374" s="95">
        <f>IF(AND(Tracking[[#This Row],[Type]]="Income", shift_late_income_status="Active", DAY(Tracking[[#This Row],[Date]])&gt;=shift_late_income_starting_day),
      DATE(YEAR(Tracking[[#This Row],[Date]]), MONTH(Tracking[[#This Row],[Date]])+1, 1),
      Tracking[[#This Row],[Date]])</f>
        <v>45761</v>
      </c>
    </row>
    <row r="375" spans="3:9" hidden="1" outlineLevel="1" x14ac:dyDescent="0.2">
      <c r="C375" s="94">
        <v>45762</v>
      </c>
      <c r="D375" s="32" t="s">
        <v>47</v>
      </c>
      <c r="E375" s="32" t="s">
        <v>60</v>
      </c>
      <c r="F375" s="34">
        <v>2</v>
      </c>
      <c r="G375" s="35" t="s">
        <v>340</v>
      </c>
      <c r="H375" s="37" cm="1">
        <f t="array" ref="H375">IFERROR(SUMPRODUCT(Tracking[Amount], --(Tracking[Date]&lt;=Tracking[[#This Row],[Date]]), (Tracking[Type]&lt;&gt;"Income") * (-1) + (Tracking[Type]="Income")), "-")</f>
        <v>6171</v>
      </c>
      <c r="I375" s="95">
        <f>IF(AND(Tracking[[#This Row],[Type]]="Income", shift_late_income_status="Active", DAY(Tracking[[#This Row],[Date]])&gt;=shift_late_income_starting_day),
      DATE(YEAR(Tracking[[#This Row],[Date]]), MONTH(Tracking[[#This Row],[Date]])+1, 1),
      Tracking[[#This Row],[Date]])</f>
        <v>45762</v>
      </c>
    </row>
    <row r="376" spans="3:9" hidden="1" outlineLevel="1" x14ac:dyDescent="0.2">
      <c r="C376" s="94">
        <v>45762</v>
      </c>
      <c r="D376" s="32" t="s">
        <v>47</v>
      </c>
      <c r="E376" s="32" t="s">
        <v>49</v>
      </c>
      <c r="F376" s="34">
        <v>18</v>
      </c>
      <c r="G376" s="35" t="s">
        <v>376</v>
      </c>
      <c r="H376" s="37" cm="1">
        <f t="array" ref="H376">IFERROR(SUMPRODUCT(Tracking[Amount], --(Tracking[Date]&lt;=Tracking[[#This Row],[Date]]), (Tracking[Type]&lt;&gt;"Income") * (-1) + (Tracking[Type]="Income")), "-")</f>
        <v>6171</v>
      </c>
      <c r="I376" s="95">
        <f>IF(AND(Tracking[[#This Row],[Type]]="Income", shift_late_income_status="Active", DAY(Tracking[[#This Row],[Date]])&gt;=shift_late_income_starting_day),
      DATE(YEAR(Tracking[[#This Row],[Date]]), MONTH(Tracking[[#This Row],[Date]])+1, 1),
      Tracking[[#This Row],[Date]])</f>
        <v>45762</v>
      </c>
    </row>
    <row r="377" spans="3:9" hidden="1" outlineLevel="1" x14ac:dyDescent="0.2">
      <c r="C377" s="94">
        <v>45762</v>
      </c>
      <c r="D377" s="32" t="s">
        <v>47</v>
      </c>
      <c r="E377" s="32" t="s">
        <v>44</v>
      </c>
      <c r="F377" s="34">
        <v>3</v>
      </c>
      <c r="G377" s="35" t="s">
        <v>377</v>
      </c>
      <c r="H377" s="37" cm="1">
        <f t="array" ref="H377">IFERROR(SUMPRODUCT(Tracking[Amount], --(Tracking[Date]&lt;=Tracking[[#This Row],[Date]]), (Tracking[Type]&lt;&gt;"Income") * (-1) + (Tracking[Type]="Income")), "-")</f>
        <v>6171</v>
      </c>
      <c r="I377" s="95">
        <f>IF(AND(Tracking[[#This Row],[Type]]="Income", shift_late_income_status="Active", DAY(Tracking[[#This Row],[Date]])&gt;=shift_late_income_starting_day),
      DATE(YEAR(Tracking[[#This Row],[Date]]), MONTH(Tracking[[#This Row],[Date]])+1, 1),
      Tracking[[#This Row],[Date]])</f>
        <v>45762</v>
      </c>
    </row>
    <row r="378" spans="3:9" hidden="1" outlineLevel="1" x14ac:dyDescent="0.2">
      <c r="C378" s="94">
        <v>45762</v>
      </c>
      <c r="D378" s="32" t="s">
        <v>47</v>
      </c>
      <c r="E378" s="32" t="s">
        <v>49</v>
      </c>
      <c r="F378" s="34">
        <v>18</v>
      </c>
      <c r="G378" s="35" t="s">
        <v>334</v>
      </c>
      <c r="H378" s="37" cm="1">
        <f t="array" ref="H378">IFERROR(SUMPRODUCT(Tracking[Amount], --(Tracking[Date]&lt;=Tracking[[#This Row],[Date]]), (Tracking[Type]&lt;&gt;"Income") * (-1) + (Tracking[Type]="Income")), "-")</f>
        <v>6171</v>
      </c>
      <c r="I378" s="95">
        <f>IF(AND(Tracking[[#This Row],[Type]]="Income", shift_late_income_status="Active", DAY(Tracking[[#This Row],[Date]])&gt;=shift_late_income_starting_day),
      DATE(YEAR(Tracking[[#This Row],[Date]]), MONTH(Tracking[[#This Row],[Date]])+1, 1),
      Tracking[[#This Row],[Date]])</f>
        <v>45762</v>
      </c>
    </row>
    <row r="379" spans="3:9" hidden="1" outlineLevel="1" x14ac:dyDescent="0.2">
      <c r="C379" s="94">
        <v>45763</v>
      </c>
      <c r="D379" s="32" t="s">
        <v>47</v>
      </c>
      <c r="E379" s="32" t="s">
        <v>49</v>
      </c>
      <c r="F379" s="34">
        <v>11</v>
      </c>
      <c r="G379" s="35" t="s">
        <v>378</v>
      </c>
      <c r="H379" s="37" cm="1">
        <f t="array" ref="H379">IFERROR(SUMPRODUCT(Tracking[Amount], --(Tracking[Date]&lt;=Tracking[[#This Row],[Date]]), (Tracking[Type]&lt;&gt;"Income") * (-1) + (Tracking[Type]="Income")), "-")</f>
        <v>6068</v>
      </c>
      <c r="I379" s="95">
        <f>IF(AND(Tracking[[#This Row],[Type]]="Income", shift_late_income_status="Active", DAY(Tracking[[#This Row],[Date]])&gt;=shift_late_income_starting_day),
      DATE(YEAR(Tracking[[#This Row],[Date]]), MONTH(Tracking[[#This Row],[Date]])+1, 1),
      Tracking[[#This Row],[Date]])</f>
        <v>45763</v>
      </c>
    </row>
    <row r="380" spans="3:9" hidden="1" outlineLevel="1" x14ac:dyDescent="0.2">
      <c r="C380" s="94">
        <v>45763</v>
      </c>
      <c r="D380" s="32" t="s">
        <v>47</v>
      </c>
      <c r="E380" s="32" t="s">
        <v>60</v>
      </c>
      <c r="F380" s="34">
        <v>6</v>
      </c>
      <c r="G380" s="35" t="s">
        <v>351</v>
      </c>
      <c r="H380" s="37" cm="1">
        <f t="array" ref="H380">IFERROR(SUMPRODUCT(Tracking[Amount], --(Tracking[Date]&lt;=Tracking[[#This Row],[Date]]), (Tracking[Type]&lt;&gt;"Income") * (-1) + (Tracking[Type]="Income")), "-")</f>
        <v>6068</v>
      </c>
      <c r="I380" s="95">
        <f>IF(AND(Tracking[[#This Row],[Type]]="Income", shift_late_income_status="Active", DAY(Tracking[[#This Row],[Date]])&gt;=shift_late_income_starting_day),
      DATE(YEAR(Tracking[[#This Row],[Date]]), MONTH(Tracking[[#This Row],[Date]])+1, 1),
      Tracking[[#This Row],[Date]])</f>
        <v>45763</v>
      </c>
    </row>
    <row r="381" spans="3:9" hidden="1" outlineLevel="1" x14ac:dyDescent="0.2">
      <c r="C381" s="94">
        <v>45763</v>
      </c>
      <c r="D381" s="32" t="s">
        <v>47</v>
      </c>
      <c r="E381" s="32" t="s">
        <v>235</v>
      </c>
      <c r="F381" s="34">
        <v>37</v>
      </c>
      <c r="G381" s="35" t="s">
        <v>301</v>
      </c>
      <c r="H381" s="37" cm="1">
        <f t="array" ref="H381">IFERROR(SUMPRODUCT(Tracking[Amount], --(Tracking[Date]&lt;=Tracking[[#This Row],[Date]]), (Tracking[Type]&lt;&gt;"Income") * (-1) + (Tracking[Type]="Income")), "-")</f>
        <v>6068</v>
      </c>
      <c r="I381" s="95">
        <f>IF(AND(Tracking[[#This Row],[Type]]="Income", shift_late_income_status="Active", DAY(Tracking[[#This Row],[Date]])&gt;=shift_late_income_starting_day),
      DATE(YEAR(Tracking[[#This Row],[Date]]), MONTH(Tracking[[#This Row],[Date]])+1, 1),
      Tracking[[#This Row],[Date]])</f>
        <v>45763</v>
      </c>
    </row>
    <row r="382" spans="3:9" hidden="1" outlineLevel="1" x14ac:dyDescent="0.2">
      <c r="C382" s="94">
        <v>45763</v>
      </c>
      <c r="D382" s="32" t="s">
        <v>47</v>
      </c>
      <c r="E382" s="32" t="s">
        <v>48</v>
      </c>
      <c r="F382" s="34">
        <v>16</v>
      </c>
      <c r="G382" s="35" t="s">
        <v>239</v>
      </c>
      <c r="H382" s="37" cm="1">
        <f t="array" ref="H382">IFERROR(SUMPRODUCT(Tracking[Amount], --(Tracking[Date]&lt;=Tracking[[#This Row],[Date]]), (Tracking[Type]&lt;&gt;"Income") * (-1) + (Tracking[Type]="Income")), "-")</f>
        <v>6068</v>
      </c>
      <c r="I382" s="95">
        <f>IF(AND(Tracking[[#This Row],[Type]]="Income", shift_late_income_status="Active", DAY(Tracking[[#This Row],[Date]])&gt;=shift_late_income_starting_day),
      DATE(YEAR(Tracking[[#This Row],[Date]]), MONTH(Tracking[[#This Row],[Date]])+1, 1),
      Tracking[[#This Row],[Date]])</f>
        <v>45763</v>
      </c>
    </row>
    <row r="383" spans="3:9" hidden="1" outlineLevel="1" x14ac:dyDescent="0.2">
      <c r="C383" s="94">
        <v>45763</v>
      </c>
      <c r="D383" s="32" t="s">
        <v>47</v>
      </c>
      <c r="E383" s="32" t="s">
        <v>55</v>
      </c>
      <c r="F383" s="34">
        <v>33</v>
      </c>
      <c r="G383" s="35" t="s">
        <v>380</v>
      </c>
      <c r="H383" s="37" cm="1">
        <f t="array" ref="H383">IFERROR(SUMPRODUCT(Tracking[Amount], --(Tracking[Date]&lt;=Tracking[[#This Row],[Date]]), (Tracking[Type]&lt;&gt;"Income") * (-1) + (Tracking[Type]="Income")), "-")</f>
        <v>6068</v>
      </c>
      <c r="I383" s="95">
        <f>IF(AND(Tracking[[#This Row],[Type]]="Income", shift_late_income_status="Active", DAY(Tracking[[#This Row],[Date]])&gt;=shift_late_income_starting_day),
      DATE(YEAR(Tracking[[#This Row],[Date]]), MONTH(Tracking[[#This Row],[Date]])+1, 1),
      Tracking[[#This Row],[Date]])</f>
        <v>45763</v>
      </c>
    </row>
    <row r="384" spans="3:9" hidden="1" outlineLevel="1" x14ac:dyDescent="0.2">
      <c r="C384" s="94">
        <v>45764</v>
      </c>
      <c r="D384" s="32" t="s">
        <v>47</v>
      </c>
      <c r="E384" s="32" t="s">
        <v>56</v>
      </c>
      <c r="F384" s="34">
        <v>-1202</v>
      </c>
      <c r="G384" s="35" t="s">
        <v>379</v>
      </c>
      <c r="H384" s="37" cm="1">
        <f t="array" ref="H384">IFERROR(SUMPRODUCT(Tracking[Amount], --(Tracking[Date]&lt;=Tracking[[#This Row],[Date]]), (Tracking[Type]&lt;&gt;"Income") * (-1) + (Tracking[Type]="Income")), "-")</f>
        <v>6656</v>
      </c>
      <c r="I384" s="95">
        <f>IF(AND(Tracking[[#This Row],[Type]]="Income", shift_late_income_status="Active", DAY(Tracking[[#This Row],[Date]])&gt;=shift_late_income_starting_day),
      DATE(YEAR(Tracking[[#This Row],[Date]]), MONTH(Tracking[[#This Row],[Date]])+1, 1),
      Tracking[[#This Row],[Date]])</f>
        <v>45764</v>
      </c>
    </row>
    <row r="385" spans="3:9" hidden="1" outlineLevel="1" x14ac:dyDescent="0.2">
      <c r="C385" s="94">
        <v>45764</v>
      </c>
      <c r="D385" s="32" t="s">
        <v>47</v>
      </c>
      <c r="E385" s="32" t="s">
        <v>52</v>
      </c>
      <c r="F385" s="34">
        <v>140</v>
      </c>
      <c r="G385" s="35" t="s">
        <v>260</v>
      </c>
      <c r="H385" s="37" cm="1">
        <f t="array" ref="H385">IFERROR(SUMPRODUCT(Tracking[Amount], --(Tracking[Date]&lt;=Tracking[[#This Row],[Date]]), (Tracking[Type]&lt;&gt;"Income") * (-1) + (Tracking[Type]="Income")), "-")</f>
        <v>6656</v>
      </c>
      <c r="I385" s="95">
        <f>IF(AND(Tracking[[#This Row],[Type]]="Income", shift_late_income_status="Active", DAY(Tracking[[#This Row],[Date]])&gt;=shift_late_income_starting_day),
      DATE(YEAR(Tracking[[#This Row],[Date]]), MONTH(Tracking[[#This Row],[Date]])+1, 1),
      Tracking[[#This Row],[Date]])</f>
        <v>45764</v>
      </c>
    </row>
    <row r="386" spans="3:9" hidden="1" outlineLevel="1" x14ac:dyDescent="0.2">
      <c r="C386" s="94">
        <v>45764</v>
      </c>
      <c r="D386" s="32" t="s">
        <v>47</v>
      </c>
      <c r="E386" s="32" t="s">
        <v>58</v>
      </c>
      <c r="F386" s="34">
        <v>198</v>
      </c>
      <c r="G386" s="35" t="s">
        <v>127</v>
      </c>
      <c r="H386" s="37" cm="1">
        <f t="array" ref="H386">IFERROR(SUMPRODUCT(Tracking[Amount], --(Tracking[Date]&lt;=Tracking[[#This Row],[Date]]), (Tracking[Type]&lt;&gt;"Income") * (-1) + (Tracking[Type]="Income")), "-")</f>
        <v>6656</v>
      </c>
      <c r="I386" s="95">
        <f>IF(AND(Tracking[[#This Row],[Type]]="Income", shift_late_income_status="Active", DAY(Tracking[[#This Row],[Date]])&gt;=shift_late_income_starting_day),
      DATE(YEAR(Tracking[[#This Row],[Date]]), MONTH(Tracking[[#This Row],[Date]])+1, 1),
      Tracking[[#This Row],[Date]])</f>
        <v>45764</v>
      </c>
    </row>
    <row r="387" spans="3:9" hidden="1" outlineLevel="1" x14ac:dyDescent="0.2">
      <c r="C387" s="94">
        <v>45764</v>
      </c>
      <c r="D387" s="32" t="s">
        <v>47</v>
      </c>
      <c r="E387" s="32" t="s">
        <v>48</v>
      </c>
      <c r="F387" s="34">
        <v>106</v>
      </c>
      <c r="G387" s="35" t="s">
        <v>381</v>
      </c>
      <c r="H387" s="37" cm="1">
        <f t="array" ref="H387">IFERROR(SUMPRODUCT(Tracking[Amount], --(Tracking[Date]&lt;=Tracking[[#This Row],[Date]]), (Tracking[Type]&lt;&gt;"Income") * (-1) + (Tracking[Type]="Income")), "-")</f>
        <v>6656</v>
      </c>
      <c r="I387" s="95">
        <f>IF(AND(Tracking[[#This Row],[Type]]="Income", shift_late_income_status="Active", DAY(Tracking[[#This Row],[Date]])&gt;=shift_late_income_starting_day),
      DATE(YEAR(Tracking[[#This Row],[Date]]), MONTH(Tracking[[#This Row],[Date]])+1, 1),
      Tracking[[#This Row],[Date]])</f>
        <v>45764</v>
      </c>
    </row>
    <row r="388" spans="3:9" hidden="1" outlineLevel="1" x14ac:dyDescent="0.2">
      <c r="C388" s="94">
        <v>45764</v>
      </c>
      <c r="D388" s="32" t="s">
        <v>47</v>
      </c>
      <c r="E388" s="32" t="s">
        <v>56</v>
      </c>
      <c r="F388" s="34">
        <v>170</v>
      </c>
      <c r="G388" s="35" t="s">
        <v>346</v>
      </c>
      <c r="H388" s="37" cm="1">
        <f t="array" ref="H388">IFERROR(SUMPRODUCT(Tracking[Amount], --(Tracking[Date]&lt;=Tracking[[#This Row],[Date]]), (Tracking[Type]&lt;&gt;"Income") * (-1) + (Tracking[Type]="Income")), "-")</f>
        <v>6656</v>
      </c>
      <c r="I388" s="95">
        <f>IF(AND(Tracking[[#This Row],[Type]]="Income", shift_late_income_status="Active", DAY(Tracking[[#This Row],[Date]])&gt;=shift_late_income_starting_day),
      DATE(YEAR(Tracking[[#This Row],[Date]]), MONTH(Tracking[[#This Row],[Date]])+1, 1),
      Tracking[[#This Row],[Date]])</f>
        <v>45764</v>
      </c>
    </row>
    <row r="389" spans="3:9" hidden="1" outlineLevel="1" x14ac:dyDescent="0.2">
      <c r="C389" s="94">
        <v>45765</v>
      </c>
      <c r="D389" s="32" t="s">
        <v>47</v>
      </c>
      <c r="E389" s="32" t="s">
        <v>48</v>
      </c>
      <c r="F389" s="34">
        <v>12</v>
      </c>
      <c r="G389" s="35"/>
      <c r="H389" s="37" cm="1">
        <f t="array" ref="H389">IFERROR(SUMPRODUCT(Tracking[Amount], --(Tracking[Date]&lt;=Tracking[[#This Row],[Date]]), (Tracking[Type]&lt;&gt;"Income") * (-1) + (Tracking[Type]="Income")), "-")</f>
        <v>6611</v>
      </c>
      <c r="I389" s="95">
        <f>IF(AND(Tracking[[#This Row],[Type]]="Income", shift_late_income_status="Active", DAY(Tracking[[#This Row],[Date]])&gt;=shift_late_income_starting_day),
      DATE(YEAR(Tracking[[#This Row],[Date]]), MONTH(Tracking[[#This Row],[Date]])+1, 1),
      Tracking[[#This Row],[Date]])</f>
        <v>45765</v>
      </c>
    </row>
    <row r="390" spans="3:9" hidden="1" outlineLevel="1" x14ac:dyDescent="0.2">
      <c r="C390" s="94">
        <v>45765</v>
      </c>
      <c r="D390" s="32" t="s">
        <v>47</v>
      </c>
      <c r="E390" s="32" t="s">
        <v>49</v>
      </c>
      <c r="F390" s="34">
        <v>33</v>
      </c>
      <c r="G390" s="35" t="s">
        <v>279</v>
      </c>
      <c r="H390" s="37" cm="1">
        <f t="array" ref="H390">IFERROR(SUMPRODUCT(Tracking[Amount], --(Tracking[Date]&lt;=Tracking[[#This Row],[Date]]), (Tracking[Type]&lt;&gt;"Income") * (-1) + (Tracking[Type]="Income")), "-")</f>
        <v>6611</v>
      </c>
      <c r="I390" s="95">
        <f>IF(AND(Tracking[[#This Row],[Type]]="Income", shift_late_income_status="Active", DAY(Tracking[[#This Row],[Date]])&gt;=shift_late_income_starting_day),
      DATE(YEAR(Tracking[[#This Row],[Date]]), MONTH(Tracking[[#This Row],[Date]])+1, 1),
      Tracking[[#This Row],[Date]])</f>
        <v>45765</v>
      </c>
    </row>
    <row r="391" spans="3:9" hidden="1" outlineLevel="1" x14ac:dyDescent="0.2">
      <c r="C391" s="94">
        <v>45766</v>
      </c>
      <c r="D391" s="32" t="s">
        <v>47</v>
      </c>
      <c r="E391" s="32" t="s">
        <v>50</v>
      </c>
      <c r="F391" s="34">
        <v>34</v>
      </c>
      <c r="G391" s="35" t="s">
        <v>307</v>
      </c>
      <c r="H391" s="37" cm="1">
        <f t="array" ref="H391">IFERROR(SUMPRODUCT(Tracking[Amount], --(Tracking[Date]&lt;=Tracking[[#This Row],[Date]]), (Tracking[Type]&lt;&gt;"Income") * (-1) + (Tracking[Type]="Income")), "-")</f>
        <v>6569</v>
      </c>
      <c r="I391" s="95">
        <f>IF(AND(Tracking[[#This Row],[Type]]="Income", shift_late_income_status="Active", DAY(Tracking[[#This Row],[Date]])&gt;=shift_late_income_starting_day),
      DATE(YEAR(Tracking[[#This Row],[Date]]), MONTH(Tracking[[#This Row],[Date]])+1, 1),
      Tracking[[#This Row],[Date]])</f>
        <v>45766</v>
      </c>
    </row>
    <row r="392" spans="3:9" hidden="1" outlineLevel="1" x14ac:dyDescent="0.2">
      <c r="C392" s="94">
        <v>45766</v>
      </c>
      <c r="D392" s="32" t="s">
        <v>47</v>
      </c>
      <c r="E392" s="32" t="s">
        <v>48</v>
      </c>
      <c r="F392" s="34">
        <v>8</v>
      </c>
      <c r="G392" s="35"/>
      <c r="H392" s="37" cm="1">
        <f t="array" ref="H392">IFERROR(SUMPRODUCT(Tracking[Amount], --(Tracking[Date]&lt;=Tracking[[#This Row],[Date]]), (Tracking[Type]&lt;&gt;"Income") * (-1) + (Tracking[Type]="Income")), "-")</f>
        <v>6569</v>
      </c>
      <c r="I392" s="95">
        <f>IF(AND(Tracking[[#This Row],[Type]]="Income", shift_late_income_status="Active", DAY(Tracking[[#This Row],[Date]])&gt;=shift_late_income_starting_day),
      DATE(YEAR(Tracking[[#This Row],[Date]]), MONTH(Tracking[[#This Row],[Date]])+1, 1),
      Tracking[[#This Row],[Date]])</f>
        <v>45766</v>
      </c>
    </row>
    <row r="393" spans="3:9" hidden="1" outlineLevel="1" x14ac:dyDescent="0.2">
      <c r="C393" s="94">
        <v>45767</v>
      </c>
      <c r="D393" s="32" t="s">
        <v>47</v>
      </c>
      <c r="E393" s="32" t="s">
        <v>51</v>
      </c>
      <c r="F393" s="34">
        <v>28</v>
      </c>
      <c r="G393" s="35" t="s">
        <v>278</v>
      </c>
      <c r="H393" s="37" cm="1">
        <f t="array" ref="H393">IFERROR(SUMPRODUCT(Tracking[Amount], --(Tracking[Date]&lt;=Tracking[[#This Row],[Date]]), (Tracking[Type]&lt;&gt;"Income") * (-1) + (Tracking[Type]="Income")), "-")</f>
        <v>6541</v>
      </c>
      <c r="I393" s="95">
        <f>IF(AND(Tracking[[#This Row],[Type]]="Income", shift_late_income_status="Active", DAY(Tracking[[#This Row],[Date]])&gt;=shift_late_income_starting_day),
      DATE(YEAR(Tracking[[#This Row],[Date]]), MONTH(Tracking[[#This Row],[Date]])+1, 1),
      Tracking[[#This Row],[Date]])</f>
        <v>45767</v>
      </c>
    </row>
    <row r="394" spans="3:9" hidden="1" outlineLevel="1" x14ac:dyDescent="0.2">
      <c r="C394" s="94">
        <v>45769</v>
      </c>
      <c r="D394" s="32" t="s">
        <v>47</v>
      </c>
      <c r="E394" s="32" t="s">
        <v>48</v>
      </c>
      <c r="F394" s="34">
        <v>10</v>
      </c>
      <c r="G394" s="35" t="s">
        <v>382</v>
      </c>
      <c r="H394" s="37" cm="1">
        <f t="array" ref="H394">IFERROR(SUMPRODUCT(Tracking[Amount], --(Tracking[Date]&lt;=Tracking[[#This Row],[Date]]), (Tracking[Type]&lt;&gt;"Income") * (-1) + (Tracking[Type]="Income")), "-")</f>
        <v>6150</v>
      </c>
      <c r="I394" s="95">
        <f>IF(AND(Tracking[[#This Row],[Type]]="Income", shift_late_income_status="Active", DAY(Tracking[[#This Row],[Date]])&gt;=shift_late_income_starting_day),
      DATE(YEAR(Tracking[[#This Row],[Date]]), MONTH(Tracking[[#This Row],[Date]])+1, 1),
      Tracking[[#This Row],[Date]])</f>
        <v>45769</v>
      </c>
    </row>
    <row r="395" spans="3:9" hidden="1" outlineLevel="1" x14ac:dyDescent="0.2">
      <c r="C395" s="94">
        <v>45769</v>
      </c>
      <c r="D395" s="32" t="s">
        <v>47</v>
      </c>
      <c r="E395" s="32" t="s">
        <v>56</v>
      </c>
      <c r="F395" s="34">
        <v>156</v>
      </c>
      <c r="G395" s="35" t="s">
        <v>383</v>
      </c>
      <c r="H395" s="37" cm="1">
        <f t="array" ref="H395">IFERROR(SUMPRODUCT(Tracking[Amount], --(Tracking[Date]&lt;=Tracking[[#This Row],[Date]]), (Tracking[Type]&lt;&gt;"Income") * (-1) + (Tracking[Type]="Income")), "-")</f>
        <v>6150</v>
      </c>
      <c r="I395" s="95">
        <f>IF(AND(Tracking[[#This Row],[Type]]="Income", shift_late_income_status="Active", DAY(Tracking[[#This Row],[Date]])&gt;=shift_late_income_starting_day),
      DATE(YEAR(Tracking[[#This Row],[Date]]), MONTH(Tracking[[#This Row],[Date]])+1, 1),
      Tracking[[#This Row],[Date]])</f>
        <v>45769</v>
      </c>
    </row>
    <row r="396" spans="3:9" hidden="1" outlineLevel="1" x14ac:dyDescent="0.2">
      <c r="C396" s="94">
        <v>45769</v>
      </c>
      <c r="D396" s="32" t="s">
        <v>47</v>
      </c>
      <c r="E396" s="32" t="s">
        <v>54</v>
      </c>
      <c r="F396" s="34">
        <v>225</v>
      </c>
      <c r="G396" s="35" t="s">
        <v>384</v>
      </c>
      <c r="H396" s="37" cm="1">
        <f t="array" ref="H396">IFERROR(SUMPRODUCT(Tracking[Amount], --(Tracking[Date]&lt;=Tracking[[#This Row],[Date]]), (Tracking[Type]&lt;&gt;"Income") * (-1) + (Tracking[Type]="Income")), "-")</f>
        <v>6150</v>
      </c>
      <c r="I396" s="95">
        <f>IF(AND(Tracking[[#This Row],[Type]]="Income", shift_late_income_status="Active", DAY(Tracking[[#This Row],[Date]])&gt;=shift_late_income_starting_day),
      DATE(YEAR(Tracking[[#This Row],[Date]]), MONTH(Tracking[[#This Row],[Date]])+1, 1),
      Tracking[[#This Row],[Date]])</f>
        <v>45769</v>
      </c>
    </row>
    <row r="397" spans="3:9" hidden="1" outlineLevel="1" x14ac:dyDescent="0.2">
      <c r="C397" s="94">
        <v>45770</v>
      </c>
      <c r="D397" s="32" t="s">
        <v>47</v>
      </c>
      <c r="E397" s="32" t="s">
        <v>52</v>
      </c>
      <c r="F397" s="34">
        <v>70</v>
      </c>
      <c r="G397" s="35" t="s">
        <v>260</v>
      </c>
      <c r="H397" s="37" cm="1">
        <f t="array" ref="H397">IFERROR(SUMPRODUCT(Tracking[Amount], --(Tracking[Date]&lt;=Tracking[[#This Row],[Date]]), (Tracking[Type]&lt;&gt;"Income") * (-1) + (Tracking[Type]="Income")), "-")</f>
        <v>6320</v>
      </c>
      <c r="I397" s="95">
        <f>IF(AND(Tracking[[#This Row],[Type]]="Income", shift_late_income_status="Active", DAY(Tracking[[#This Row],[Date]])&gt;=shift_late_income_starting_day),
      DATE(YEAR(Tracking[[#This Row],[Date]]), MONTH(Tracking[[#This Row],[Date]])+1, 1),
      Tracking[[#This Row],[Date]])</f>
        <v>45770</v>
      </c>
    </row>
    <row r="398" spans="3:9" hidden="1" outlineLevel="1" x14ac:dyDescent="0.2">
      <c r="C398" s="94">
        <v>45770</v>
      </c>
      <c r="D398" s="32" t="s">
        <v>47</v>
      </c>
      <c r="E398" s="32" t="s">
        <v>59</v>
      </c>
      <c r="F398" s="34">
        <v>10</v>
      </c>
      <c r="G398" s="35" t="s">
        <v>353</v>
      </c>
      <c r="H398" s="37" cm="1">
        <f t="array" ref="H398">IFERROR(SUMPRODUCT(Tracking[Amount], --(Tracking[Date]&lt;=Tracking[[#This Row],[Date]]), (Tracking[Type]&lt;&gt;"Income") * (-1) + (Tracking[Type]="Income")), "-")</f>
        <v>6320</v>
      </c>
      <c r="I398" s="95">
        <f>IF(AND(Tracking[[#This Row],[Type]]="Income", shift_late_income_status="Active", DAY(Tracking[[#This Row],[Date]])&gt;=shift_late_income_starting_day),
      DATE(YEAR(Tracking[[#This Row],[Date]]), MONTH(Tracking[[#This Row],[Date]])+1, 1),
      Tracking[[#This Row],[Date]])</f>
        <v>45770</v>
      </c>
    </row>
    <row r="399" spans="3:9" hidden="1" outlineLevel="1" x14ac:dyDescent="0.2">
      <c r="C399" s="94">
        <v>45770</v>
      </c>
      <c r="D399" s="32" t="s">
        <v>40</v>
      </c>
      <c r="E399" s="32" t="s">
        <v>43</v>
      </c>
      <c r="F399" s="34">
        <v>250</v>
      </c>
      <c r="G399" s="35"/>
      <c r="H399" s="37" cm="1">
        <f t="array" ref="H399">IFERROR(SUMPRODUCT(Tracking[Amount], --(Tracking[Date]&lt;=Tracking[[#This Row],[Date]]), (Tracking[Type]&lt;&gt;"Income") * (-1) + (Tracking[Type]="Income")), "-")</f>
        <v>6320</v>
      </c>
      <c r="I399" s="95">
        <f>IF(AND(Tracking[[#This Row],[Type]]="Income", shift_late_income_status="Active", DAY(Tracking[[#This Row],[Date]])&gt;=shift_late_income_starting_day),
      DATE(YEAR(Tracking[[#This Row],[Date]]), MONTH(Tracking[[#This Row],[Date]])+1, 1),
      Tracking[[#This Row],[Date]])</f>
        <v>45770</v>
      </c>
    </row>
    <row r="400" spans="3:9" hidden="1" outlineLevel="1" x14ac:dyDescent="0.2">
      <c r="C400" s="94">
        <v>45771</v>
      </c>
      <c r="D400" s="32" t="s">
        <v>47</v>
      </c>
      <c r="E400" s="32" t="s">
        <v>59</v>
      </c>
      <c r="F400" s="34">
        <v>16</v>
      </c>
      <c r="G400" s="35" t="s">
        <v>271</v>
      </c>
      <c r="H400" s="37" cm="1">
        <f t="array" ref="H400">IFERROR(SUMPRODUCT(Tracking[Amount], --(Tracking[Date]&lt;=Tracking[[#This Row],[Date]]), (Tracking[Type]&lt;&gt;"Income") * (-1) + (Tracking[Type]="Income")), "-")</f>
        <v>6148</v>
      </c>
      <c r="I400" s="95">
        <f>IF(AND(Tracking[[#This Row],[Type]]="Income", shift_late_income_status="Active", DAY(Tracking[[#This Row],[Date]])&gt;=shift_late_income_starting_day),
      DATE(YEAR(Tracking[[#This Row],[Date]]), MONTH(Tracking[[#This Row],[Date]])+1, 1),
      Tracking[[#This Row],[Date]])</f>
        <v>45771</v>
      </c>
    </row>
    <row r="401" spans="3:9" hidden="1" outlineLevel="1" x14ac:dyDescent="0.2">
      <c r="C401" s="94">
        <v>45771</v>
      </c>
      <c r="D401" s="32" t="s">
        <v>47</v>
      </c>
      <c r="E401" s="32" t="s">
        <v>58</v>
      </c>
      <c r="F401" s="34">
        <v>86</v>
      </c>
      <c r="G401" s="35" t="s">
        <v>276</v>
      </c>
      <c r="H401" s="37" cm="1">
        <f t="array" ref="H401">IFERROR(SUMPRODUCT(Tracking[Amount], --(Tracking[Date]&lt;=Tracking[[#This Row],[Date]]), (Tracking[Type]&lt;&gt;"Income") * (-1) + (Tracking[Type]="Income")), "-")</f>
        <v>6148</v>
      </c>
      <c r="I401" s="95">
        <f>IF(AND(Tracking[[#This Row],[Type]]="Income", shift_late_income_status="Active", DAY(Tracking[[#This Row],[Date]])&gt;=shift_late_income_starting_day),
      DATE(YEAR(Tracking[[#This Row],[Date]]), MONTH(Tracking[[#This Row],[Date]])+1, 1),
      Tracking[[#This Row],[Date]])</f>
        <v>45771</v>
      </c>
    </row>
    <row r="402" spans="3:9" hidden="1" outlineLevel="1" x14ac:dyDescent="0.2">
      <c r="C402" s="94">
        <v>45771</v>
      </c>
      <c r="D402" s="32" t="s">
        <v>47</v>
      </c>
      <c r="E402" s="32" t="s">
        <v>48</v>
      </c>
      <c r="F402" s="34">
        <v>70</v>
      </c>
      <c r="G402" s="35" t="s">
        <v>239</v>
      </c>
      <c r="H402" s="37" cm="1">
        <f t="array" ref="H402">IFERROR(SUMPRODUCT(Tracking[Amount], --(Tracking[Date]&lt;=Tracking[[#This Row],[Date]]), (Tracking[Type]&lt;&gt;"Income") * (-1) + (Tracking[Type]="Income")), "-")</f>
        <v>6148</v>
      </c>
      <c r="I402" s="95">
        <f>IF(AND(Tracking[[#This Row],[Type]]="Income", shift_late_income_status="Active", DAY(Tracking[[#This Row],[Date]])&gt;=shift_late_income_starting_day),
      DATE(YEAR(Tracking[[#This Row],[Date]]), MONTH(Tracking[[#This Row],[Date]])+1, 1),
      Tracking[[#This Row],[Date]])</f>
        <v>45771</v>
      </c>
    </row>
    <row r="403" spans="3:9" hidden="1" outlineLevel="1" x14ac:dyDescent="0.2">
      <c r="C403" s="94">
        <v>45772</v>
      </c>
      <c r="D403" s="32" t="s">
        <v>62</v>
      </c>
      <c r="E403" s="32" t="s">
        <v>63</v>
      </c>
      <c r="F403" s="34">
        <v>78</v>
      </c>
      <c r="G403" s="35"/>
      <c r="H403" s="37" cm="1">
        <f t="array" ref="H403">IFERROR(SUMPRODUCT(Tracking[Amount], --(Tracking[Date]&lt;=Tracking[[#This Row],[Date]]), (Tracking[Type]&lt;&gt;"Income") * (-1) + (Tracking[Type]="Income")), "-")</f>
        <v>5041</v>
      </c>
      <c r="I403" s="95">
        <f>IF(AND(Tracking[[#This Row],[Type]]="Income", shift_late_income_status="Active", DAY(Tracking[[#This Row],[Date]])&gt;=shift_late_income_starting_day),
      DATE(YEAR(Tracking[[#This Row],[Date]]), MONTH(Tracking[[#This Row],[Date]])+1, 1),
      Tracking[[#This Row],[Date]])</f>
        <v>45772</v>
      </c>
    </row>
    <row r="404" spans="3:9" hidden="1" outlineLevel="1" x14ac:dyDescent="0.2">
      <c r="C404" s="94">
        <v>45772</v>
      </c>
      <c r="D404" s="32" t="s">
        <v>62</v>
      </c>
      <c r="E404" s="32" t="s">
        <v>62</v>
      </c>
      <c r="F404" s="34">
        <v>783</v>
      </c>
      <c r="G404" s="35"/>
      <c r="H404" s="37" cm="1">
        <f t="array" ref="H404">IFERROR(SUMPRODUCT(Tracking[Amount], --(Tracking[Date]&lt;=Tracking[[#This Row],[Date]]), (Tracking[Type]&lt;&gt;"Income") * (-1) + (Tracking[Type]="Income")), "-")</f>
        <v>5041</v>
      </c>
      <c r="I404" s="95">
        <f>IF(AND(Tracking[[#This Row],[Type]]="Income", shift_late_income_status="Active", DAY(Tracking[[#This Row],[Date]])&gt;=shift_late_income_starting_day),
      DATE(YEAR(Tracking[[#This Row],[Date]]), MONTH(Tracking[[#This Row],[Date]])+1, 1),
      Tracking[[#This Row],[Date]])</f>
        <v>45772</v>
      </c>
    </row>
    <row r="405" spans="3:9" hidden="1" outlineLevel="1" x14ac:dyDescent="0.2">
      <c r="C405" s="94">
        <v>45772</v>
      </c>
      <c r="D405" s="32" t="s">
        <v>62</v>
      </c>
      <c r="E405" s="32" t="s">
        <v>64</v>
      </c>
      <c r="F405" s="34">
        <v>200</v>
      </c>
      <c r="G405" s="35"/>
      <c r="H405" s="37" cm="1">
        <f t="array" ref="H405">IFERROR(SUMPRODUCT(Tracking[Amount], --(Tracking[Date]&lt;=Tracking[[#This Row],[Date]]), (Tracking[Type]&lt;&gt;"Income") * (-1) + (Tracking[Type]="Income")), "-")</f>
        <v>5041</v>
      </c>
      <c r="I405" s="95">
        <f>IF(AND(Tracking[[#This Row],[Type]]="Income", shift_late_income_status="Active", DAY(Tracking[[#This Row],[Date]])&gt;=shift_late_income_starting_day),
      DATE(YEAR(Tracking[[#This Row],[Date]]), MONTH(Tracking[[#This Row],[Date]])+1, 1),
      Tracking[[#This Row],[Date]])</f>
        <v>45772</v>
      </c>
    </row>
    <row r="406" spans="3:9" hidden="1" outlineLevel="1" x14ac:dyDescent="0.2">
      <c r="C406" s="94">
        <v>45772</v>
      </c>
      <c r="D406" s="32" t="s">
        <v>47</v>
      </c>
      <c r="E406" s="32" t="s">
        <v>48</v>
      </c>
      <c r="F406" s="34">
        <v>6</v>
      </c>
      <c r="G406" s="35" t="s">
        <v>325</v>
      </c>
      <c r="H406" s="37" cm="1">
        <f t="array" ref="H406">IFERROR(SUMPRODUCT(Tracking[Amount], --(Tracking[Date]&lt;=Tracking[[#This Row],[Date]]), (Tracking[Type]&lt;&gt;"Income") * (-1) + (Tracking[Type]="Income")), "-")</f>
        <v>5041</v>
      </c>
      <c r="I406" s="95">
        <f>IF(AND(Tracking[[#This Row],[Type]]="Income", shift_late_income_status="Active", DAY(Tracking[[#This Row],[Date]])&gt;=shift_late_income_starting_day),
      DATE(YEAR(Tracking[[#This Row],[Date]]), MONTH(Tracking[[#This Row],[Date]])+1, 1),
      Tracking[[#This Row],[Date]])</f>
        <v>45772</v>
      </c>
    </row>
    <row r="407" spans="3:9" hidden="1" outlineLevel="1" x14ac:dyDescent="0.2">
      <c r="C407" s="94">
        <v>45772</v>
      </c>
      <c r="D407" s="32" t="s">
        <v>47</v>
      </c>
      <c r="E407" s="32" t="s">
        <v>52</v>
      </c>
      <c r="F407" s="34">
        <v>40</v>
      </c>
      <c r="G407" s="35" t="s">
        <v>302</v>
      </c>
      <c r="H407" s="37" cm="1">
        <f t="array" ref="H407">IFERROR(SUMPRODUCT(Tracking[Amount], --(Tracking[Date]&lt;=Tracking[[#This Row],[Date]]), (Tracking[Type]&lt;&gt;"Income") * (-1) + (Tracking[Type]="Income")), "-")</f>
        <v>5041</v>
      </c>
      <c r="I407" s="95">
        <f>IF(AND(Tracking[[#This Row],[Type]]="Income", shift_late_income_status="Active", DAY(Tracking[[#This Row],[Date]])&gt;=shift_late_income_starting_day),
      DATE(YEAR(Tracking[[#This Row],[Date]]), MONTH(Tracking[[#This Row],[Date]])+1, 1),
      Tracking[[#This Row],[Date]])</f>
        <v>45772</v>
      </c>
    </row>
    <row r="408" spans="3:9" hidden="1" outlineLevel="1" x14ac:dyDescent="0.2">
      <c r="C408" s="94">
        <v>45773</v>
      </c>
      <c r="D408" s="32" t="s">
        <v>47</v>
      </c>
      <c r="E408" s="32" t="s">
        <v>59</v>
      </c>
      <c r="F408" s="34">
        <v>16</v>
      </c>
      <c r="G408" s="35" t="s">
        <v>141</v>
      </c>
      <c r="H408" s="37" cm="1">
        <f t="array" ref="H408">IFERROR(SUMPRODUCT(Tracking[Amount], --(Tracking[Date]&lt;=Tracking[[#This Row],[Date]]), (Tracking[Type]&lt;&gt;"Income") * (-1) + (Tracking[Type]="Income")), "-")</f>
        <v>4927</v>
      </c>
      <c r="I408" s="95">
        <f>IF(AND(Tracking[[#This Row],[Type]]="Income", shift_late_income_status="Active", DAY(Tracking[[#This Row],[Date]])&gt;=shift_late_income_starting_day),
      DATE(YEAR(Tracking[[#This Row],[Date]]), MONTH(Tracking[[#This Row],[Date]])+1, 1),
      Tracking[[#This Row],[Date]])</f>
        <v>45773</v>
      </c>
    </row>
    <row r="409" spans="3:9" hidden="1" outlineLevel="1" x14ac:dyDescent="0.2">
      <c r="C409" s="94">
        <v>45773</v>
      </c>
      <c r="D409" s="32" t="s">
        <v>47</v>
      </c>
      <c r="E409" s="32" t="s">
        <v>44</v>
      </c>
      <c r="F409" s="34">
        <v>34</v>
      </c>
      <c r="G409" s="35" t="s">
        <v>385</v>
      </c>
      <c r="H409" s="37" cm="1">
        <f t="array" ref="H409">IFERROR(SUMPRODUCT(Tracking[Amount], --(Tracking[Date]&lt;=Tracking[[#This Row],[Date]]), (Tracking[Type]&lt;&gt;"Income") * (-1) + (Tracking[Type]="Income")), "-")</f>
        <v>4927</v>
      </c>
      <c r="I409" s="95">
        <f>IF(AND(Tracking[[#This Row],[Type]]="Income", shift_late_income_status="Active", DAY(Tracking[[#This Row],[Date]])&gt;=shift_late_income_starting_day),
      DATE(YEAR(Tracking[[#This Row],[Date]]), MONTH(Tracking[[#This Row],[Date]])+1, 1),
      Tracking[[#This Row],[Date]])</f>
        <v>45773</v>
      </c>
    </row>
    <row r="410" spans="3:9" hidden="1" outlineLevel="1" x14ac:dyDescent="0.2">
      <c r="C410" s="94">
        <v>45773</v>
      </c>
      <c r="D410" s="32" t="s">
        <v>47</v>
      </c>
      <c r="E410" s="32" t="s">
        <v>60</v>
      </c>
      <c r="F410" s="34">
        <v>6</v>
      </c>
      <c r="G410" s="35" t="s">
        <v>338</v>
      </c>
      <c r="H410" s="37" cm="1">
        <f t="array" ref="H410">IFERROR(SUMPRODUCT(Tracking[Amount], --(Tracking[Date]&lt;=Tracking[[#This Row],[Date]]), (Tracking[Type]&lt;&gt;"Income") * (-1) + (Tracking[Type]="Income")), "-")</f>
        <v>4927</v>
      </c>
      <c r="I410" s="95">
        <f>IF(AND(Tracking[[#This Row],[Type]]="Income", shift_late_income_status="Active", DAY(Tracking[[#This Row],[Date]])&gt;=shift_late_income_starting_day),
      DATE(YEAR(Tracking[[#This Row],[Date]]), MONTH(Tracking[[#This Row],[Date]])+1, 1),
      Tracking[[#This Row],[Date]])</f>
        <v>45773</v>
      </c>
    </row>
    <row r="411" spans="3:9" hidden="1" outlineLevel="1" x14ac:dyDescent="0.2">
      <c r="C411" s="94">
        <v>45773</v>
      </c>
      <c r="D411" s="32" t="s">
        <v>47</v>
      </c>
      <c r="E411" s="32" t="s">
        <v>48</v>
      </c>
      <c r="F411" s="34">
        <v>58</v>
      </c>
      <c r="G411" s="35" t="s">
        <v>386</v>
      </c>
      <c r="H411" s="37" cm="1">
        <f t="array" ref="H411">IFERROR(SUMPRODUCT(Tracking[Amount], --(Tracking[Date]&lt;=Tracking[[#This Row],[Date]]), (Tracking[Type]&lt;&gt;"Income") * (-1) + (Tracking[Type]="Income")), "-")</f>
        <v>4927</v>
      </c>
      <c r="I411" s="95">
        <f>IF(AND(Tracking[[#This Row],[Type]]="Income", shift_late_income_status="Active", DAY(Tracking[[#This Row],[Date]])&gt;=shift_late_income_starting_day),
      DATE(YEAR(Tracking[[#This Row],[Date]]), MONTH(Tracking[[#This Row],[Date]])+1, 1),
      Tracking[[#This Row],[Date]])</f>
        <v>45773</v>
      </c>
    </row>
    <row r="412" spans="3:9" hidden="1" outlineLevel="1" x14ac:dyDescent="0.2">
      <c r="C412" s="94">
        <v>45774</v>
      </c>
      <c r="D412" s="32" t="s">
        <v>47</v>
      </c>
      <c r="E412" s="32" t="s">
        <v>57</v>
      </c>
      <c r="F412" s="34">
        <v>3215</v>
      </c>
      <c r="G412" s="35"/>
      <c r="H412" s="37" cm="1">
        <f t="array" ref="H412">IFERROR(SUMPRODUCT(Tracking[Amount], --(Tracking[Date]&lt;=Tracking[[#This Row],[Date]]), (Tracking[Type]&lt;&gt;"Income") * (-1) + (Tracking[Type]="Income")), "-")</f>
        <v>1690</v>
      </c>
      <c r="I412" s="95">
        <f>IF(AND(Tracking[[#This Row],[Type]]="Income", shift_late_income_status="Active", DAY(Tracking[[#This Row],[Date]])&gt;=shift_late_income_starting_day),
      DATE(YEAR(Tracking[[#This Row],[Date]]), MONTH(Tracking[[#This Row],[Date]])+1, 1),
      Tracking[[#This Row],[Date]])</f>
        <v>45774</v>
      </c>
    </row>
    <row r="413" spans="3:9" hidden="1" outlineLevel="1" x14ac:dyDescent="0.2">
      <c r="C413" s="94">
        <v>45774</v>
      </c>
      <c r="D413" s="32" t="s">
        <v>47</v>
      </c>
      <c r="E413" s="32" t="s">
        <v>48</v>
      </c>
      <c r="F413" s="34">
        <v>22</v>
      </c>
      <c r="G413" s="35"/>
      <c r="H413" s="37" cm="1">
        <f t="array" ref="H413">IFERROR(SUMPRODUCT(Tracking[Amount], --(Tracking[Date]&lt;=Tracking[[#This Row],[Date]]), (Tracking[Type]&lt;&gt;"Income") * (-1) + (Tracking[Type]="Income")), "-")</f>
        <v>1690</v>
      </c>
      <c r="I413" s="95">
        <f>IF(AND(Tracking[[#This Row],[Type]]="Income", shift_late_income_status="Active", DAY(Tracking[[#This Row],[Date]])&gt;=shift_late_income_starting_day),
      DATE(YEAR(Tracking[[#This Row],[Date]]), MONTH(Tracking[[#This Row],[Date]])+1, 1),
      Tracking[[#This Row],[Date]])</f>
        <v>45774</v>
      </c>
    </row>
    <row r="414" spans="3:9" hidden="1" outlineLevel="1" x14ac:dyDescent="0.2">
      <c r="C414" s="94">
        <v>45775</v>
      </c>
      <c r="D414" s="32" t="s">
        <v>47</v>
      </c>
      <c r="E414" s="32" t="s">
        <v>48</v>
      </c>
      <c r="F414" s="34">
        <v>9</v>
      </c>
      <c r="G414" s="35"/>
      <c r="H414" s="37" cm="1">
        <f t="array" ref="H414">IFERROR(SUMPRODUCT(Tracking[Amount], --(Tracking[Date]&lt;=Tracking[[#This Row],[Date]]), (Tracking[Type]&lt;&gt;"Income") * (-1) + (Tracking[Type]="Income")), "-")</f>
        <v>1575</v>
      </c>
      <c r="I414" s="95">
        <f>IF(AND(Tracking[[#This Row],[Type]]="Income", shift_late_income_status="Active", DAY(Tracking[[#This Row],[Date]])&gt;=shift_late_income_starting_day),
      DATE(YEAR(Tracking[[#This Row],[Date]]), MONTH(Tracking[[#This Row],[Date]])+1, 1),
      Tracking[[#This Row],[Date]])</f>
        <v>45775</v>
      </c>
    </row>
    <row r="415" spans="3:9" hidden="1" outlineLevel="1" x14ac:dyDescent="0.2">
      <c r="C415" s="94">
        <v>45775</v>
      </c>
      <c r="D415" s="32" t="s">
        <v>47</v>
      </c>
      <c r="E415" s="32" t="s">
        <v>50</v>
      </c>
      <c r="F415" s="34">
        <v>20</v>
      </c>
      <c r="G415" s="35"/>
      <c r="H415" s="37" cm="1">
        <f t="array" ref="H415">IFERROR(SUMPRODUCT(Tracking[Amount], --(Tracking[Date]&lt;=Tracking[[#This Row],[Date]]), (Tracking[Type]&lt;&gt;"Income") * (-1) + (Tracking[Type]="Income")), "-")</f>
        <v>1575</v>
      </c>
      <c r="I415" s="95">
        <f>IF(AND(Tracking[[#This Row],[Type]]="Income", shift_late_income_status="Active", DAY(Tracking[[#This Row],[Date]])&gt;=shift_late_income_starting_day),
      DATE(YEAR(Tracking[[#This Row],[Date]]), MONTH(Tracking[[#This Row],[Date]])+1, 1),
      Tracking[[#This Row],[Date]])</f>
        <v>45775</v>
      </c>
    </row>
    <row r="416" spans="3:9" hidden="1" outlineLevel="1" x14ac:dyDescent="0.2">
      <c r="C416" s="94">
        <v>45775</v>
      </c>
      <c r="D416" s="32" t="s">
        <v>47</v>
      </c>
      <c r="E416" s="32" t="s">
        <v>60</v>
      </c>
      <c r="F416" s="34">
        <v>10</v>
      </c>
      <c r="G416" s="35" t="s">
        <v>387</v>
      </c>
      <c r="H416" s="37" cm="1">
        <f t="array" ref="H416">IFERROR(SUMPRODUCT(Tracking[Amount], --(Tracking[Date]&lt;=Tracking[[#This Row],[Date]]), (Tracking[Type]&lt;&gt;"Income") * (-1) + (Tracking[Type]="Income")), "-")</f>
        <v>1575</v>
      </c>
      <c r="I416" s="95">
        <f>IF(AND(Tracking[[#This Row],[Type]]="Income", shift_late_income_status="Active", DAY(Tracking[[#This Row],[Date]])&gt;=shift_late_income_starting_day),
      DATE(YEAR(Tracking[[#This Row],[Date]]), MONTH(Tracking[[#This Row],[Date]])+1, 1),
      Tracking[[#This Row],[Date]])</f>
        <v>45775</v>
      </c>
    </row>
    <row r="417" spans="3:9" hidden="1" outlineLevel="1" x14ac:dyDescent="0.2">
      <c r="C417" s="94">
        <v>45775</v>
      </c>
      <c r="D417" s="32" t="s">
        <v>47</v>
      </c>
      <c r="E417" s="32" t="s">
        <v>60</v>
      </c>
      <c r="F417" s="34">
        <v>1</v>
      </c>
      <c r="G417" s="35" t="s">
        <v>340</v>
      </c>
      <c r="H417" s="37" cm="1">
        <f t="array" ref="H417">IFERROR(SUMPRODUCT(Tracking[Amount], --(Tracking[Date]&lt;=Tracking[[#This Row],[Date]]), (Tracking[Type]&lt;&gt;"Income") * (-1) + (Tracking[Type]="Income")), "-")</f>
        <v>1575</v>
      </c>
      <c r="I417" s="95">
        <f>IF(AND(Tracking[[#This Row],[Type]]="Income", shift_late_income_status="Active", DAY(Tracking[[#This Row],[Date]])&gt;=shift_late_income_starting_day),
      DATE(YEAR(Tracking[[#This Row],[Date]]), MONTH(Tracking[[#This Row],[Date]])+1, 1),
      Tracking[[#This Row],[Date]])</f>
        <v>45775</v>
      </c>
    </row>
    <row r="418" spans="3:9" hidden="1" outlineLevel="1" x14ac:dyDescent="0.2">
      <c r="C418" s="94">
        <v>45775</v>
      </c>
      <c r="D418" s="32" t="s">
        <v>47</v>
      </c>
      <c r="E418" s="32" t="s">
        <v>49</v>
      </c>
      <c r="F418" s="34">
        <v>75</v>
      </c>
      <c r="G418" s="35" t="s">
        <v>388</v>
      </c>
      <c r="H418" s="37" cm="1">
        <f t="array" ref="H418">IFERROR(SUMPRODUCT(Tracking[Amount], --(Tracking[Date]&lt;=Tracking[[#This Row],[Date]]), (Tracking[Type]&lt;&gt;"Income") * (-1) + (Tracking[Type]="Income")), "-")</f>
        <v>1575</v>
      </c>
      <c r="I418" s="95">
        <f>IF(AND(Tracking[[#This Row],[Type]]="Income", shift_late_income_status="Active", DAY(Tracking[[#This Row],[Date]])&gt;=shift_late_income_starting_day),
      DATE(YEAR(Tracking[[#This Row],[Date]]), MONTH(Tracking[[#This Row],[Date]])+1, 1),
      Tracking[[#This Row],[Date]])</f>
        <v>45775</v>
      </c>
    </row>
    <row r="419" spans="3:9" hidden="1" outlineLevel="1" x14ac:dyDescent="0.2">
      <c r="C419" s="94">
        <v>45776</v>
      </c>
      <c r="D419" s="32" t="s">
        <v>47</v>
      </c>
      <c r="E419" s="32" t="s">
        <v>48</v>
      </c>
      <c r="F419" s="34">
        <v>21</v>
      </c>
      <c r="G419" s="35"/>
      <c r="H419" s="37" cm="1">
        <f t="array" ref="H419">IFERROR(SUMPRODUCT(Tracking[Amount], --(Tracking[Date]&lt;=Tracking[[#This Row],[Date]]), (Tracking[Type]&lt;&gt;"Income") * (-1) + (Tracking[Type]="Income")), "-")</f>
        <v>1452</v>
      </c>
      <c r="I419" s="95">
        <f>IF(AND(Tracking[[#This Row],[Type]]="Income", shift_late_income_status="Active", DAY(Tracking[[#This Row],[Date]])&gt;=shift_late_income_starting_day),
      DATE(YEAR(Tracking[[#This Row],[Date]]), MONTH(Tracking[[#This Row],[Date]])+1, 1),
      Tracking[[#This Row],[Date]])</f>
        <v>45776</v>
      </c>
    </row>
    <row r="420" spans="3:9" hidden="1" outlineLevel="1" x14ac:dyDescent="0.2">
      <c r="C420" s="94">
        <v>45776</v>
      </c>
      <c r="D420" s="32" t="s">
        <v>47</v>
      </c>
      <c r="E420" s="32" t="s">
        <v>56</v>
      </c>
      <c r="F420" s="34">
        <v>30</v>
      </c>
      <c r="G420" s="35" t="s">
        <v>389</v>
      </c>
      <c r="H420" s="37" cm="1">
        <f t="array" ref="H420">IFERROR(SUMPRODUCT(Tracking[Amount], --(Tracking[Date]&lt;=Tracking[[#This Row],[Date]]), (Tracking[Type]&lt;&gt;"Income") * (-1) + (Tracking[Type]="Income")), "-")</f>
        <v>1452</v>
      </c>
      <c r="I420" s="95">
        <f>IF(AND(Tracking[[#This Row],[Type]]="Income", shift_late_income_status="Active", DAY(Tracking[[#This Row],[Date]])&gt;=shift_late_income_starting_day),
      DATE(YEAR(Tracking[[#This Row],[Date]]), MONTH(Tracking[[#This Row],[Date]])+1, 1),
      Tracking[[#This Row],[Date]])</f>
        <v>45776</v>
      </c>
    </row>
    <row r="421" spans="3:9" hidden="1" outlineLevel="1" collapsed="1" x14ac:dyDescent="0.2">
      <c r="C421" s="94">
        <v>45776</v>
      </c>
      <c r="D421" s="32" t="s">
        <v>47</v>
      </c>
      <c r="E421" s="32" t="s">
        <v>49</v>
      </c>
      <c r="F421" s="34">
        <v>72</v>
      </c>
      <c r="G421" s="35" t="s">
        <v>390</v>
      </c>
      <c r="H421" s="37" cm="1">
        <f t="array" ref="H421">IFERROR(SUMPRODUCT(Tracking[Amount], --(Tracking[Date]&lt;=Tracking[[#This Row],[Date]]), (Tracking[Type]&lt;&gt;"Income") * (-1) + (Tracking[Type]="Income")), "-")</f>
        <v>1452</v>
      </c>
      <c r="I421" s="95">
        <f>IF(AND(Tracking[[#This Row],[Type]]="Income", shift_late_income_status="Active", DAY(Tracking[[#This Row],[Date]])&gt;=shift_late_income_starting_day),
      DATE(YEAR(Tracking[[#This Row],[Date]]), MONTH(Tracking[[#This Row],[Date]])+1, 1),
      Tracking[[#This Row],[Date]])</f>
        <v>45776</v>
      </c>
    </row>
    <row r="422" spans="3:9" hidden="1" outlineLevel="1" x14ac:dyDescent="0.2">
      <c r="C422" s="94">
        <v>45777</v>
      </c>
      <c r="D422" s="32" t="s">
        <v>47</v>
      </c>
      <c r="E422" s="32" t="s">
        <v>49</v>
      </c>
      <c r="F422" s="34">
        <v>7</v>
      </c>
      <c r="G422" s="35" t="s">
        <v>391</v>
      </c>
      <c r="H422" s="37" cm="1">
        <f t="array" ref="H422">IFERROR(SUMPRODUCT(Tracking[Amount], --(Tracking[Date]&lt;=Tracking[[#This Row],[Date]]), (Tracking[Type]&lt;&gt;"Income") * (-1) + (Tracking[Type]="Income")), "-")</f>
        <v>1262</v>
      </c>
      <c r="I422" s="95">
        <f>IF(AND(Tracking[[#This Row],[Type]]="Income", shift_late_income_status="Active", DAY(Tracking[[#This Row],[Date]])&gt;=shift_late_income_starting_day),
      DATE(YEAR(Tracking[[#This Row],[Date]]), MONTH(Tracking[[#This Row],[Date]])+1, 1),
      Tracking[[#This Row],[Date]])</f>
        <v>45777</v>
      </c>
    </row>
    <row r="423" spans="3:9" hidden="1" outlineLevel="1" x14ac:dyDescent="0.2">
      <c r="C423" s="94">
        <v>45777</v>
      </c>
      <c r="D423" s="32" t="s">
        <v>47</v>
      </c>
      <c r="E423" s="32" t="s">
        <v>54</v>
      </c>
      <c r="F423" s="34">
        <v>109</v>
      </c>
      <c r="G423" s="35" t="s">
        <v>392</v>
      </c>
      <c r="H423" s="37" cm="1">
        <f t="array" ref="H423">IFERROR(SUMPRODUCT(Tracking[Amount], --(Tracking[Date]&lt;=Tracking[[#This Row],[Date]]), (Tracking[Type]&lt;&gt;"Income") * (-1) + (Tracking[Type]="Income")), "-")</f>
        <v>1262</v>
      </c>
      <c r="I423" s="95">
        <f>IF(AND(Tracking[[#This Row],[Type]]="Income", shift_late_income_status="Active", DAY(Tracking[[#This Row],[Date]])&gt;=shift_late_income_starting_day),
      DATE(YEAR(Tracking[[#This Row],[Date]]), MONTH(Tracking[[#This Row],[Date]])+1, 1),
      Tracking[[#This Row],[Date]])</f>
        <v>45777</v>
      </c>
    </row>
    <row r="424" spans="3:9" hidden="1" outlineLevel="1" x14ac:dyDescent="0.2">
      <c r="C424" s="94">
        <v>45777</v>
      </c>
      <c r="D424" s="32" t="s">
        <v>47</v>
      </c>
      <c r="E424" s="32" t="s">
        <v>44</v>
      </c>
      <c r="F424" s="34">
        <v>24</v>
      </c>
      <c r="G424" s="35" t="s">
        <v>393</v>
      </c>
      <c r="H424" s="37" cm="1">
        <f t="array" ref="H424">IFERROR(SUMPRODUCT(Tracking[Amount], --(Tracking[Date]&lt;=Tracking[[#This Row],[Date]]), (Tracking[Type]&lt;&gt;"Income") * (-1) + (Tracking[Type]="Income")), "-")</f>
        <v>1262</v>
      </c>
      <c r="I424" s="95">
        <f>IF(AND(Tracking[[#This Row],[Type]]="Income", shift_late_income_status="Active", DAY(Tracking[[#This Row],[Date]])&gt;=shift_late_income_starting_day),
      DATE(YEAR(Tracking[[#This Row],[Date]]), MONTH(Tracking[[#This Row],[Date]])+1, 1),
      Tracking[[#This Row],[Date]])</f>
        <v>45777</v>
      </c>
    </row>
    <row r="425" spans="3:9" hidden="1" outlineLevel="1" x14ac:dyDescent="0.2">
      <c r="C425" s="94">
        <v>45777</v>
      </c>
      <c r="D425" s="32" t="s">
        <v>47</v>
      </c>
      <c r="E425" s="32" t="s">
        <v>58</v>
      </c>
      <c r="F425" s="34">
        <v>50</v>
      </c>
      <c r="G425" s="35" t="s">
        <v>285</v>
      </c>
      <c r="H425" s="37" cm="1">
        <f t="array" ref="H425">IFERROR(SUMPRODUCT(Tracking[Amount], --(Tracking[Date]&lt;=Tracking[[#This Row],[Date]]), (Tracking[Type]&lt;&gt;"Income") * (-1) + (Tracking[Type]="Income")), "-")</f>
        <v>1262</v>
      </c>
      <c r="I425" s="95">
        <f>IF(AND(Tracking[[#This Row],[Type]]="Income", shift_late_income_status="Active", DAY(Tracking[[#This Row],[Date]])&gt;=shift_late_income_starting_day),
      DATE(YEAR(Tracking[[#This Row],[Date]]), MONTH(Tracking[[#This Row],[Date]])+1, 1),
      Tracking[[#This Row],[Date]])</f>
        <v>45777</v>
      </c>
    </row>
    <row r="426" spans="3:9" collapsed="1" x14ac:dyDescent="0.2">
      <c r="C426" s="94">
        <v>45778</v>
      </c>
      <c r="D426" s="32" t="s">
        <v>40</v>
      </c>
      <c r="E426" s="32" t="s">
        <v>41</v>
      </c>
      <c r="F426" s="34">
        <v>7500</v>
      </c>
      <c r="G426" s="35"/>
      <c r="H426" s="37" cm="1">
        <f t="array" ref="H426">IFERROR(SUMPRODUCT(Tracking[Amount], --(Tracking[Date]&lt;=Tracking[[#This Row],[Date]]), (Tracking[Type]&lt;&gt;"Income") * (-1) + (Tracking[Type]="Income")), "-")</f>
        <v>8452</v>
      </c>
      <c r="I426" s="95">
        <f>IF(AND(Tracking[[#This Row],[Type]]="Income", shift_late_income_status="Active", DAY(Tracking[[#This Row],[Date]])&gt;=shift_late_income_starting_day),
      DATE(YEAR(Tracking[[#This Row],[Date]]), MONTH(Tracking[[#This Row],[Date]])+1, 1),
      Tracking[[#This Row],[Date]])</f>
        <v>45778</v>
      </c>
    </row>
    <row r="427" spans="3:9" hidden="1" outlineLevel="1" x14ac:dyDescent="0.2">
      <c r="C427" s="94">
        <v>45778</v>
      </c>
      <c r="D427" s="32" t="s">
        <v>47</v>
      </c>
      <c r="E427" s="32" t="s">
        <v>59</v>
      </c>
      <c r="F427" s="34">
        <v>60</v>
      </c>
      <c r="G427" s="35" t="s">
        <v>295</v>
      </c>
      <c r="H427" s="37" cm="1">
        <f t="array" ref="H427">IFERROR(SUMPRODUCT(Tracking[Amount], --(Tracking[Date]&lt;=Tracking[[#This Row],[Date]]), (Tracking[Type]&lt;&gt;"Income") * (-1) + (Tracking[Type]="Income")), "-")</f>
        <v>8452</v>
      </c>
      <c r="I427" s="95">
        <f>IF(AND(Tracking[[#This Row],[Type]]="Income", shift_late_income_status="Active", DAY(Tracking[[#This Row],[Date]])&gt;=shift_late_income_starting_day),
      DATE(YEAR(Tracking[[#This Row],[Date]]), MONTH(Tracking[[#This Row],[Date]])+1, 1),
      Tracking[[#This Row],[Date]])</f>
        <v>45778</v>
      </c>
    </row>
    <row r="428" spans="3:9" hidden="1" outlineLevel="1" x14ac:dyDescent="0.2">
      <c r="C428" s="94">
        <v>45778</v>
      </c>
      <c r="D428" s="32" t="s">
        <v>47</v>
      </c>
      <c r="E428" s="32" t="s">
        <v>60</v>
      </c>
      <c r="F428" s="34">
        <v>30</v>
      </c>
      <c r="G428" s="35" t="s">
        <v>394</v>
      </c>
      <c r="H428" s="37" cm="1">
        <f t="array" ref="H428">IFERROR(SUMPRODUCT(Tracking[Amount], --(Tracking[Date]&lt;=Tracking[[#This Row],[Date]]), (Tracking[Type]&lt;&gt;"Income") * (-1) + (Tracking[Type]="Income")), "-")</f>
        <v>8452</v>
      </c>
      <c r="I428" s="95">
        <f>IF(AND(Tracking[[#This Row],[Type]]="Income", shift_late_income_status="Active", DAY(Tracking[[#This Row],[Date]])&gt;=shift_late_income_starting_day),
      DATE(YEAR(Tracking[[#This Row],[Date]]), MONTH(Tracking[[#This Row],[Date]])+1, 1),
      Tracking[[#This Row],[Date]])</f>
        <v>45778</v>
      </c>
    </row>
    <row r="429" spans="3:9" hidden="1" outlineLevel="1" x14ac:dyDescent="0.2">
      <c r="C429" s="94">
        <v>45778</v>
      </c>
      <c r="D429" s="32" t="s">
        <v>47</v>
      </c>
      <c r="E429" s="32" t="s">
        <v>49</v>
      </c>
      <c r="F429" s="34">
        <v>180</v>
      </c>
      <c r="G429" s="35" t="s">
        <v>395</v>
      </c>
      <c r="H429" s="37" cm="1">
        <f t="array" ref="H429">IFERROR(SUMPRODUCT(Tracking[Amount], --(Tracking[Date]&lt;=Tracking[[#This Row],[Date]]), (Tracking[Type]&lt;&gt;"Income") * (-1) + (Tracking[Type]="Income")), "-")</f>
        <v>8452</v>
      </c>
      <c r="I429" s="95">
        <f>IF(AND(Tracking[[#This Row],[Type]]="Income", shift_late_income_status="Active", DAY(Tracking[[#This Row],[Date]])&gt;=shift_late_income_starting_day),
      DATE(YEAR(Tracking[[#This Row],[Date]]), MONTH(Tracking[[#This Row],[Date]])+1, 1),
      Tracking[[#This Row],[Date]])</f>
        <v>45778</v>
      </c>
    </row>
    <row r="430" spans="3:9" hidden="1" outlineLevel="1" x14ac:dyDescent="0.2">
      <c r="C430" s="94">
        <v>45778</v>
      </c>
      <c r="D430" s="32" t="s">
        <v>47</v>
      </c>
      <c r="E430" s="32" t="s">
        <v>235</v>
      </c>
      <c r="F430" s="34">
        <v>40</v>
      </c>
      <c r="G430" s="35" t="s">
        <v>396</v>
      </c>
      <c r="H430" s="37" cm="1">
        <f t="array" ref="H430">IFERROR(SUMPRODUCT(Tracking[Amount], --(Tracking[Date]&lt;=Tracking[[#This Row],[Date]]), (Tracking[Type]&lt;&gt;"Income") * (-1) + (Tracking[Type]="Income")), "-")</f>
        <v>8452</v>
      </c>
      <c r="I430" s="95">
        <f>IF(AND(Tracking[[#This Row],[Type]]="Income", shift_late_income_status="Active", DAY(Tracking[[#This Row],[Date]])&gt;=shift_late_income_starting_day),
      DATE(YEAR(Tracking[[#This Row],[Date]]), MONTH(Tracking[[#This Row],[Date]])+1, 1),
      Tracking[[#This Row],[Date]])</f>
        <v>45778</v>
      </c>
    </row>
    <row r="431" spans="3:9" hidden="1" outlineLevel="1" x14ac:dyDescent="0.2">
      <c r="C431" s="94">
        <v>45779</v>
      </c>
      <c r="D431" s="32" t="s">
        <v>47</v>
      </c>
      <c r="E431" s="32" t="s">
        <v>49</v>
      </c>
      <c r="F431" s="34">
        <v>63</v>
      </c>
      <c r="G431" s="35" t="s">
        <v>388</v>
      </c>
      <c r="H431" s="37" cm="1">
        <f t="array" ref="H431">IFERROR(SUMPRODUCT(Tracking[Amount], --(Tracking[Date]&lt;=Tracking[[#This Row],[Date]]), (Tracking[Type]&lt;&gt;"Income") * (-1) + (Tracking[Type]="Income")), "-")</f>
        <v>8366</v>
      </c>
      <c r="I431" s="95">
        <f>IF(AND(Tracking[[#This Row],[Type]]="Income", shift_late_income_status="Active", DAY(Tracking[[#This Row],[Date]])&gt;=shift_late_income_starting_day),
      DATE(YEAR(Tracking[[#This Row],[Date]]), MONTH(Tracking[[#This Row],[Date]])+1, 1),
      Tracking[[#This Row],[Date]])</f>
        <v>45779</v>
      </c>
    </row>
    <row r="432" spans="3:9" hidden="1" outlineLevel="1" x14ac:dyDescent="0.2">
      <c r="C432" s="94">
        <v>45779</v>
      </c>
      <c r="D432" s="32" t="s">
        <v>47</v>
      </c>
      <c r="E432" s="32" t="s">
        <v>49</v>
      </c>
      <c r="F432" s="34">
        <v>3</v>
      </c>
      <c r="G432" s="35" t="s">
        <v>397</v>
      </c>
      <c r="H432" s="37" cm="1">
        <f t="array" ref="H432">IFERROR(SUMPRODUCT(Tracking[Amount], --(Tracking[Date]&lt;=Tracking[[#This Row],[Date]]), (Tracking[Type]&lt;&gt;"Income") * (-1) + (Tracking[Type]="Income")), "-")</f>
        <v>8366</v>
      </c>
      <c r="I432" s="95">
        <f>IF(AND(Tracking[[#This Row],[Type]]="Income", shift_late_income_status="Active", DAY(Tracking[[#This Row],[Date]])&gt;=shift_late_income_starting_day),
      DATE(YEAR(Tracking[[#This Row],[Date]]), MONTH(Tracking[[#This Row],[Date]])+1, 1),
      Tracking[[#This Row],[Date]])</f>
        <v>45779</v>
      </c>
    </row>
    <row r="433" spans="3:9" hidden="1" outlineLevel="1" x14ac:dyDescent="0.2">
      <c r="C433" s="94">
        <v>45779</v>
      </c>
      <c r="D433" s="32" t="s">
        <v>47</v>
      </c>
      <c r="E433" s="32" t="s">
        <v>235</v>
      </c>
      <c r="F433" s="34">
        <v>20</v>
      </c>
      <c r="G433" s="35" t="s">
        <v>253</v>
      </c>
      <c r="H433" s="37" cm="1">
        <f t="array" ref="H433">IFERROR(SUMPRODUCT(Tracking[Amount], --(Tracking[Date]&lt;=Tracking[[#This Row],[Date]]), (Tracking[Type]&lt;&gt;"Income") * (-1) + (Tracking[Type]="Income")), "-")</f>
        <v>8366</v>
      </c>
      <c r="I433" s="95">
        <f>IF(AND(Tracking[[#This Row],[Type]]="Income", shift_late_income_status="Active", DAY(Tracking[[#This Row],[Date]])&gt;=shift_late_income_starting_day),
      DATE(YEAR(Tracking[[#This Row],[Date]]), MONTH(Tracking[[#This Row],[Date]])+1, 1),
      Tracking[[#This Row],[Date]])</f>
        <v>45779</v>
      </c>
    </row>
    <row r="434" spans="3:9" hidden="1" outlineLevel="1" x14ac:dyDescent="0.2">
      <c r="C434" s="94">
        <v>45780</v>
      </c>
      <c r="D434" s="32" t="s">
        <v>47</v>
      </c>
      <c r="E434" s="32" t="s">
        <v>235</v>
      </c>
      <c r="F434" s="34">
        <v>44</v>
      </c>
      <c r="G434" s="35" t="s">
        <v>398</v>
      </c>
      <c r="H434" s="37" cm="1">
        <f t="array" ref="H434">IFERROR(SUMPRODUCT(Tracking[Amount], --(Tracking[Date]&lt;=Tracking[[#This Row],[Date]]), (Tracking[Type]&lt;&gt;"Income") * (-1) + (Tracking[Type]="Income")), "-")</f>
        <v>8125</v>
      </c>
      <c r="I434" s="95">
        <f>IF(AND(Tracking[[#This Row],[Type]]="Income", shift_late_income_status="Active", DAY(Tracking[[#This Row],[Date]])&gt;=shift_late_income_starting_day),
      DATE(YEAR(Tracking[[#This Row],[Date]]), MONTH(Tracking[[#This Row],[Date]])+1, 1),
      Tracking[[#This Row],[Date]])</f>
        <v>45780</v>
      </c>
    </row>
    <row r="435" spans="3:9" hidden="1" outlineLevel="1" x14ac:dyDescent="0.2">
      <c r="C435" s="94">
        <v>45780</v>
      </c>
      <c r="D435" s="32" t="s">
        <v>47</v>
      </c>
      <c r="E435" s="32" t="s">
        <v>44</v>
      </c>
      <c r="F435" s="34">
        <v>45</v>
      </c>
      <c r="G435" s="35" t="s">
        <v>399</v>
      </c>
      <c r="H435" s="37" cm="1">
        <f t="array" ref="H435">IFERROR(SUMPRODUCT(Tracking[Amount], --(Tracking[Date]&lt;=Tracking[[#This Row],[Date]]), (Tracking[Type]&lt;&gt;"Income") * (-1) + (Tracking[Type]="Income")), "-")</f>
        <v>8125</v>
      </c>
      <c r="I435" s="95">
        <f>IF(AND(Tracking[[#This Row],[Type]]="Income", shift_late_income_status="Active", DAY(Tracking[[#This Row],[Date]])&gt;=shift_late_income_starting_day),
      DATE(YEAR(Tracking[[#This Row],[Date]]), MONTH(Tracking[[#This Row],[Date]])+1, 1),
      Tracking[[#This Row],[Date]])</f>
        <v>45780</v>
      </c>
    </row>
    <row r="436" spans="3:9" hidden="1" outlineLevel="1" x14ac:dyDescent="0.2">
      <c r="C436" s="94">
        <v>45780</v>
      </c>
      <c r="D436" s="32" t="s">
        <v>47</v>
      </c>
      <c r="E436" s="32" t="s">
        <v>54</v>
      </c>
      <c r="F436" s="34">
        <v>152</v>
      </c>
      <c r="G436" s="35" t="s">
        <v>400</v>
      </c>
      <c r="H436" s="37" cm="1">
        <f t="array" ref="H436">IFERROR(SUMPRODUCT(Tracking[Amount], --(Tracking[Date]&lt;=Tracking[[#This Row],[Date]]), (Tracking[Type]&lt;&gt;"Income") * (-1) + (Tracking[Type]="Income")), "-")</f>
        <v>8125</v>
      </c>
      <c r="I436" s="95">
        <f>IF(AND(Tracking[[#This Row],[Type]]="Income", shift_late_income_status="Active", DAY(Tracking[[#This Row],[Date]])&gt;=shift_late_income_starting_day),
      DATE(YEAR(Tracking[[#This Row],[Date]]), MONTH(Tracking[[#This Row],[Date]])+1, 1),
      Tracking[[#This Row],[Date]])</f>
        <v>45780</v>
      </c>
    </row>
    <row r="437" spans="3:9" hidden="1" outlineLevel="1" x14ac:dyDescent="0.2">
      <c r="C437" s="94">
        <v>45781</v>
      </c>
      <c r="D437" s="32" t="s">
        <v>47</v>
      </c>
      <c r="E437" s="32" t="s">
        <v>48</v>
      </c>
      <c r="F437" s="34">
        <v>8</v>
      </c>
      <c r="G437" s="35"/>
      <c r="H437" s="37" cm="1">
        <f t="array" ref="H437">IFERROR(SUMPRODUCT(Tracking[Amount], --(Tracking[Date]&lt;=Tracking[[#This Row],[Date]]), (Tracking[Type]&lt;&gt;"Income") * (-1) + (Tracking[Type]="Income")), "-")</f>
        <v>8024</v>
      </c>
      <c r="I437" s="95">
        <f>IF(AND(Tracking[[#This Row],[Type]]="Income", shift_late_income_status="Active", DAY(Tracking[[#This Row],[Date]])&gt;=shift_late_income_starting_day),
      DATE(YEAR(Tracking[[#This Row],[Date]]), MONTH(Tracking[[#This Row],[Date]])+1, 1),
      Tracking[[#This Row],[Date]])</f>
        <v>45781</v>
      </c>
    </row>
    <row r="438" spans="3:9" hidden="1" outlineLevel="1" x14ac:dyDescent="0.2">
      <c r="C438" s="94">
        <v>45781</v>
      </c>
      <c r="D438" s="32" t="s">
        <v>47</v>
      </c>
      <c r="E438" s="32" t="s">
        <v>60</v>
      </c>
      <c r="F438" s="34">
        <v>5</v>
      </c>
      <c r="G438" s="35" t="s">
        <v>351</v>
      </c>
      <c r="H438" s="37" cm="1">
        <f t="array" ref="H438">IFERROR(SUMPRODUCT(Tracking[Amount], --(Tracking[Date]&lt;=Tracking[[#This Row],[Date]]), (Tracking[Type]&lt;&gt;"Income") * (-1) + (Tracking[Type]="Income")), "-")</f>
        <v>8024</v>
      </c>
      <c r="I438" s="95">
        <f>IF(AND(Tracking[[#This Row],[Type]]="Income", shift_late_income_status="Active", DAY(Tracking[[#This Row],[Date]])&gt;=shift_late_income_starting_day),
      DATE(YEAR(Tracking[[#This Row],[Date]]), MONTH(Tracking[[#This Row],[Date]])+1, 1),
      Tracking[[#This Row],[Date]])</f>
        <v>45781</v>
      </c>
    </row>
    <row r="439" spans="3:9" hidden="1" outlineLevel="1" x14ac:dyDescent="0.2">
      <c r="C439" s="94">
        <v>45781</v>
      </c>
      <c r="D439" s="32" t="s">
        <v>47</v>
      </c>
      <c r="E439" s="32" t="s">
        <v>235</v>
      </c>
      <c r="F439" s="34">
        <v>45</v>
      </c>
      <c r="G439" s="35" t="s">
        <v>301</v>
      </c>
      <c r="H439" s="37" cm="1">
        <f t="array" ref="H439">IFERROR(SUMPRODUCT(Tracking[Amount], --(Tracking[Date]&lt;=Tracking[[#This Row],[Date]]), (Tracking[Type]&lt;&gt;"Income") * (-1) + (Tracking[Type]="Income")), "-")</f>
        <v>8024</v>
      </c>
      <c r="I439" s="95">
        <f>IF(AND(Tracking[[#This Row],[Type]]="Income", shift_late_income_status="Active", DAY(Tracking[[#This Row],[Date]])&gt;=shift_late_income_starting_day),
      DATE(YEAR(Tracking[[#This Row],[Date]]), MONTH(Tracking[[#This Row],[Date]])+1, 1),
      Tracking[[#This Row],[Date]])</f>
        <v>45781</v>
      </c>
    </row>
    <row r="440" spans="3:9" hidden="1" outlineLevel="1" x14ac:dyDescent="0.2">
      <c r="C440" s="94">
        <v>45781</v>
      </c>
      <c r="D440" s="32" t="s">
        <v>47</v>
      </c>
      <c r="E440" s="32" t="s">
        <v>49</v>
      </c>
      <c r="F440" s="34">
        <v>43</v>
      </c>
      <c r="G440" s="35" t="s">
        <v>401</v>
      </c>
      <c r="H440" s="37" cm="1">
        <f t="array" ref="H440">IFERROR(SUMPRODUCT(Tracking[Amount], --(Tracking[Date]&lt;=Tracking[[#This Row],[Date]]), (Tracking[Type]&lt;&gt;"Income") * (-1) + (Tracking[Type]="Income")), "-")</f>
        <v>8024</v>
      </c>
      <c r="I440" s="95">
        <f>IF(AND(Tracking[[#This Row],[Type]]="Income", shift_late_income_status="Active", DAY(Tracking[[#This Row],[Date]])&gt;=shift_late_income_starting_day),
      DATE(YEAR(Tracking[[#This Row],[Date]]), MONTH(Tracking[[#This Row],[Date]])+1, 1),
      Tracking[[#This Row],[Date]])</f>
        <v>45781</v>
      </c>
    </row>
    <row r="441" spans="3:9" hidden="1" outlineLevel="1" x14ac:dyDescent="0.2">
      <c r="C441" s="94">
        <v>45782</v>
      </c>
      <c r="D441" s="32" t="s">
        <v>47</v>
      </c>
      <c r="E441" s="32" t="s">
        <v>51</v>
      </c>
      <c r="F441" s="34">
        <v>37</v>
      </c>
      <c r="G441" s="35" t="s">
        <v>402</v>
      </c>
      <c r="H441" s="37" cm="1">
        <f t="array" ref="H441">IFERROR(SUMPRODUCT(Tracking[Amount], --(Tracking[Date]&lt;=Tracking[[#This Row],[Date]]), (Tracking[Type]&lt;&gt;"Income") * (-1) + (Tracking[Type]="Income")), "-")</f>
        <v>8358</v>
      </c>
      <c r="I441" s="95">
        <f>IF(AND(Tracking[[#This Row],[Type]]="Income", shift_late_income_status="Active", DAY(Tracking[[#This Row],[Date]])&gt;=shift_late_income_starting_day),
      DATE(YEAR(Tracking[[#This Row],[Date]]), MONTH(Tracking[[#This Row],[Date]])+1, 1),
      Tracking[[#This Row],[Date]])</f>
        <v>45782</v>
      </c>
    </row>
    <row r="442" spans="3:9" hidden="1" outlineLevel="1" x14ac:dyDescent="0.2">
      <c r="C442" s="94">
        <v>45782</v>
      </c>
      <c r="D442" s="32" t="s">
        <v>40</v>
      </c>
      <c r="E442" s="32" t="s">
        <v>44</v>
      </c>
      <c r="F442" s="34">
        <v>600</v>
      </c>
      <c r="G442" s="35" t="s">
        <v>403</v>
      </c>
      <c r="H442" s="37" cm="1">
        <f t="array" ref="H442">IFERROR(SUMPRODUCT(Tracking[Amount], --(Tracking[Date]&lt;=Tracking[[#This Row],[Date]]), (Tracking[Type]&lt;&gt;"Income") * (-1) + (Tracking[Type]="Income")), "-")</f>
        <v>8358</v>
      </c>
      <c r="I442" s="95">
        <f>IF(AND(Tracking[[#This Row],[Type]]="Income", shift_late_income_status="Active", DAY(Tracking[[#This Row],[Date]])&gt;=shift_late_income_starting_day),
      DATE(YEAR(Tracking[[#This Row],[Date]]), MONTH(Tracking[[#This Row],[Date]])+1, 1),
      Tracking[[#This Row],[Date]])</f>
        <v>45782</v>
      </c>
    </row>
    <row r="443" spans="3:9" hidden="1" outlineLevel="1" x14ac:dyDescent="0.2">
      <c r="C443" s="94">
        <v>45782</v>
      </c>
      <c r="D443" s="32" t="s">
        <v>47</v>
      </c>
      <c r="E443" s="32" t="s">
        <v>58</v>
      </c>
      <c r="F443" s="34">
        <v>115</v>
      </c>
      <c r="G443" s="35" t="s">
        <v>300</v>
      </c>
      <c r="H443" s="37" cm="1">
        <f t="array" ref="H443">IFERROR(SUMPRODUCT(Tracking[Amount], --(Tracking[Date]&lt;=Tracking[[#This Row],[Date]]), (Tracking[Type]&lt;&gt;"Income") * (-1) + (Tracking[Type]="Income")), "-")</f>
        <v>8358</v>
      </c>
      <c r="I443" s="95">
        <f>IF(AND(Tracking[[#This Row],[Type]]="Income", shift_late_income_status="Active", DAY(Tracking[[#This Row],[Date]])&gt;=shift_late_income_starting_day),
      DATE(YEAR(Tracking[[#This Row],[Date]]), MONTH(Tracking[[#This Row],[Date]])+1, 1),
      Tracking[[#This Row],[Date]])</f>
        <v>45782</v>
      </c>
    </row>
    <row r="444" spans="3:9" hidden="1" outlineLevel="1" x14ac:dyDescent="0.2">
      <c r="C444" s="94">
        <v>45782</v>
      </c>
      <c r="D444" s="32" t="s">
        <v>47</v>
      </c>
      <c r="E444" s="32" t="s">
        <v>59</v>
      </c>
      <c r="F444" s="34">
        <v>14</v>
      </c>
      <c r="G444" s="35" t="s">
        <v>352</v>
      </c>
      <c r="H444" s="37" cm="1">
        <f t="array" ref="H444">IFERROR(SUMPRODUCT(Tracking[Amount], --(Tracking[Date]&lt;=Tracking[[#This Row],[Date]]), (Tracking[Type]&lt;&gt;"Income") * (-1) + (Tracking[Type]="Income")), "-")</f>
        <v>8358</v>
      </c>
      <c r="I444" s="95">
        <f>IF(AND(Tracking[[#This Row],[Type]]="Income", shift_late_income_status="Active", DAY(Tracking[[#This Row],[Date]])&gt;=shift_late_income_starting_day),
      DATE(YEAR(Tracking[[#This Row],[Date]]), MONTH(Tracking[[#This Row],[Date]])+1, 1),
      Tracking[[#This Row],[Date]])</f>
        <v>45782</v>
      </c>
    </row>
    <row r="445" spans="3:9" hidden="1" outlineLevel="1" x14ac:dyDescent="0.2">
      <c r="C445" s="94">
        <v>45782</v>
      </c>
      <c r="D445" s="32" t="s">
        <v>47</v>
      </c>
      <c r="E445" s="32" t="s">
        <v>56</v>
      </c>
      <c r="F445" s="34">
        <v>100</v>
      </c>
      <c r="G445" s="35" t="s">
        <v>404</v>
      </c>
      <c r="H445" s="37" cm="1">
        <f t="array" ref="H445">IFERROR(SUMPRODUCT(Tracking[Amount], --(Tracking[Date]&lt;=Tracking[[#This Row],[Date]]), (Tracking[Type]&lt;&gt;"Income") * (-1) + (Tracking[Type]="Income")), "-")</f>
        <v>8358</v>
      </c>
      <c r="I445" s="95">
        <f>IF(AND(Tracking[[#This Row],[Type]]="Income", shift_late_income_status="Active", DAY(Tracking[[#This Row],[Date]])&gt;=shift_late_income_starting_day),
      DATE(YEAR(Tracking[[#This Row],[Date]]), MONTH(Tracking[[#This Row],[Date]])+1, 1),
      Tracking[[#This Row],[Date]])</f>
        <v>45782</v>
      </c>
    </row>
    <row r="446" spans="3:9" hidden="1" outlineLevel="1" x14ac:dyDescent="0.2">
      <c r="C446" s="94">
        <v>45783</v>
      </c>
      <c r="D446" s="32" t="s">
        <v>47</v>
      </c>
      <c r="E446" s="32" t="s">
        <v>49</v>
      </c>
      <c r="F446" s="34">
        <v>41</v>
      </c>
      <c r="G446" s="35" t="s">
        <v>405</v>
      </c>
      <c r="H446" s="37" cm="1">
        <f t="array" ref="H446">IFERROR(SUMPRODUCT(Tracking[Amount], --(Tracking[Date]&lt;=Tracking[[#This Row],[Date]]), (Tracking[Type]&lt;&gt;"Income") * (-1) + (Tracking[Type]="Income")), "-")</f>
        <v>8309</v>
      </c>
      <c r="I446" s="95">
        <f>IF(AND(Tracking[[#This Row],[Type]]="Income", shift_late_income_status="Active", DAY(Tracking[[#This Row],[Date]])&gt;=shift_late_income_starting_day),
      DATE(YEAR(Tracking[[#This Row],[Date]]), MONTH(Tracking[[#This Row],[Date]])+1, 1),
      Tracking[[#This Row],[Date]])</f>
        <v>45783</v>
      </c>
    </row>
    <row r="447" spans="3:9" hidden="1" outlineLevel="1" x14ac:dyDescent="0.2">
      <c r="C447" s="94">
        <v>45783</v>
      </c>
      <c r="D447" s="32" t="s">
        <v>47</v>
      </c>
      <c r="E447" s="32" t="s">
        <v>49</v>
      </c>
      <c r="F447" s="34">
        <v>8</v>
      </c>
      <c r="G447" s="35" t="s">
        <v>406</v>
      </c>
      <c r="H447" s="37" cm="1">
        <f t="array" ref="H447">IFERROR(SUMPRODUCT(Tracking[Amount], --(Tracking[Date]&lt;=Tracking[[#This Row],[Date]]), (Tracking[Type]&lt;&gt;"Income") * (-1) + (Tracking[Type]="Income")), "-")</f>
        <v>8309</v>
      </c>
      <c r="I447" s="95">
        <f>IF(AND(Tracking[[#This Row],[Type]]="Income", shift_late_income_status="Active", DAY(Tracking[[#This Row],[Date]])&gt;=shift_late_income_starting_day),
      DATE(YEAR(Tracking[[#This Row],[Date]]), MONTH(Tracking[[#This Row],[Date]])+1, 1),
      Tracking[[#This Row],[Date]])</f>
        <v>45783</v>
      </c>
    </row>
    <row r="448" spans="3:9" hidden="1" outlineLevel="1" x14ac:dyDescent="0.2">
      <c r="C448" s="94">
        <v>45784</v>
      </c>
      <c r="D448" s="32" t="s">
        <v>47</v>
      </c>
      <c r="E448" s="32" t="s">
        <v>48</v>
      </c>
      <c r="F448" s="34">
        <v>42</v>
      </c>
      <c r="G448" s="35"/>
      <c r="H448" s="37" cm="1">
        <f t="array" ref="H448">IFERROR(SUMPRODUCT(Tracking[Amount], --(Tracking[Date]&lt;=Tracking[[#This Row],[Date]]), (Tracking[Type]&lt;&gt;"Income") * (-1) + (Tracking[Type]="Income")), "-")</f>
        <v>8187</v>
      </c>
      <c r="I448" s="95">
        <f>IF(AND(Tracking[[#This Row],[Type]]="Income", shift_late_income_status="Active", DAY(Tracking[[#This Row],[Date]])&gt;=shift_late_income_starting_day),
      DATE(YEAR(Tracking[[#This Row],[Date]]), MONTH(Tracking[[#This Row],[Date]])+1, 1),
      Tracking[[#This Row],[Date]])</f>
        <v>45784</v>
      </c>
    </row>
    <row r="449" spans="3:9" hidden="1" outlineLevel="1" x14ac:dyDescent="0.2">
      <c r="C449" s="94">
        <v>45784</v>
      </c>
      <c r="D449" s="32" t="s">
        <v>47</v>
      </c>
      <c r="E449" s="32" t="s">
        <v>51</v>
      </c>
      <c r="F449" s="34">
        <v>30</v>
      </c>
      <c r="G449" s="35" t="s">
        <v>278</v>
      </c>
      <c r="H449" s="37" cm="1">
        <f t="array" ref="H449">IFERROR(SUMPRODUCT(Tracking[Amount], --(Tracking[Date]&lt;=Tracking[[#This Row],[Date]]), (Tracking[Type]&lt;&gt;"Income") * (-1) + (Tracking[Type]="Income")), "-")</f>
        <v>8187</v>
      </c>
      <c r="I449" s="95">
        <f>IF(AND(Tracking[[#This Row],[Type]]="Income", shift_late_income_status="Active", DAY(Tracking[[#This Row],[Date]])&gt;=shift_late_income_starting_day),
      DATE(YEAR(Tracking[[#This Row],[Date]]), MONTH(Tracking[[#This Row],[Date]])+1, 1),
      Tracking[[#This Row],[Date]])</f>
        <v>45784</v>
      </c>
    </row>
    <row r="450" spans="3:9" hidden="1" outlineLevel="1" x14ac:dyDescent="0.2">
      <c r="C450" s="94">
        <v>45784</v>
      </c>
      <c r="D450" s="32" t="s">
        <v>40</v>
      </c>
      <c r="E450" s="32" t="s">
        <v>44</v>
      </c>
      <c r="F450" s="34">
        <v>150</v>
      </c>
      <c r="G450" s="35" t="s">
        <v>407</v>
      </c>
      <c r="H450" s="37" cm="1">
        <f t="array" ref="H450">IFERROR(SUMPRODUCT(Tracking[Amount], --(Tracking[Date]&lt;=Tracking[[#This Row],[Date]]), (Tracking[Type]&lt;&gt;"Income") * (-1) + (Tracking[Type]="Income")), "-")</f>
        <v>8187</v>
      </c>
      <c r="I450" s="95">
        <f>IF(AND(Tracking[[#This Row],[Type]]="Income", shift_late_income_status="Active", DAY(Tracking[[#This Row],[Date]])&gt;=shift_late_income_starting_day),
      DATE(YEAR(Tracking[[#This Row],[Date]]), MONTH(Tracking[[#This Row],[Date]])+1, 1),
      Tracking[[#This Row],[Date]])</f>
        <v>45784</v>
      </c>
    </row>
    <row r="451" spans="3:9" hidden="1" outlineLevel="1" x14ac:dyDescent="0.2">
      <c r="C451" s="94">
        <v>45784</v>
      </c>
      <c r="D451" s="32" t="s">
        <v>62</v>
      </c>
      <c r="E451" s="32" t="s">
        <v>64</v>
      </c>
      <c r="F451" s="34">
        <v>150</v>
      </c>
      <c r="G451" s="35"/>
      <c r="H451" s="37" cm="1">
        <f t="array" ref="H451">IFERROR(SUMPRODUCT(Tracking[Amount], --(Tracking[Date]&lt;=Tracking[[#This Row],[Date]]), (Tracking[Type]&lt;&gt;"Income") * (-1) + (Tracking[Type]="Income")), "-")</f>
        <v>8187</v>
      </c>
      <c r="I451" s="95">
        <f>IF(AND(Tracking[[#This Row],[Type]]="Income", shift_late_income_status="Active", DAY(Tracking[[#This Row],[Date]])&gt;=shift_late_income_starting_day),
      DATE(YEAR(Tracking[[#This Row],[Date]]), MONTH(Tracking[[#This Row],[Date]])+1, 1),
      Tracking[[#This Row],[Date]])</f>
        <v>45784</v>
      </c>
    </row>
    <row r="452" spans="3:9" hidden="1" outlineLevel="1" x14ac:dyDescent="0.2">
      <c r="C452" s="94">
        <v>45784</v>
      </c>
      <c r="D452" s="32" t="s">
        <v>47</v>
      </c>
      <c r="E452" s="32" t="s">
        <v>54</v>
      </c>
      <c r="F452" s="34">
        <v>50</v>
      </c>
      <c r="G452" s="35" t="s">
        <v>408</v>
      </c>
      <c r="H452" s="37" cm="1">
        <f t="array" ref="H452">IFERROR(SUMPRODUCT(Tracking[Amount], --(Tracking[Date]&lt;=Tracking[[#This Row],[Date]]), (Tracking[Type]&lt;&gt;"Income") * (-1) + (Tracking[Type]="Income")), "-")</f>
        <v>8187</v>
      </c>
      <c r="I452" s="95">
        <f>IF(AND(Tracking[[#This Row],[Type]]="Income", shift_late_income_status="Active", DAY(Tracking[[#This Row],[Date]])&gt;=shift_late_income_starting_day),
      DATE(YEAR(Tracking[[#This Row],[Date]]), MONTH(Tracking[[#This Row],[Date]])+1, 1),
      Tracking[[#This Row],[Date]])</f>
        <v>45784</v>
      </c>
    </row>
    <row r="453" spans="3:9" hidden="1" outlineLevel="1" x14ac:dyDescent="0.2">
      <c r="C453" s="94">
        <v>45785</v>
      </c>
      <c r="D453" s="32" t="s">
        <v>47</v>
      </c>
      <c r="E453" s="32" t="s">
        <v>60</v>
      </c>
      <c r="F453" s="34">
        <v>5</v>
      </c>
      <c r="G453" s="35"/>
      <c r="H453" s="37" cm="1">
        <f t="array" ref="H453">IFERROR(SUMPRODUCT(Tracking[Amount], --(Tracking[Date]&lt;=Tracking[[#This Row],[Date]]), (Tracking[Type]&lt;&gt;"Income") * (-1) + (Tracking[Type]="Income")), "-")</f>
        <v>7957</v>
      </c>
      <c r="I453" s="95">
        <f>IF(AND(Tracking[[#This Row],[Type]]="Income", shift_late_income_status="Active", DAY(Tracking[[#This Row],[Date]])&gt;=shift_late_income_starting_day),
      DATE(YEAR(Tracking[[#This Row],[Date]]), MONTH(Tracking[[#This Row],[Date]])+1, 1),
      Tracking[[#This Row],[Date]])</f>
        <v>45785</v>
      </c>
    </row>
    <row r="454" spans="3:9" hidden="1" outlineLevel="1" x14ac:dyDescent="0.2">
      <c r="C454" s="94">
        <v>45785</v>
      </c>
      <c r="D454" s="32" t="s">
        <v>47</v>
      </c>
      <c r="E454" s="32" t="s">
        <v>50</v>
      </c>
      <c r="F454" s="34">
        <v>120</v>
      </c>
      <c r="G454" s="35" t="s">
        <v>409</v>
      </c>
      <c r="H454" s="37" cm="1">
        <f t="array" ref="H454">IFERROR(SUMPRODUCT(Tracking[Amount], --(Tracking[Date]&lt;=Tracking[[#This Row],[Date]]), (Tracking[Type]&lt;&gt;"Income") * (-1) + (Tracking[Type]="Income")), "-")</f>
        <v>7957</v>
      </c>
      <c r="I454" s="95">
        <f>IF(AND(Tracking[[#This Row],[Type]]="Income", shift_late_income_status="Active", DAY(Tracking[[#This Row],[Date]])&gt;=shift_late_income_starting_day),
      DATE(YEAR(Tracking[[#This Row],[Date]]), MONTH(Tracking[[#This Row],[Date]])+1, 1),
      Tracking[[#This Row],[Date]])</f>
        <v>45785</v>
      </c>
    </row>
    <row r="455" spans="3:9" hidden="1" outlineLevel="1" x14ac:dyDescent="0.2">
      <c r="C455" s="94">
        <v>45785</v>
      </c>
      <c r="D455" s="32" t="s">
        <v>47</v>
      </c>
      <c r="E455" s="32" t="s">
        <v>51</v>
      </c>
      <c r="F455" s="34">
        <v>13</v>
      </c>
      <c r="G455" s="35" t="s">
        <v>410</v>
      </c>
      <c r="H455" s="37" cm="1">
        <f t="array" ref="H455">IFERROR(SUMPRODUCT(Tracking[Amount], --(Tracking[Date]&lt;=Tracking[[#This Row],[Date]]), (Tracking[Type]&lt;&gt;"Income") * (-1) + (Tracking[Type]="Income")), "-")</f>
        <v>7957</v>
      </c>
      <c r="I455" s="95">
        <f>IF(AND(Tracking[[#This Row],[Type]]="Income", shift_late_income_status="Active", DAY(Tracking[[#This Row],[Date]])&gt;=shift_late_income_starting_day),
      DATE(YEAR(Tracking[[#This Row],[Date]]), MONTH(Tracking[[#This Row],[Date]])+1, 1),
      Tracking[[#This Row],[Date]])</f>
        <v>45785</v>
      </c>
    </row>
    <row r="456" spans="3:9" hidden="1" outlineLevel="1" x14ac:dyDescent="0.2">
      <c r="C456" s="94">
        <v>45785</v>
      </c>
      <c r="D456" s="32" t="s">
        <v>47</v>
      </c>
      <c r="E456" s="32" t="s">
        <v>235</v>
      </c>
      <c r="F456" s="34">
        <v>55</v>
      </c>
      <c r="G456" s="35" t="s">
        <v>301</v>
      </c>
      <c r="H456" s="37" cm="1">
        <f t="array" ref="H456">IFERROR(SUMPRODUCT(Tracking[Amount], --(Tracking[Date]&lt;=Tracking[[#This Row],[Date]]), (Tracking[Type]&lt;&gt;"Income") * (-1) + (Tracking[Type]="Income")), "-")</f>
        <v>7957</v>
      </c>
      <c r="I456" s="95">
        <f>IF(AND(Tracking[[#This Row],[Type]]="Income", shift_late_income_status="Active", DAY(Tracking[[#This Row],[Date]])&gt;=shift_late_income_starting_day),
      DATE(YEAR(Tracking[[#This Row],[Date]]), MONTH(Tracking[[#This Row],[Date]])+1, 1),
      Tracking[[#This Row],[Date]])</f>
        <v>45785</v>
      </c>
    </row>
    <row r="457" spans="3:9" hidden="1" outlineLevel="1" x14ac:dyDescent="0.2">
      <c r="C457" s="94">
        <v>45785</v>
      </c>
      <c r="D457" s="32" t="s">
        <v>47</v>
      </c>
      <c r="E457" s="32" t="s">
        <v>49</v>
      </c>
      <c r="F457" s="34">
        <v>7</v>
      </c>
      <c r="G457" s="35" t="s">
        <v>411</v>
      </c>
      <c r="H457" s="37" cm="1">
        <f t="array" ref="H457">IFERROR(SUMPRODUCT(Tracking[Amount], --(Tracking[Date]&lt;=Tracking[[#This Row],[Date]]), (Tracking[Type]&lt;&gt;"Income") * (-1) + (Tracking[Type]="Income")), "-")</f>
        <v>7957</v>
      </c>
      <c r="I457" s="95">
        <f>IF(AND(Tracking[[#This Row],[Type]]="Income", shift_late_income_status="Active", DAY(Tracking[[#This Row],[Date]])&gt;=shift_late_income_starting_day),
      DATE(YEAR(Tracking[[#This Row],[Date]]), MONTH(Tracking[[#This Row],[Date]])+1, 1),
      Tracking[[#This Row],[Date]])</f>
        <v>45785</v>
      </c>
    </row>
    <row r="458" spans="3:9" hidden="1" outlineLevel="1" x14ac:dyDescent="0.2">
      <c r="C458" s="94">
        <v>45785</v>
      </c>
      <c r="D458" s="32" t="s">
        <v>47</v>
      </c>
      <c r="E458" s="32" t="s">
        <v>235</v>
      </c>
      <c r="F458" s="34">
        <v>30</v>
      </c>
      <c r="G458" s="35" t="s">
        <v>236</v>
      </c>
      <c r="H458" s="37" cm="1">
        <f t="array" ref="H458">IFERROR(SUMPRODUCT(Tracking[Amount], --(Tracking[Date]&lt;=Tracking[[#This Row],[Date]]), (Tracking[Type]&lt;&gt;"Income") * (-1) + (Tracking[Type]="Income")), "-")</f>
        <v>7957</v>
      </c>
      <c r="I458" s="95">
        <f>IF(AND(Tracking[[#This Row],[Type]]="Income", shift_late_income_status="Active", DAY(Tracking[[#This Row],[Date]])&gt;=shift_late_income_starting_day),
      DATE(YEAR(Tracking[[#This Row],[Date]]), MONTH(Tracking[[#This Row],[Date]])+1, 1),
      Tracking[[#This Row],[Date]])</f>
        <v>45785</v>
      </c>
    </row>
    <row r="459" spans="3:9" hidden="1" outlineLevel="1" x14ac:dyDescent="0.2">
      <c r="C459" s="94">
        <v>45786</v>
      </c>
      <c r="D459" s="32" t="s">
        <v>47</v>
      </c>
      <c r="E459" s="32" t="s">
        <v>59</v>
      </c>
      <c r="F459" s="34">
        <v>13</v>
      </c>
      <c r="G459" s="35" t="s">
        <v>254</v>
      </c>
      <c r="H459" s="37" cm="1">
        <f t="array" ref="H459">IFERROR(SUMPRODUCT(Tracking[Amount], --(Tracking[Date]&lt;=Tracking[[#This Row],[Date]]), (Tracking[Type]&lt;&gt;"Income") * (-1) + (Tracking[Type]="Income")), "-")</f>
        <v>7944</v>
      </c>
      <c r="I459" s="95">
        <f>IF(AND(Tracking[[#This Row],[Type]]="Income", shift_late_income_status="Active", DAY(Tracking[[#This Row],[Date]])&gt;=shift_late_income_starting_day),
      DATE(YEAR(Tracking[[#This Row],[Date]]), MONTH(Tracking[[#This Row],[Date]])+1, 1),
      Tracking[[#This Row],[Date]])</f>
        <v>45786</v>
      </c>
    </row>
    <row r="460" spans="3:9" hidden="1" outlineLevel="1" x14ac:dyDescent="0.2">
      <c r="C460" s="94">
        <v>45787</v>
      </c>
      <c r="D460" s="32" t="s">
        <v>47</v>
      </c>
      <c r="E460" s="32" t="s">
        <v>60</v>
      </c>
      <c r="F460" s="34">
        <v>82</v>
      </c>
      <c r="G460" s="35" t="s">
        <v>412</v>
      </c>
      <c r="H460" s="37" cm="1">
        <f t="array" ref="H460">IFERROR(SUMPRODUCT(Tracking[Amount], --(Tracking[Date]&lt;=Tracking[[#This Row],[Date]]), (Tracking[Type]&lt;&gt;"Income") * (-1) + (Tracking[Type]="Income")), "-")</f>
        <v>7756</v>
      </c>
      <c r="I460" s="95">
        <f>IF(AND(Tracking[[#This Row],[Type]]="Income", shift_late_income_status="Active", DAY(Tracking[[#This Row],[Date]])&gt;=shift_late_income_starting_day),
      DATE(YEAR(Tracking[[#This Row],[Date]]), MONTH(Tracking[[#This Row],[Date]])+1, 1),
      Tracking[[#This Row],[Date]])</f>
        <v>45787</v>
      </c>
    </row>
    <row r="461" spans="3:9" hidden="1" outlineLevel="1" x14ac:dyDescent="0.2">
      <c r="C461" s="94">
        <v>45787</v>
      </c>
      <c r="D461" s="32" t="s">
        <v>47</v>
      </c>
      <c r="E461" s="32" t="s">
        <v>51</v>
      </c>
      <c r="F461" s="34">
        <v>28</v>
      </c>
      <c r="G461" s="35" t="s">
        <v>278</v>
      </c>
      <c r="H461" s="37" cm="1">
        <f t="array" ref="H461">IFERROR(SUMPRODUCT(Tracking[Amount], --(Tracking[Date]&lt;=Tracking[[#This Row],[Date]]), (Tracking[Type]&lt;&gt;"Income") * (-1) + (Tracking[Type]="Income")), "-")</f>
        <v>7756</v>
      </c>
      <c r="I461" s="95">
        <f>IF(AND(Tracking[[#This Row],[Type]]="Income", shift_late_income_status="Active", DAY(Tracking[[#This Row],[Date]])&gt;=shift_late_income_starting_day),
      DATE(YEAR(Tracking[[#This Row],[Date]]), MONTH(Tracking[[#This Row],[Date]])+1, 1),
      Tracking[[#This Row],[Date]])</f>
        <v>45787</v>
      </c>
    </row>
    <row r="462" spans="3:9" hidden="1" outlineLevel="1" x14ac:dyDescent="0.2">
      <c r="C462" s="94">
        <v>45787</v>
      </c>
      <c r="D462" s="32" t="s">
        <v>47</v>
      </c>
      <c r="E462" s="32" t="s">
        <v>49</v>
      </c>
      <c r="F462" s="34">
        <v>78</v>
      </c>
      <c r="G462" s="35" t="s">
        <v>311</v>
      </c>
      <c r="H462" s="37" cm="1">
        <f t="array" ref="H462">IFERROR(SUMPRODUCT(Tracking[Amount], --(Tracking[Date]&lt;=Tracking[[#This Row],[Date]]), (Tracking[Type]&lt;&gt;"Income") * (-1) + (Tracking[Type]="Income")), "-")</f>
        <v>7756</v>
      </c>
      <c r="I462" s="95">
        <f>IF(AND(Tracking[[#This Row],[Type]]="Income", shift_late_income_status="Active", DAY(Tracking[[#This Row],[Date]])&gt;=shift_late_income_starting_day),
      DATE(YEAR(Tracking[[#This Row],[Date]]), MONTH(Tracking[[#This Row],[Date]])+1, 1),
      Tracking[[#This Row],[Date]])</f>
        <v>45787</v>
      </c>
    </row>
    <row r="463" spans="3:9" hidden="1" outlineLevel="1" x14ac:dyDescent="0.2">
      <c r="C463" s="94">
        <v>45788</v>
      </c>
      <c r="D463" s="32" t="s">
        <v>47</v>
      </c>
      <c r="E463" s="32" t="s">
        <v>48</v>
      </c>
      <c r="F463" s="34">
        <v>37</v>
      </c>
      <c r="G463" s="35"/>
      <c r="H463" s="37" cm="1">
        <f t="array" ref="H463">IFERROR(SUMPRODUCT(Tracking[Amount], --(Tracking[Date]&lt;=Tracking[[#This Row],[Date]]), (Tracking[Type]&lt;&gt;"Income") * (-1) + (Tracking[Type]="Income")), "-")</f>
        <v>7710</v>
      </c>
      <c r="I463" s="95">
        <f>IF(AND(Tracking[[#This Row],[Type]]="Income", shift_late_income_status="Active", DAY(Tracking[[#This Row],[Date]])&gt;=shift_late_income_starting_day),
      DATE(YEAR(Tracking[[#This Row],[Date]]), MONTH(Tracking[[#This Row],[Date]])+1, 1),
      Tracking[[#This Row],[Date]])</f>
        <v>45788</v>
      </c>
    </row>
    <row r="464" spans="3:9" hidden="1" outlineLevel="1" x14ac:dyDescent="0.2">
      <c r="C464" s="94">
        <v>45788</v>
      </c>
      <c r="D464" s="32" t="s">
        <v>47</v>
      </c>
      <c r="E464" s="32" t="s">
        <v>235</v>
      </c>
      <c r="F464" s="34">
        <v>9</v>
      </c>
      <c r="G464" s="35" t="s">
        <v>413</v>
      </c>
      <c r="H464" s="37" cm="1">
        <f t="array" ref="H464">IFERROR(SUMPRODUCT(Tracking[Amount], --(Tracking[Date]&lt;=Tracking[[#This Row],[Date]]), (Tracking[Type]&lt;&gt;"Income") * (-1) + (Tracking[Type]="Income")), "-")</f>
        <v>7710</v>
      </c>
      <c r="I464" s="95">
        <f>IF(AND(Tracking[[#This Row],[Type]]="Income", shift_late_income_status="Active", DAY(Tracking[[#This Row],[Date]])&gt;=shift_late_income_starting_day),
      DATE(YEAR(Tracking[[#This Row],[Date]]), MONTH(Tracking[[#This Row],[Date]])+1, 1),
      Tracking[[#This Row],[Date]])</f>
        <v>45788</v>
      </c>
    </row>
    <row r="465" spans="3:9" hidden="1" outlineLevel="1" x14ac:dyDescent="0.2">
      <c r="C465" s="94">
        <v>45790</v>
      </c>
      <c r="D465" s="32" t="s">
        <v>47</v>
      </c>
      <c r="E465" s="32" t="s">
        <v>60</v>
      </c>
      <c r="F465" s="34">
        <v>6</v>
      </c>
      <c r="G465" s="35" t="s">
        <v>338</v>
      </c>
      <c r="H465" s="37" cm="1">
        <f t="array" ref="H465">IFERROR(SUMPRODUCT(Tracking[Amount], --(Tracking[Date]&lt;=Tracking[[#This Row],[Date]]), (Tracking[Type]&lt;&gt;"Income") * (-1) + (Tracking[Type]="Income")), "-")</f>
        <v>7613</v>
      </c>
      <c r="I465" s="95">
        <f>IF(AND(Tracking[[#This Row],[Type]]="Income", shift_late_income_status="Active", DAY(Tracking[[#This Row],[Date]])&gt;=shift_late_income_starting_day),
      DATE(YEAR(Tracking[[#This Row],[Date]]), MONTH(Tracking[[#This Row],[Date]])+1, 1),
      Tracking[[#This Row],[Date]])</f>
        <v>45790</v>
      </c>
    </row>
    <row r="466" spans="3:9" hidden="1" outlineLevel="1" x14ac:dyDescent="0.2">
      <c r="C466" s="94">
        <v>45790</v>
      </c>
      <c r="D466" s="32" t="s">
        <v>47</v>
      </c>
      <c r="E466" s="32" t="s">
        <v>49</v>
      </c>
      <c r="F466" s="34">
        <v>21</v>
      </c>
      <c r="G466" s="35" t="s">
        <v>414</v>
      </c>
      <c r="H466" s="37" cm="1">
        <f t="array" ref="H466">IFERROR(SUMPRODUCT(Tracking[Amount], --(Tracking[Date]&lt;=Tracking[[#This Row],[Date]]), (Tracking[Type]&lt;&gt;"Income") * (-1) + (Tracking[Type]="Income")), "-")</f>
        <v>7613</v>
      </c>
      <c r="I466" s="95">
        <f>IF(AND(Tracking[[#This Row],[Type]]="Income", shift_late_income_status="Active", DAY(Tracking[[#This Row],[Date]])&gt;=shift_late_income_starting_day),
      DATE(YEAR(Tracking[[#This Row],[Date]]), MONTH(Tracking[[#This Row],[Date]])+1, 1),
      Tracking[[#This Row],[Date]])</f>
        <v>45790</v>
      </c>
    </row>
    <row r="467" spans="3:9" hidden="1" outlineLevel="1" x14ac:dyDescent="0.2">
      <c r="C467" s="94">
        <v>45790</v>
      </c>
      <c r="D467" s="32" t="s">
        <v>47</v>
      </c>
      <c r="E467" s="32" t="s">
        <v>52</v>
      </c>
      <c r="F467" s="34">
        <v>70</v>
      </c>
      <c r="G467" s="35" t="s">
        <v>415</v>
      </c>
      <c r="H467" s="37" cm="1">
        <f t="array" ref="H467">IFERROR(SUMPRODUCT(Tracking[Amount], --(Tracking[Date]&lt;=Tracking[[#This Row],[Date]]), (Tracking[Type]&lt;&gt;"Income") * (-1) + (Tracking[Type]="Income")), "-")</f>
        <v>7613</v>
      </c>
      <c r="I467" s="95">
        <f>IF(AND(Tracking[[#This Row],[Type]]="Income", shift_late_income_status="Active", DAY(Tracking[[#This Row],[Date]])&gt;=shift_late_income_starting_day),
      DATE(YEAR(Tracking[[#This Row],[Date]]), MONTH(Tracking[[#This Row],[Date]])+1, 1),
      Tracking[[#This Row],[Date]])</f>
        <v>45790</v>
      </c>
    </row>
    <row r="468" spans="3:9" hidden="1" outlineLevel="1" x14ac:dyDescent="0.2">
      <c r="C468" s="94">
        <v>45791</v>
      </c>
      <c r="D468" s="32" t="s">
        <v>47</v>
      </c>
      <c r="E468" s="32" t="s">
        <v>44</v>
      </c>
      <c r="F468" s="34">
        <v>135</v>
      </c>
      <c r="G468" s="35" t="s">
        <v>416</v>
      </c>
      <c r="H468" s="37" cm="1">
        <f t="array" ref="H468">IFERROR(SUMPRODUCT(Tracking[Amount], --(Tracking[Date]&lt;=Tracking[[#This Row],[Date]]), (Tracking[Type]&lt;&gt;"Income") * (-1) + (Tracking[Type]="Income")), "-")</f>
        <v>7460</v>
      </c>
      <c r="I468" s="95">
        <f>IF(AND(Tracking[[#This Row],[Type]]="Income", shift_late_income_status="Active", DAY(Tracking[[#This Row],[Date]])&gt;=shift_late_income_starting_day),
      DATE(YEAR(Tracking[[#This Row],[Date]]), MONTH(Tracking[[#This Row],[Date]])+1, 1),
      Tracking[[#This Row],[Date]])</f>
        <v>45791</v>
      </c>
    </row>
    <row r="469" spans="3:9" hidden="1" outlineLevel="1" x14ac:dyDescent="0.2">
      <c r="C469" s="94">
        <v>45791</v>
      </c>
      <c r="D469" s="32" t="s">
        <v>47</v>
      </c>
      <c r="E469" s="32" t="s">
        <v>49</v>
      </c>
      <c r="F469" s="34">
        <v>11</v>
      </c>
      <c r="G469" s="35" t="s">
        <v>417</v>
      </c>
      <c r="H469" s="37" cm="1">
        <f t="array" ref="H469">IFERROR(SUMPRODUCT(Tracking[Amount], --(Tracking[Date]&lt;=Tracking[[#This Row],[Date]]), (Tracking[Type]&lt;&gt;"Income") * (-1) + (Tracking[Type]="Income")), "-")</f>
        <v>7460</v>
      </c>
      <c r="I469" s="95">
        <f>IF(AND(Tracking[[#This Row],[Type]]="Income", shift_late_income_status="Active", DAY(Tracking[[#This Row],[Date]])&gt;=shift_late_income_starting_day),
      DATE(YEAR(Tracking[[#This Row],[Date]]), MONTH(Tracking[[#This Row],[Date]])+1, 1),
      Tracking[[#This Row],[Date]])</f>
        <v>45791</v>
      </c>
    </row>
    <row r="470" spans="3:9" hidden="1" outlineLevel="1" x14ac:dyDescent="0.2">
      <c r="C470" s="94">
        <v>45791</v>
      </c>
      <c r="D470" s="32" t="s">
        <v>47</v>
      </c>
      <c r="E470" s="32" t="s">
        <v>48</v>
      </c>
      <c r="F470" s="34">
        <v>7</v>
      </c>
      <c r="G470" s="35"/>
      <c r="H470" s="37" cm="1">
        <f t="array" ref="H470">IFERROR(SUMPRODUCT(Tracking[Amount], --(Tracking[Date]&lt;=Tracking[[#This Row],[Date]]), (Tracking[Type]&lt;&gt;"Income") * (-1) + (Tracking[Type]="Income")), "-")</f>
        <v>7460</v>
      </c>
      <c r="I470" s="95">
        <f>IF(AND(Tracking[[#This Row],[Type]]="Income", shift_late_income_status="Active", DAY(Tracking[[#This Row],[Date]])&gt;=shift_late_income_starting_day),
      DATE(YEAR(Tracking[[#This Row],[Date]]), MONTH(Tracking[[#This Row],[Date]])+1, 1),
      Tracking[[#This Row],[Date]])</f>
        <v>45791</v>
      </c>
    </row>
    <row r="471" spans="3:9" hidden="1" outlineLevel="1" x14ac:dyDescent="0.2">
      <c r="C471" s="94">
        <v>45792</v>
      </c>
      <c r="D471" s="32" t="s">
        <v>47</v>
      </c>
      <c r="E471" s="32" t="s">
        <v>44</v>
      </c>
      <c r="F471" s="34">
        <v>35</v>
      </c>
      <c r="G471" s="35" t="s">
        <v>418</v>
      </c>
      <c r="H471" s="37" cm="1">
        <f t="array" ref="H471">IFERROR(SUMPRODUCT(Tracking[Amount], --(Tracking[Date]&lt;=Tracking[[#This Row],[Date]]), (Tracking[Type]&lt;&gt;"Income") * (-1) + (Tracking[Type]="Income")), "-")</f>
        <v>7325</v>
      </c>
      <c r="I471" s="95">
        <f>IF(AND(Tracking[[#This Row],[Type]]="Income", shift_late_income_status="Active", DAY(Tracking[[#This Row],[Date]])&gt;=shift_late_income_starting_day),
      DATE(YEAR(Tracking[[#This Row],[Date]]), MONTH(Tracking[[#This Row],[Date]])+1, 1),
      Tracking[[#This Row],[Date]])</f>
        <v>45792</v>
      </c>
    </row>
    <row r="472" spans="3:9" hidden="1" outlineLevel="1" x14ac:dyDescent="0.2">
      <c r="C472" s="94">
        <v>45792</v>
      </c>
      <c r="D472" s="32" t="s">
        <v>47</v>
      </c>
      <c r="E472" s="32" t="s">
        <v>44</v>
      </c>
      <c r="F472" s="34">
        <v>100</v>
      </c>
      <c r="G472" s="35" t="s">
        <v>419</v>
      </c>
      <c r="H472" s="37" cm="1">
        <f t="array" ref="H472">IFERROR(SUMPRODUCT(Tracking[Amount], --(Tracking[Date]&lt;=Tracking[[#This Row],[Date]]), (Tracking[Type]&lt;&gt;"Income") * (-1) + (Tracking[Type]="Income")), "-")</f>
        <v>7325</v>
      </c>
      <c r="I472" s="95">
        <f>IF(AND(Tracking[[#This Row],[Type]]="Income", shift_late_income_status="Active", DAY(Tracking[[#This Row],[Date]])&gt;=shift_late_income_starting_day),
      DATE(YEAR(Tracking[[#This Row],[Date]]), MONTH(Tracking[[#This Row],[Date]])+1, 1),
      Tracking[[#This Row],[Date]])</f>
        <v>45792</v>
      </c>
    </row>
    <row r="473" spans="3:9" hidden="1" outlineLevel="1" x14ac:dyDescent="0.2">
      <c r="C473" s="94">
        <v>45793</v>
      </c>
      <c r="D473" s="32" t="s">
        <v>47</v>
      </c>
      <c r="E473" s="32" t="s">
        <v>49</v>
      </c>
      <c r="F473" s="34">
        <v>24</v>
      </c>
      <c r="G473" s="35" t="s">
        <v>420</v>
      </c>
      <c r="H473" s="37" cm="1">
        <f t="array" ref="H473">IFERROR(SUMPRODUCT(Tracking[Amount], --(Tracking[Date]&lt;=Tracking[[#This Row],[Date]]), (Tracking[Type]&lt;&gt;"Income") * (-1) + (Tracking[Type]="Income")), "-")</f>
        <v>7266</v>
      </c>
      <c r="I473" s="95">
        <f>IF(AND(Tracking[[#This Row],[Type]]="Income", shift_late_income_status="Active", DAY(Tracking[[#This Row],[Date]])&gt;=shift_late_income_starting_day),
      DATE(YEAR(Tracking[[#This Row],[Date]]), MONTH(Tracking[[#This Row],[Date]])+1, 1),
      Tracking[[#This Row],[Date]])</f>
        <v>45793</v>
      </c>
    </row>
    <row r="474" spans="3:9" hidden="1" outlineLevel="1" x14ac:dyDescent="0.2">
      <c r="C474" s="94">
        <v>45793</v>
      </c>
      <c r="D474" s="32" t="s">
        <v>47</v>
      </c>
      <c r="E474" s="32" t="s">
        <v>60</v>
      </c>
      <c r="F474" s="34">
        <v>1</v>
      </c>
      <c r="G474" s="35" t="s">
        <v>232</v>
      </c>
      <c r="H474" s="37" cm="1">
        <f t="array" ref="H474">IFERROR(SUMPRODUCT(Tracking[Amount], --(Tracking[Date]&lt;=Tracking[[#This Row],[Date]]), (Tracking[Type]&lt;&gt;"Income") * (-1) + (Tracking[Type]="Income")), "-")</f>
        <v>7266</v>
      </c>
      <c r="I474" s="95">
        <f>IF(AND(Tracking[[#This Row],[Type]]="Income", shift_late_income_status="Active", DAY(Tracking[[#This Row],[Date]])&gt;=shift_late_income_starting_day),
      DATE(YEAR(Tracking[[#This Row],[Date]]), MONTH(Tracking[[#This Row],[Date]])+1, 1),
      Tracking[[#This Row],[Date]])</f>
        <v>45793</v>
      </c>
    </row>
    <row r="475" spans="3:9" hidden="1" outlineLevel="1" x14ac:dyDescent="0.2">
      <c r="C475" s="94">
        <v>45793</v>
      </c>
      <c r="D475" s="32" t="s">
        <v>47</v>
      </c>
      <c r="E475" s="32" t="s">
        <v>44</v>
      </c>
      <c r="F475" s="34">
        <v>34</v>
      </c>
      <c r="G475" s="35" t="s">
        <v>380</v>
      </c>
      <c r="H475" s="37" cm="1">
        <f t="array" ref="H475">IFERROR(SUMPRODUCT(Tracking[Amount], --(Tracking[Date]&lt;=Tracking[[#This Row],[Date]]), (Tracking[Type]&lt;&gt;"Income") * (-1) + (Tracking[Type]="Income")), "-")</f>
        <v>7266</v>
      </c>
      <c r="I475" s="95">
        <f>IF(AND(Tracking[[#This Row],[Type]]="Income", shift_late_income_status="Active", DAY(Tracking[[#This Row],[Date]])&gt;=shift_late_income_starting_day),
      DATE(YEAR(Tracking[[#This Row],[Date]]), MONTH(Tracking[[#This Row],[Date]])+1, 1),
      Tracking[[#This Row],[Date]])</f>
        <v>45793</v>
      </c>
    </row>
    <row r="476" spans="3:9" hidden="1" outlineLevel="1" x14ac:dyDescent="0.2">
      <c r="C476" s="94">
        <v>45794</v>
      </c>
      <c r="D476" s="32" t="s">
        <v>47</v>
      </c>
      <c r="E476" s="32" t="s">
        <v>51</v>
      </c>
      <c r="F476" s="34">
        <v>80</v>
      </c>
      <c r="G476" s="35" t="s">
        <v>358</v>
      </c>
      <c r="H476" s="37" cm="1">
        <f t="array" ref="H476">IFERROR(SUMPRODUCT(Tracking[Amount], --(Tracking[Date]&lt;=Tracking[[#This Row],[Date]]), (Tracking[Type]&lt;&gt;"Income") * (-1) + (Tracking[Type]="Income")), "-")</f>
        <v>7142</v>
      </c>
      <c r="I476" s="95">
        <f>IF(AND(Tracking[[#This Row],[Type]]="Income", shift_late_income_status="Active", DAY(Tracking[[#This Row],[Date]])&gt;=shift_late_income_starting_day),
      DATE(YEAR(Tracking[[#This Row],[Date]]), MONTH(Tracking[[#This Row],[Date]])+1, 1),
      Tracking[[#This Row],[Date]])</f>
        <v>45794</v>
      </c>
    </row>
    <row r="477" spans="3:9" hidden="1" outlineLevel="1" x14ac:dyDescent="0.2">
      <c r="C477" s="94">
        <v>45794</v>
      </c>
      <c r="D477" s="32" t="s">
        <v>47</v>
      </c>
      <c r="E477" s="32" t="s">
        <v>44</v>
      </c>
      <c r="F477" s="34">
        <v>44</v>
      </c>
      <c r="G477" s="35" t="s">
        <v>421</v>
      </c>
      <c r="H477" s="37" cm="1">
        <f t="array" ref="H477">IFERROR(SUMPRODUCT(Tracking[Amount], --(Tracking[Date]&lt;=Tracking[[#This Row],[Date]]), (Tracking[Type]&lt;&gt;"Income") * (-1) + (Tracking[Type]="Income")), "-")</f>
        <v>7142</v>
      </c>
      <c r="I477" s="95">
        <f>IF(AND(Tracking[[#This Row],[Type]]="Income", shift_late_income_status="Active", DAY(Tracking[[#This Row],[Date]])&gt;=shift_late_income_starting_day),
      DATE(YEAR(Tracking[[#This Row],[Date]]), MONTH(Tracking[[#This Row],[Date]])+1, 1),
      Tracking[[#This Row],[Date]])</f>
        <v>45794</v>
      </c>
    </row>
    <row r="478" spans="3:9" hidden="1" outlineLevel="1" x14ac:dyDescent="0.2">
      <c r="C478" s="94">
        <v>45795</v>
      </c>
      <c r="D478" s="32" t="s">
        <v>47</v>
      </c>
      <c r="E478" s="32" t="s">
        <v>58</v>
      </c>
      <c r="F478" s="34">
        <v>190</v>
      </c>
      <c r="G478" s="35" t="s">
        <v>422</v>
      </c>
      <c r="H478" s="37" cm="1">
        <f t="array" ref="H478">IFERROR(SUMPRODUCT(Tracking[Amount], --(Tracking[Date]&lt;=Tracking[[#This Row],[Date]]), (Tracking[Type]&lt;&gt;"Income") * (-1) + (Tracking[Type]="Income")), "-")</f>
        <v>6892</v>
      </c>
      <c r="I478" s="95">
        <f>IF(AND(Tracking[[#This Row],[Type]]="Income", shift_late_income_status="Active", DAY(Tracking[[#This Row],[Date]])&gt;=shift_late_income_starting_day),
      DATE(YEAR(Tracking[[#This Row],[Date]]), MONTH(Tracking[[#This Row],[Date]])+1, 1),
      Tracking[[#This Row],[Date]])</f>
        <v>45795</v>
      </c>
    </row>
    <row r="479" spans="3:9" hidden="1" outlineLevel="1" x14ac:dyDescent="0.2">
      <c r="C479" s="94">
        <v>45795</v>
      </c>
      <c r="D479" s="32" t="s">
        <v>47</v>
      </c>
      <c r="E479" s="32" t="s">
        <v>49</v>
      </c>
      <c r="F479" s="34">
        <v>60</v>
      </c>
      <c r="G479" s="35" t="s">
        <v>423</v>
      </c>
      <c r="H479" s="37" cm="1">
        <f t="array" ref="H479">IFERROR(SUMPRODUCT(Tracking[Amount], --(Tracking[Date]&lt;=Tracking[[#This Row],[Date]]), (Tracking[Type]&lt;&gt;"Income") * (-1) + (Tracking[Type]="Income")), "-")</f>
        <v>6892</v>
      </c>
      <c r="I479" s="95">
        <f>IF(AND(Tracking[[#This Row],[Type]]="Income", shift_late_income_status="Active", DAY(Tracking[[#This Row],[Date]])&gt;=shift_late_income_starting_day),
      DATE(YEAR(Tracking[[#This Row],[Date]]), MONTH(Tracking[[#This Row],[Date]])+1, 1),
      Tracking[[#This Row],[Date]])</f>
        <v>45795</v>
      </c>
    </row>
    <row r="480" spans="3:9" hidden="1" outlineLevel="1" x14ac:dyDescent="0.2">
      <c r="C480" s="94">
        <v>45796</v>
      </c>
      <c r="D480" s="32" t="s">
        <v>47</v>
      </c>
      <c r="E480" s="32" t="s">
        <v>59</v>
      </c>
      <c r="F480" s="34">
        <v>21</v>
      </c>
      <c r="G480" s="35" t="s">
        <v>218</v>
      </c>
      <c r="H480" s="37" cm="1">
        <f t="array" ref="H480">IFERROR(SUMPRODUCT(Tracking[Amount], --(Tracking[Date]&lt;=Tracking[[#This Row],[Date]]), (Tracking[Type]&lt;&gt;"Income") * (-1) + (Tracking[Type]="Income")), "-")</f>
        <v>6754</v>
      </c>
      <c r="I480" s="95">
        <f>IF(AND(Tracking[[#This Row],[Type]]="Income", shift_late_income_status="Active", DAY(Tracking[[#This Row],[Date]])&gt;=shift_late_income_starting_day),
      DATE(YEAR(Tracking[[#This Row],[Date]]), MONTH(Tracking[[#This Row],[Date]])+1, 1),
      Tracking[[#This Row],[Date]])</f>
        <v>45796</v>
      </c>
    </row>
    <row r="481" spans="3:9" hidden="1" outlineLevel="1" x14ac:dyDescent="0.2">
      <c r="C481" s="94">
        <v>45796</v>
      </c>
      <c r="D481" s="32" t="s">
        <v>47</v>
      </c>
      <c r="E481" s="32" t="s">
        <v>59</v>
      </c>
      <c r="F481" s="34">
        <v>5</v>
      </c>
      <c r="G481" s="35" t="s">
        <v>424</v>
      </c>
      <c r="H481" s="37" cm="1">
        <f t="array" ref="H481">IFERROR(SUMPRODUCT(Tracking[Amount], --(Tracking[Date]&lt;=Tracking[[#This Row],[Date]]), (Tracking[Type]&lt;&gt;"Income") * (-1) + (Tracking[Type]="Income")), "-")</f>
        <v>6754</v>
      </c>
      <c r="I481" s="95">
        <f>IF(AND(Tracking[[#This Row],[Type]]="Income", shift_late_income_status="Active", DAY(Tracking[[#This Row],[Date]])&gt;=shift_late_income_starting_day),
      DATE(YEAR(Tracking[[#This Row],[Date]]), MONTH(Tracking[[#This Row],[Date]])+1, 1),
      Tracking[[#This Row],[Date]])</f>
        <v>45796</v>
      </c>
    </row>
    <row r="482" spans="3:9" hidden="1" outlineLevel="1" x14ac:dyDescent="0.2">
      <c r="C482" s="94">
        <v>45796</v>
      </c>
      <c r="D482" s="32" t="s">
        <v>47</v>
      </c>
      <c r="E482" s="32" t="s">
        <v>48</v>
      </c>
      <c r="F482" s="34">
        <v>40</v>
      </c>
      <c r="G482" s="35" t="s">
        <v>425</v>
      </c>
      <c r="H482" s="37" cm="1">
        <f t="array" ref="H482">IFERROR(SUMPRODUCT(Tracking[Amount], --(Tracking[Date]&lt;=Tracking[[#This Row],[Date]]), (Tracking[Type]&lt;&gt;"Income") * (-1) + (Tracking[Type]="Income")), "-")</f>
        <v>6754</v>
      </c>
      <c r="I482" s="95">
        <f>IF(AND(Tracking[[#This Row],[Type]]="Income", shift_late_income_status="Active", DAY(Tracking[[#This Row],[Date]])&gt;=shift_late_income_starting_day),
      DATE(YEAR(Tracking[[#This Row],[Date]]), MONTH(Tracking[[#This Row],[Date]])+1, 1),
      Tracking[[#This Row],[Date]])</f>
        <v>45796</v>
      </c>
    </row>
    <row r="483" spans="3:9" hidden="1" outlineLevel="1" x14ac:dyDescent="0.2">
      <c r="C483" s="94">
        <v>45796</v>
      </c>
      <c r="D483" s="32" t="s">
        <v>47</v>
      </c>
      <c r="E483" s="32" t="s">
        <v>49</v>
      </c>
      <c r="F483" s="34">
        <v>72</v>
      </c>
      <c r="G483" s="35" t="s">
        <v>426</v>
      </c>
      <c r="H483" s="37" cm="1">
        <f t="array" ref="H483">IFERROR(SUMPRODUCT(Tracking[Amount], --(Tracking[Date]&lt;=Tracking[[#This Row],[Date]]), (Tracking[Type]&lt;&gt;"Income") * (-1) + (Tracking[Type]="Income")), "-")</f>
        <v>6754</v>
      </c>
      <c r="I483" s="95">
        <f>IF(AND(Tracking[[#This Row],[Type]]="Income", shift_late_income_status="Active", DAY(Tracking[[#This Row],[Date]])&gt;=shift_late_income_starting_day),
      DATE(YEAR(Tracking[[#This Row],[Date]]), MONTH(Tracking[[#This Row],[Date]])+1, 1),
      Tracking[[#This Row],[Date]])</f>
        <v>45796</v>
      </c>
    </row>
    <row r="484" spans="3:9" hidden="1" outlineLevel="1" x14ac:dyDescent="0.2">
      <c r="C484" s="94">
        <v>45797</v>
      </c>
      <c r="D484" s="32" t="s">
        <v>47</v>
      </c>
      <c r="E484" s="32" t="s">
        <v>48</v>
      </c>
      <c r="F484" s="34">
        <v>12</v>
      </c>
      <c r="G484" s="35"/>
      <c r="H484" s="37" cm="1">
        <f t="array" ref="H484">IFERROR(SUMPRODUCT(Tracking[Amount], --(Tracking[Date]&lt;=Tracking[[#This Row],[Date]]), (Tracking[Type]&lt;&gt;"Income") * (-1) + (Tracking[Type]="Income")), "-")</f>
        <v>6724</v>
      </c>
      <c r="I484" s="95">
        <f>IF(AND(Tracking[[#This Row],[Type]]="Income", shift_late_income_status="Active", DAY(Tracking[[#This Row],[Date]])&gt;=shift_late_income_starting_day),
      DATE(YEAR(Tracking[[#This Row],[Date]]), MONTH(Tracking[[#This Row],[Date]])+1, 1),
      Tracking[[#This Row],[Date]])</f>
        <v>45797</v>
      </c>
    </row>
    <row r="485" spans="3:9" hidden="1" outlineLevel="1" x14ac:dyDescent="0.2">
      <c r="C485" s="94">
        <v>45798</v>
      </c>
      <c r="D485" s="32" t="s">
        <v>47</v>
      </c>
      <c r="E485" s="32" t="s">
        <v>49</v>
      </c>
      <c r="F485" s="34">
        <v>22</v>
      </c>
      <c r="G485" s="35" t="s">
        <v>414</v>
      </c>
      <c r="H485" s="37" cm="1">
        <f t="array" ref="H485">IFERROR(SUMPRODUCT(Tracking[Amount], --(Tracking[Date]&lt;=Tracking[[#This Row],[Date]]), (Tracking[Type]&lt;&gt;"Income") * (-1) + (Tracking[Type]="Income")), "-")</f>
        <v>4787</v>
      </c>
      <c r="I485" s="95">
        <f>IF(AND(Tracking[[#This Row],[Type]]="Income", shift_late_income_status="Active", DAY(Tracking[[#This Row],[Date]])&gt;=shift_late_income_starting_day),
      DATE(YEAR(Tracking[[#This Row],[Date]]), MONTH(Tracking[[#This Row],[Date]])+1, 1),
      Tracking[[#This Row],[Date]])</f>
        <v>45798</v>
      </c>
    </row>
    <row r="486" spans="3:9" hidden="1" outlineLevel="1" x14ac:dyDescent="0.2">
      <c r="C486" s="94">
        <v>45798</v>
      </c>
      <c r="D486" s="32" t="s">
        <v>47</v>
      </c>
      <c r="E486" s="32" t="s">
        <v>52</v>
      </c>
      <c r="F486" s="34">
        <v>445</v>
      </c>
      <c r="G486" s="35" t="s">
        <v>427</v>
      </c>
      <c r="H486" s="37" cm="1">
        <f t="array" ref="H486">IFERROR(SUMPRODUCT(Tracking[Amount], --(Tracking[Date]&lt;=Tracking[[#This Row],[Date]]), (Tracking[Type]&lt;&gt;"Income") * (-1) + (Tracking[Type]="Income")), "-")</f>
        <v>4787</v>
      </c>
      <c r="I486" s="95">
        <f>IF(AND(Tracking[[#This Row],[Type]]="Income", shift_late_income_status="Active", DAY(Tracking[[#This Row],[Date]])&gt;=shift_late_income_starting_day),
      DATE(YEAR(Tracking[[#This Row],[Date]]), MONTH(Tracking[[#This Row],[Date]])+1, 1),
      Tracking[[#This Row],[Date]])</f>
        <v>45798</v>
      </c>
    </row>
    <row r="487" spans="3:9" hidden="1" outlineLevel="1" x14ac:dyDescent="0.2">
      <c r="C487" s="94">
        <v>45798</v>
      </c>
      <c r="D487" s="32" t="s">
        <v>47</v>
      </c>
      <c r="E487" s="32" t="s">
        <v>54</v>
      </c>
      <c r="F487" s="34">
        <v>312</v>
      </c>
      <c r="G487" s="35" t="s">
        <v>428</v>
      </c>
      <c r="H487" s="37" cm="1">
        <f t="array" ref="H487">IFERROR(SUMPRODUCT(Tracking[Amount], --(Tracking[Date]&lt;=Tracking[[#This Row],[Date]]), (Tracking[Type]&lt;&gt;"Income") * (-1) + (Tracking[Type]="Income")), "-")</f>
        <v>4787</v>
      </c>
      <c r="I487" s="95">
        <f>IF(AND(Tracking[[#This Row],[Type]]="Income", shift_late_income_status="Active", DAY(Tracking[[#This Row],[Date]])&gt;=shift_late_income_starting_day),
      DATE(YEAR(Tracking[[#This Row],[Date]]), MONTH(Tracking[[#This Row],[Date]])+1, 1),
      Tracking[[#This Row],[Date]])</f>
        <v>45798</v>
      </c>
    </row>
    <row r="488" spans="3:9" hidden="1" outlineLevel="1" x14ac:dyDescent="0.2">
      <c r="C488" s="94">
        <v>45798</v>
      </c>
      <c r="D488" s="32" t="s">
        <v>47</v>
      </c>
      <c r="E488" s="32" t="s">
        <v>54</v>
      </c>
      <c r="F488" s="34">
        <v>58</v>
      </c>
      <c r="G488" s="35" t="s">
        <v>429</v>
      </c>
      <c r="H488" s="37" cm="1">
        <f t="array" ref="H488">IFERROR(SUMPRODUCT(Tracking[Amount], --(Tracking[Date]&lt;=Tracking[[#This Row],[Date]]), (Tracking[Type]&lt;&gt;"Income") * (-1) + (Tracking[Type]="Income")), "-")</f>
        <v>4787</v>
      </c>
      <c r="I488" s="95">
        <f>IF(AND(Tracking[[#This Row],[Type]]="Income", shift_late_income_status="Active", DAY(Tracking[[#This Row],[Date]])&gt;=shift_late_income_starting_day),
      DATE(YEAR(Tracking[[#This Row],[Date]]), MONTH(Tracking[[#This Row],[Date]])+1, 1),
      Tracking[[#This Row],[Date]])</f>
        <v>45798</v>
      </c>
    </row>
    <row r="489" spans="3:9" hidden="1" outlineLevel="1" x14ac:dyDescent="0.2">
      <c r="C489" s="94">
        <v>45798</v>
      </c>
      <c r="D489" s="32" t="s">
        <v>47</v>
      </c>
      <c r="E489" s="32" t="s">
        <v>56</v>
      </c>
      <c r="F489" s="34">
        <v>1000</v>
      </c>
      <c r="G489" s="35" t="s">
        <v>430</v>
      </c>
      <c r="H489" s="37" cm="1">
        <f t="array" ref="H489">IFERROR(SUMPRODUCT(Tracking[Amount], --(Tracking[Date]&lt;=Tracking[[#This Row],[Date]]), (Tracking[Type]&lt;&gt;"Income") * (-1) + (Tracking[Type]="Income")), "-")</f>
        <v>4787</v>
      </c>
      <c r="I489" s="95">
        <f>IF(AND(Tracking[[#This Row],[Type]]="Income", shift_late_income_status="Active", DAY(Tracking[[#This Row],[Date]])&gt;=shift_late_income_starting_day),
      DATE(YEAR(Tracking[[#This Row],[Date]]), MONTH(Tracking[[#This Row],[Date]])+1, 1),
      Tracking[[#This Row],[Date]])</f>
        <v>45798</v>
      </c>
    </row>
    <row r="490" spans="3:9" hidden="1" outlineLevel="1" x14ac:dyDescent="0.2">
      <c r="C490" s="94">
        <v>45798</v>
      </c>
      <c r="D490" s="32" t="s">
        <v>47</v>
      </c>
      <c r="E490" s="32" t="s">
        <v>50</v>
      </c>
      <c r="F490" s="34">
        <v>100</v>
      </c>
      <c r="G490" s="35" t="s">
        <v>431</v>
      </c>
      <c r="H490" s="37" cm="1">
        <f t="array" ref="H490">IFERROR(SUMPRODUCT(Tracking[Amount], --(Tracking[Date]&lt;=Tracking[[#This Row],[Date]]), (Tracking[Type]&lt;&gt;"Income") * (-1) + (Tracking[Type]="Income")), "-")</f>
        <v>4787</v>
      </c>
      <c r="I490" s="95">
        <f>IF(AND(Tracking[[#This Row],[Type]]="Income", shift_late_income_status="Active", DAY(Tracking[[#This Row],[Date]])&gt;=shift_late_income_starting_day),
      DATE(YEAR(Tracking[[#This Row],[Date]]), MONTH(Tracking[[#This Row],[Date]])+1, 1),
      Tracking[[#This Row],[Date]])</f>
        <v>45798</v>
      </c>
    </row>
    <row r="491" spans="3:9" hidden="1" outlineLevel="1" x14ac:dyDescent="0.2">
      <c r="C491" s="94">
        <v>45797</v>
      </c>
      <c r="D491" s="32" t="s">
        <v>47</v>
      </c>
      <c r="E491" s="32" t="s">
        <v>44</v>
      </c>
      <c r="F491" s="34">
        <v>18</v>
      </c>
      <c r="G491" s="35" t="s">
        <v>432</v>
      </c>
      <c r="H491" s="37" cm="1">
        <f t="array" ref="H491">IFERROR(SUMPRODUCT(Tracking[Amount], --(Tracking[Date]&lt;=Tracking[[#This Row],[Date]]), (Tracking[Type]&lt;&gt;"Income") * (-1) + (Tracking[Type]="Income")), "-")</f>
        <v>6724</v>
      </c>
      <c r="I491" s="95">
        <f>IF(AND(Tracking[[#This Row],[Type]]="Income", shift_late_income_status="Active", DAY(Tracking[[#This Row],[Date]])&gt;=shift_late_income_starting_day),
      DATE(YEAR(Tracking[[#This Row],[Date]]), MONTH(Tracking[[#This Row],[Date]])+1, 1),
      Tracking[[#This Row],[Date]])</f>
        <v>45797</v>
      </c>
    </row>
    <row r="492" spans="3:9" hidden="1" outlineLevel="1" x14ac:dyDescent="0.2">
      <c r="C492" s="94">
        <v>45799</v>
      </c>
      <c r="D492" s="32" t="s">
        <v>47</v>
      </c>
      <c r="E492" s="32" t="s">
        <v>48</v>
      </c>
      <c r="F492" s="34">
        <v>123</v>
      </c>
      <c r="G492" s="35" t="s">
        <v>433</v>
      </c>
      <c r="H492" s="37" cm="1">
        <f t="array" ref="H492">IFERROR(SUMPRODUCT(Tracking[Amount], --(Tracking[Date]&lt;=Tracking[[#This Row],[Date]]), (Tracking[Type]&lt;&gt;"Income") * (-1) + (Tracking[Type]="Income")), "-")</f>
        <v>4577</v>
      </c>
      <c r="I492" s="95">
        <f>IF(AND(Tracking[[#This Row],[Type]]="Income", shift_late_income_status="Active", DAY(Tracking[[#This Row],[Date]])&gt;=shift_late_income_starting_day),
      DATE(YEAR(Tracking[[#This Row],[Date]]), MONTH(Tracking[[#This Row],[Date]])+1, 1),
      Tracking[[#This Row],[Date]])</f>
        <v>45799</v>
      </c>
    </row>
    <row r="493" spans="3:9" hidden="1" outlineLevel="1" x14ac:dyDescent="0.2">
      <c r="C493" s="94">
        <v>45799</v>
      </c>
      <c r="D493" s="32" t="s">
        <v>47</v>
      </c>
      <c r="E493" s="32" t="s">
        <v>53</v>
      </c>
      <c r="F493" s="34">
        <v>3</v>
      </c>
      <c r="G493" s="35" t="s">
        <v>434</v>
      </c>
      <c r="H493" s="37" cm="1">
        <f t="array" ref="H493">IFERROR(SUMPRODUCT(Tracking[Amount], --(Tracking[Date]&lt;=Tracking[[#This Row],[Date]]), (Tracking[Type]&lt;&gt;"Income") * (-1) + (Tracking[Type]="Income")), "-")</f>
        <v>4577</v>
      </c>
      <c r="I493" s="95">
        <f>IF(AND(Tracking[[#This Row],[Type]]="Income", shift_late_income_status="Active", DAY(Tracking[[#This Row],[Date]])&gt;=shift_late_income_starting_day),
      DATE(YEAR(Tracking[[#This Row],[Date]]), MONTH(Tracking[[#This Row],[Date]])+1, 1),
      Tracking[[#This Row],[Date]])</f>
        <v>45799</v>
      </c>
    </row>
    <row r="494" spans="3:9" hidden="1" outlineLevel="1" x14ac:dyDescent="0.2">
      <c r="C494" s="94">
        <v>45799</v>
      </c>
      <c r="D494" s="32" t="s">
        <v>47</v>
      </c>
      <c r="E494" s="32" t="s">
        <v>60</v>
      </c>
      <c r="F494" s="34">
        <v>6</v>
      </c>
      <c r="G494" s="35" t="s">
        <v>338</v>
      </c>
      <c r="H494" s="37" cm="1">
        <f t="array" ref="H494">IFERROR(SUMPRODUCT(Tracking[Amount], --(Tracking[Date]&lt;=Tracking[[#This Row],[Date]]), (Tracking[Type]&lt;&gt;"Income") * (-1) + (Tracking[Type]="Income")), "-")</f>
        <v>4577</v>
      </c>
      <c r="I494" s="95">
        <f>IF(AND(Tracking[[#This Row],[Type]]="Income", shift_late_income_status="Active", DAY(Tracking[[#This Row],[Date]])&gt;=shift_late_income_starting_day),
      DATE(YEAR(Tracking[[#This Row],[Date]]), MONTH(Tracking[[#This Row],[Date]])+1, 1),
      Tracking[[#This Row],[Date]])</f>
        <v>45799</v>
      </c>
    </row>
    <row r="495" spans="3:9" hidden="1" outlineLevel="1" x14ac:dyDescent="0.2">
      <c r="C495" s="94">
        <v>45799</v>
      </c>
      <c r="D495" s="32" t="s">
        <v>47</v>
      </c>
      <c r="E495" s="32" t="s">
        <v>59</v>
      </c>
      <c r="F495" s="34">
        <v>10</v>
      </c>
      <c r="G495" s="35" t="s">
        <v>353</v>
      </c>
      <c r="H495" s="37" cm="1">
        <f t="array" ref="H495">IFERROR(SUMPRODUCT(Tracking[Amount], --(Tracking[Date]&lt;=Tracking[[#This Row],[Date]]), (Tracking[Type]&lt;&gt;"Income") * (-1) + (Tracking[Type]="Income")), "-")</f>
        <v>4577</v>
      </c>
      <c r="I495" s="95">
        <f>IF(AND(Tracking[[#This Row],[Type]]="Income", shift_late_income_status="Active", DAY(Tracking[[#This Row],[Date]])&gt;=shift_late_income_starting_day),
      DATE(YEAR(Tracking[[#This Row],[Date]]), MONTH(Tracking[[#This Row],[Date]])+1, 1),
      Tracking[[#This Row],[Date]])</f>
        <v>45799</v>
      </c>
    </row>
    <row r="496" spans="3:9" hidden="1" outlineLevel="1" x14ac:dyDescent="0.2">
      <c r="C496" s="94">
        <v>45799</v>
      </c>
      <c r="D496" s="32" t="s">
        <v>47</v>
      </c>
      <c r="E496" s="32" t="s">
        <v>235</v>
      </c>
      <c r="F496" s="34">
        <v>54</v>
      </c>
      <c r="G496" s="35" t="s">
        <v>231</v>
      </c>
      <c r="H496" s="37" cm="1">
        <f t="array" ref="H496">IFERROR(SUMPRODUCT(Tracking[Amount], --(Tracking[Date]&lt;=Tracking[[#This Row],[Date]]), (Tracking[Type]&lt;&gt;"Income") * (-1) + (Tracking[Type]="Income")), "-")</f>
        <v>4577</v>
      </c>
      <c r="I496" s="95">
        <f>IF(AND(Tracking[[#This Row],[Type]]="Income", shift_late_income_status="Active", DAY(Tracking[[#This Row],[Date]])&gt;=shift_late_income_starting_day),
      DATE(YEAR(Tracking[[#This Row],[Date]]), MONTH(Tracking[[#This Row],[Date]])+1, 1),
      Tracking[[#This Row],[Date]])</f>
        <v>45799</v>
      </c>
    </row>
    <row r="497" spans="3:9" hidden="1" outlineLevel="1" x14ac:dyDescent="0.2">
      <c r="C497" s="94">
        <v>45799</v>
      </c>
      <c r="D497" s="32" t="s">
        <v>47</v>
      </c>
      <c r="E497" s="32" t="s">
        <v>48</v>
      </c>
      <c r="F497" s="34">
        <v>14</v>
      </c>
      <c r="G497" s="35"/>
      <c r="H497" s="37" cm="1">
        <f t="array" ref="H497">IFERROR(SUMPRODUCT(Tracking[Amount], --(Tracking[Date]&lt;=Tracking[[#This Row],[Date]]), (Tracking[Type]&lt;&gt;"Income") * (-1) + (Tracking[Type]="Income")), "-")</f>
        <v>4577</v>
      </c>
      <c r="I497" s="95">
        <f>IF(AND(Tracking[[#This Row],[Type]]="Income", shift_late_income_status="Active", DAY(Tracking[[#This Row],[Date]])&gt;=shift_late_income_starting_day),
      DATE(YEAR(Tracking[[#This Row],[Date]]), MONTH(Tracking[[#This Row],[Date]])+1, 1),
      Tracking[[#This Row],[Date]])</f>
        <v>45799</v>
      </c>
    </row>
    <row r="498" spans="3:9" hidden="1" outlineLevel="1" x14ac:dyDescent="0.2">
      <c r="C498" s="94">
        <v>45801</v>
      </c>
      <c r="D498" s="32" t="s">
        <v>47</v>
      </c>
      <c r="E498" s="32" t="s">
        <v>58</v>
      </c>
      <c r="F498" s="34">
        <v>98</v>
      </c>
      <c r="G498" s="35" t="s">
        <v>435</v>
      </c>
      <c r="H498" s="37" cm="1">
        <f t="array" ref="H498">IFERROR(SUMPRODUCT(Tracking[Amount], --(Tracking[Date]&lt;=Tracking[[#This Row],[Date]]), (Tracking[Type]&lt;&gt;"Income") * (-1) + (Tracking[Type]="Income")), "-")</f>
        <v>4395</v>
      </c>
      <c r="I498" s="95">
        <f>IF(AND(Tracking[[#This Row],[Type]]="Income", shift_late_income_status="Active", DAY(Tracking[[#This Row],[Date]])&gt;=shift_late_income_starting_day),
      DATE(YEAR(Tracking[[#This Row],[Date]]), MONTH(Tracking[[#This Row],[Date]])+1, 1),
      Tracking[[#This Row],[Date]])</f>
        <v>45801</v>
      </c>
    </row>
    <row r="499" spans="3:9" hidden="1" outlineLevel="1" x14ac:dyDescent="0.2">
      <c r="C499" s="94">
        <v>45801</v>
      </c>
      <c r="D499" s="32" t="s">
        <v>47</v>
      </c>
      <c r="E499" s="32" t="s">
        <v>49</v>
      </c>
      <c r="F499" s="34">
        <v>8</v>
      </c>
      <c r="G499" s="35" t="s">
        <v>436</v>
      </c>
      <c r="H499" s="37" cm="1">
        <f t="array" ref="H499">IFERROR(SUMPRODUCT(Tracking[Amount], --(Tracking[Date]&lt;=Tracking[[#This Row],[Date]]), (Tracking[Type]&lt;&gt;"Income") * (-1) + (Tracking[Type]="Income")), "-")</f>
        <v>4395</v>
      </c>
      <c r="I499" s="95">
        <f>IF(AND(Tracking[[#This Row],[Type]]="Income", shift_late_income_status="Active", DAY(Tracking[[#This Row],[Date]])&gt;=shift_late_income_starting_day),
      DATE(YEAR(Tracking[[#This Row],[Date]]), MONTH(Tracking[[#This Row],[Date]])+1, 1),
      Tracking[[#This Row],[Date]])</f>
        <v>45801</v>
      </c>
    </row>
    <row r="500" spans="3:9" hidden="1" outlineLevel="1" x14ac:dyDescent="0.2">
      <c r="C500" s="94">
        <v>45801</v>
      </c>
      <c r="D500" s="32" t="s">
        <v>47</v>
      </c>
      <c r="E500" s="32" t="s">
        <v>49</v>
      </c>
      <c r="F500" s="34">
        <v>30</v>
      </c>
      <c r="G500" s="35" t="s">
        <v>437</v>
      </c>
      <c r="H500" s="37" cm="1">
        <f t="array" ref="H500">IFERROR(SUMPRODUCT(Tracking[Amount], --(Tracking[Date]&lt;=Tracking[[#This Row],[Date]]), (Tracking[Type]&lt;&gt;"Income") * (-1) + (Tracking[Type]="Income")), "-")</f>
        <v>4395</v>
      </c>
      <c r="I500" s="95">
        <f>IF(AND(Tracking[[#This Row],[Type]]="Income", shift_late_income_status="Active", DAY(Tracking[[#This Row],[Date]])&gt;=shift_late_income_starting_day),
      DATE(YEAR(Tracking[[#This Row],[Date]]), MONTH(Tracking[[#This Row],[Date]])+1, 1),
      Tracking[[#This Row],[Date]])</f>
        <v>45801</v>
      </c>
    </row>
    <row r="501" spans="3:9" hidden="1" outlineLevel="1" x14ac:dyDescent="0.2">
      <c r="C501" s="94">
        <v>45801</v>
      </c>
      <c r="D501" s="32" t="s">
        <v>47</v>
      </c>
      <c r="E501" s="32" t="s">
        <v>49</v>
      </c>
      <c r="F501" s="34">
        <v>14</v>
      </c>
      <c r="G501" s="35" t="s">
        <v>438</v>
      </c>
      <c r="H501" s="37" cm="1">
        <f t="array" ref="H501">IFERROR(SUMPRODUCT(Tracking[Amount], --(Tracking[Date]&lt;=Tracking[[#This Row],[Date]]), (Tracking[Type]&lt;&gt;"Income") * (-1) + (Tracking[Type]="Income")), "-")</f>
        <v>4395</v>
      </c>
      <c r="I501" s="95">
        <f>IF(AND(Tracking[[#This Row],[Type]]="Income", shift_late_income_status="Active", DAY(Tracking[[#This Row],[Date]])&gt;=shift_late_income_starting_day),
      DATE(YEAR(Tracking[[#This Row],[Date]]), MONTH(Tracking[[#This Row],[Date]])+1, 1),
      Tracking[[#This Row],[Date]])</f>
        <v>45801</v>
      </c>
    </row>
    <row r="502" spans="3:9" hidden="1" outlineLevel="1" x14ac:dyDescent="0.2">
      <c r="C502" s="94">
        <v>45801</v>
      </c>
      <c r="D502" s="32" t="s">
        <v>47</v>
      </c>
      <c r="E502" s="32" t="s">
        <v>49</v>
      </c>
      <c r="F502" s="34">
        <v>32</v>
      </c>
      <c r="G502" s="35" t="s">
        <v>439</v>
      </c>
      <c r="H502" s="37" cm="1">
        <f t="array" ref="H502">IFERROR(SUMPRODUCT(Tracking[Amount], --(Tracking[Date]&lt;=Tracking[[#This Row],[Date]]), (Tracking[Type]&lt;&gt;"Income") * (-1) + (Tracking[Type]="Income")), "-")</f>
        <v>4395</v>
      </c>
      <c r="I502" s="95">
        <f>IF(AND(Tracking[[#This Row],[Type]]="Income", shift_late_income_status="Active", DAY(Tracking[[#This Row],[Date]])&gt;=shift_late_income_starting_day),
      DATE(YEAR(Tracking[[#This Row],[Date]]), MONTH(Tracking[[#This Row],[Date]])+1, 1),
      Tracking[[#This Row],[Date]])</f>
        <v>45801</v>
      </c>
    </row>
    <row r="503" spans="3:9" hidden="1" outlineLevel="1" x14ac:dyDescent="0.2">
      <c r="C503" s="94">
        <v>45802</v>
      </c>
      <c r="D503" s="32" t="s">
        <v>47</v>
      </c>
      <c r="E503" s="32" t="s">
        <v>49</v>
      </c>
      <c r="F503" s="34">
        <v>2</v>
      </c>
      <c r="G503" s="35"/>
      <c r="H503" s="37" cm="1">
        <f t="array" ref="H503">IFERROR(SUMPRODUCT(Tracking[Amount], --(Tracking[Date]&lt;=Tracking[[#This Row],[Date]]), (Tracking[Type]&lt;&gt;"Income") * (-1) + (Tracking[Type]="Income")), "-")</f>
        <v>4393</v>
      </c>
      <c r="I503" s="95">
        <f>IF(AND(Tracking[[#This Row],[Type]]="Income", shift_late_income_status="Active", DAY(Tracking[[#This Row],[Date]])&gt;=shift_late_income_starting_day),
      DATE(YEAR(Tracking[[#This Row],[Date]]), MONTH(Tracking[[#This Row],[Date]])+1, 1),
      Tracking[[#This Row],[Date]])</f>
        <v>45802</v>
      </c>
    </row>
    <row r="504" spans="3:9" hidden="1" outlineLevel="1" x14ac:dyDescent="0.2">
      <c r="C504" s="94">
        <v>45803</v>
      </c>
      <c r="D504" s="32" t="s">
        <v>47</v>
      </c>
      <c r="E504" s="32" t="s">
        <v>59</v>
      </c>
      <c r="F504" s="34">
        <v>16</v>
      </c>
      <c r="G504" s="35" t="s">
        <v>440</v>
      </c>
      <c r="H504" s="37" cm="1">
        <f t="array" ref="H504">IFERROR(SUMPRODUCT(Tracking[Amount], --(Tracking[Date]&lt;=Tracking[[#This Row],[Date]]), (Tracking[Type]&lt;&gt;"Income") * (-1) + (Tracking[Type]="Income")), "-")</f>
        <v>1162</v>
      </c>
      <c r="I504" s="95">
        <f>IF(AND(Tracking[[#This Row],[Type]]="Income", shift_late_income_status="Active", DAY(Tracking[[#This Row],[Date]])&gt;=shift_late_income_starting_day),
      DATE(YEAR(Tracking[[#This Row],[Date]]), MONTH(Tracking[[#This Row],[Date]])+1, 1),
      Tracking[[#This Row],[Date]])</f>
        <v>45803</v>
      </c>
    </row>
    <row r="505" spans="3:9" hidden="1" outlineLevel="1" x14ac:dyDescent="0.2">
      <c r="C505" s="94">
        <v>45803</v>
      </c>
      <c r="D505" s="32" t="s">
        <v>47</v>
      </c>
      <c r="E505" s="32" t="s">
        <v>57</v>
      </c>
      <c r="F505" s="34">
        <v>3215</v>
      </c>
      <c r="G505" s="35"/>
      <c r="H505" s="37" cm="1">
        <f t="array" ref="H505">IFERROR(SUMPRODUCT(Tracking[Amount], --(Tracking[Date]&lt;=Tracking[[#This Row],[Date]]), (Tracking[Type]&lt;&gt;"Income") * (-1) + (Tracking[Type]="Income")), "-")</f>
        <v>1162</v>
      </c>
      <c r="I505" s="95">
        <f>IF(AND(Tracking[[#This Row],[Type]]="Income", shift_late_income_status="Active", DAY(Tracking[[#This Row],[Date]])&gt;=shift_late_income_starting_day),
      DATE(YEAR(Tracking[[#This Row],[Date]]), MONTH(Tracking[[#This Row],[Date]])+1, 1),
      Tracking[[#This Row],[Date]])</f>
        <v>45803</v>
      </c>
    </row>
    <row r="506" spans="3:9" hidden="1" outlineLevel="1" x14ac:dyDescent="0.2">
      <c r="C506" s="94">
        <v>45804</v>
      </c>
      <c r="D506" s="32" t="s">
        <v>47</v>
      </c>
      <c r="E506" s="32" t="s">
        <v>44</v>
      </c>
      <c r="F506" s="34">
        <v>100</v>
      </c>
      <c r="G506" s="35" t="s">
        <v>419</v>
      </c>
      <c r="H506" s="37" cm="1">
        <f t="array" ref="H506">IFERROR(SUMPRODUCT(Tracking[Amount], --(Tracking[Date]&lt;=Tracking[[#This Row],[Date]]), (Tracking[Type]&lt;&gt;"Income") * (-1) + (Tracking[Type]="Income")), "-")</f>
        <v>965</v>
      </c>
      <c r="I506" s="95">
        <f>IF(AND(Tracking[[#This Row],[Type]]="Income", shift_late_income_status="Active", DAY(Tracking[[#This Row],[Date]])&gt;=shift_late_income_starting_day),
      DATE(YEAR(Tracking[[#This Row],[Date]]), MONTH(Tracking[[#This Row],[Date]])+1, 1),
      Tracking[[#This Row],[Date]])</f>
        <v>45804</v>
      </c>
    </row>
    <row r="507" spans="3:9" hidden="1" outlineLevel="1" x14ac:dyDescent="0.2">
      <c r="C507" s="94">
        <v>45804</v>
      </c>
      <c r="D507" s="32" t="s">
        <v>47</v>
      </c>
      <c r="E507" s="32" t="s">
        <v>60</v>
      </c>
      <c r="F507" s="34">
        <v>21</v>
      </c>
      <c r="G507" s="35" t="s">
        <v>441</v>
      </c>
      <c r="H507" s="37" cm="1">
        <f t="array" ref="H507">IFERROR(SUMPRODUCT(Tracking[Amount], --(Tracking[Date]&lt;=Tracking[[#This Row],[Date]]), (Tracking[Type]&lt;&gt;"Income") * (-1) + (Tracking[Type]="Income")), "-")</f>
        <v>965</v>
      </c>
      <c r="I507" s="95">
        <f>IF(AND(Tracking[[#This Row],[Type]]="Income", shift_late_income_status="Active", DAY(Tracking[[#This Row],[Date]])&gt;=shift_late_income_starting_day),
      DATE(YEAR(Tracking[[#This Row],[Date]]), MONTH(Tracking[[#This Row],[Date]])+1, 1),
      Tracking[[#This Row],[Date]])</f>
        <v>45804</v>
      </c>
    </row>
    <row r="508" spans="3:9" hidden="1" outlineLevel="1" x14ac:dyDescent="0.2">
      <c r="C508" s="94">
        <v>45804</v>
      </c>
      <c r="D508" s="32" t="s">
        <v>47</v>
      </c>
      <c r="E508" s="32" t="s">
        <v>50</v>
      </c>
      <c r="F508" s="34">
        <v>6</v>
      </c>
      <c r="G508" s="35" t="s">
        <v>442</v>
      </c>
      <c r="H508" s="37" cm="1">
        <f t="array" ref="H508">IFERROR(SUMPRODUCT(Tracking[Amount], --(Tracking[Date]&lt;=Tracking[[#This Row],[Date]]), (Tracking[Type]&lt;&gt;"Income") * (-1) + (Tracking[Type]="Income")), "-")</f>
        <v>965</v>
      </c>
      <c r="I508" s="95">
        <f>IF(AND(Tracking[[#This Row],[Type]]="Income", shift_late_income_status="Active", DAY(Tracking[[#This Row],[Date]])&gt;=shift_late_income_starting_day),
      DATE(YEAR(Tracking[[#This Row],[Date]]), MONTH(Tracking[[#This Row],[Date]])+1, 1),
      Tracking[[#This Row],[Date]])</f>
        <v>45804</v>
      </c>
    </row>
    <row r="509" spans="3:9" hidden="1" outlineLevel="1" x14ac:dyDescent="0.2">
      <c r="C509" s="94">
        <v>45804</v>
      </c>
      <c r="D509" s="32" t="s">
        <v>47</v>
      </c>
      <c r="E509" s="32" t="s">
        <v>52</v>
      </c>
      <c r="F509" s="34">
        <v>70</v>
      </c>
      <c r="G509" s="35" t="s">
        <v>415</v>
      </c>
      <c r="H509" s="37" cm="1">
        <f t="array" ref="H509">IFERROR(SUMPRODUCT(Tracking[Amount], --(Tracking[Date]&lt;=Tracking[[#This Row],[Date]]), (Tracking[Type]&lt;&gt;"Income") * (-1) + (Tracking[Type]="Income")), "-")</f>
        <v>965</v>
      </c>
      <c r="I509" s="95">
        <f>IF(AND(Tracking[[#This Row],[Type]]="Income", shift_late_income_status="Active", DAY(Tracking[[#This Row],[Date]])&gt;=shift_late_income_starting_day),
      DATE(YEAR(Tracking[[#This Row],[Date]]), MONTH(Tracking[[#This Row],[Date]])+1, 1),
      Tracking[[#This Row],[Date]])</f>
        <v>45804</v>
      </c>
    </row>
    <row r="510" spans="3:9" hidden="1" outlineLevel="1" x14ac:dyDescent="0.2">
      <c r="C510" s="94">
        <v>45805</v>
      </c>
      <c r="D510" s="32" t="s">
        <v>47</v>
      </c>
      <c r="E510" s="32" t="s">
        <v>48</v>
      </c>
      <c r="F510" s="34">
        <v>9</v>
      </c>
      <c r="G510" s="35"/>
      <c r="H510" s="37" cm="1">
        <f t="array" ref="H510">IFERROR(SUMPRODUCT(Tracking[Amount], --(Tracking[Date]&lt;=Tracking[[#This Row],[Date]]), (Tracking[Type]&lt;&gt;"Income") * (-1) + (Tracking[Type]="Income")), "-")</f>
        <v>786</v>
      </c>
      <c r="I510" s="95">
        <f>IF(AND(Tracking[[#This Row],[Type]]="Income", shift_late_income_status="Active", DAY(Tracking[[#This Row],[Date]])&gt;=shift_late_income_starting_day),
      DATE(YEAR(Tracking[[#This Row],[Date]]), MONTH(Tracking[[#This Row],[Date]])+1, 1),
      Tracking[[#This Row],[Date]])</f>
        <v>45805</v>
      </c>
    </row>
    <row r="511" spans="3:9" hidden="1" outlineLevel="1" x14ac:dyDescent="0.2">
      <c r="C511" s="94">
        <v>45805</v>
      </c>
      <c r="D511" s="32" t="s">
        <v>47</v>
      </c>
      <c r="E511" s="32" t="s">
        <v>56</v>
      </c>
      <c r="F511" s="34">
        <v>150</v>
      </c>
      <c r="G511" s="35" t="s">
        <v>443</v>
      </c>
      <c r="H511" s="37" cm="1">
        <f t="array" ref="H511">IFERROR(SUMPRODUCT(Tracking[Amount], --(Tracking[Date]&lt;=Tracking[[#This Row],[Date]]), (Tracking[Type]&lt;&gt;"Income") * (-1) + (Tracking[Type]="Income")), "-")</f>
        <v>786</v>
      </c>
      <c r="I511" s="95">
        <f>IF(AND(Tracking[[#This Row],[Type]]="Income", shift_late_income_status="Active", DAY(Tracking[[#This Row],[Date]])&gt;=shift_late_income_starting_day),
      DATE(YEAR(Tracking[[#This Row],[Date]]), MONTH(Tracking[[#This Row],[Date]])+1, 1),
      Tracking[[#This Row],[Date]])</f>
        <v>45805</v>
      </c>
    </row>
    <row r="512" spans="3:9" hidden="1" outlineLevel="1" x14ac:dyDescent="0.2">
      <c r="C512" s="94">
        <v>45805</v>
      </c>
      <c r="D512" s="32" t="s">
        <v>47</v>
      </c>
      <c r="E512" s="32" t="s">
        <v>56</v>
      </c>
      <c r="F512" s="34">
        <v>20</v>
      </c>
      <c r="G512" s="35" t="s">
        <v>444</v>
      </c>
      <c r="H512" s="37" cm="1">
        <f t="array" ref="H512">IFERROR(SUMPRODUCT(Tracking[Amount], --(Tracking[Date]&lt;=Tracking[[#This Row],[Date]]), (Tracking[Type]&lt;&gt;"Income") * (-1) + (Tracking[Type]="Income")), "-")</f>
        <v>786</v>
      </c>
      <c r="I512" s="95">
        <f>IF(AND(Tracking[[#This Row],[Type]]="Income", shift_late_income_status="Active", DAY(Tracking[[#This Row],[Date]])&gt;=shift_late_income_starting_day),
      DATE(YEAR(Tracking[[#This Row],[Date]]), MONTH(Tracking[[#This Row],[Date]])+1, 1),
      Tracking[[#This Row],[Date]])</f>
        <v>45805</v>
      </c>
    </row>
    <row r="513" spans="3:9" hidden="1" outlineLevel="1" x14ac:dyDescent="0.2">
      <c r="C513" s="94">
        <v>45806</v>
      </c>
      <c r="D513" s="32" t="s">
        <v>62</v>
      </c>
      <c r="E513" s="32" t="s">
        <v>63</v>
      </c>
      <c r="F513" s="34">
        <v>78</v>
      </c>
      <c r="G513" s="35"/>
      <c r="H513" s="37" cm="1">
        <f t="array" ref="H513">IFERROR(SUMPRODUCT(Tracking[Amount], --(Tracking[Date]&lt;=Tracking[[#This Row],[Date]]), (Tracking[Type]&lt;&gt;"Income") * (-1) + (Tracking[Type]="Income")), "-")</f>
        <v>708</v>
      </c>
      <c r="I513" s="95">
        <f>IF(AND(Tracking[[#This Row],[Type]]="Income", shift_late_income_status="Active", DAY(Tracking[[#This Row],[Date]])&gt;=shift_late_income_starting_day),
      DATE(YEAR(Tracking[[#This Row],[Date]]), MONTH(Tracking[[#This Row],[Date]])+1, 1),
      Tracking[[#This Row],[Date]])</f>
        <v>45806</v>
      </c>
    </row>
    <row r="514" spans="3:9" hidden="1" outlineLevel="1" x14ac:dyDescent="0.2">
      <c r="C514" s="94">
        <v>45807</v>
      </c>
      <c r="D514" s="32" t="s">
        <v>47</v>
      </c>
      <c r="E514" s="32" t="s">
        <v>58</v>
      </c>
      <c r="F514" s="34">
        <v>47</v>
      </c>
      <c r="G514" s="35" t="s">
        <v>445</v>
      </c>
      <c r="H514" s="37" cm="1">
        <f t="array" ref="H514">IFERROR(SUMPRODUCT(Tracking[Amount], --(Tracking[Date]&lt;=Tracking[[#This Row],[Date]]), (Tracking[Type]&lt;&gt;"Income") * (-1) + (Tracking[Type]="Income")), "-")</f>
        <v>698</v>
      </c>
      <c r="I514" s="95">
        <f>IF(AND(Tracking[[#This Row],[Type]]="Income", shift_late_income_status="Active", DAY(Tracking[[#This Row],[Date]])&gt;=shift_late_income_starting_day),
      DATE(YEAR(Tracking[[#This Row],[Date]]), MONTH(Tracking[[#This Row],[Date]])+1, 1),
      Tracking[[#This Row],[Date]])</f>
        <v>45807</v>
      </c>
    </row>
    <row r="515" spans="3:9" hidden="1" outlineLevel="1" x14ac:dyDescent="0.2">
      <c r="C515" s="94">
        <v>45807</v>
      </c>
      <c r="D515" s="32" t="s">
        <v>62</v>
      </c>
      <c r="E515" s="32" t="s">
        <v>64</v>
      </c>
      <c r="F515" s="34">
        <v>200</v>
      </c>
      <c r="G515" s="35"/>
      <c r="H515" s="37" cm="1">
        <f t="array" ref="H515">IFERROR(SUMPRODUCT(Tracking[Amount], --(Tracking[Date]&lt;=Tracking[[#This Row],[Date]]), (Tracking[Type]&lt;&gt;"Income") * (-1) + (Tracking[Type]="Income")), "-")</f>
        <v>698</v>
      </c>
      <c r="I515" s="95">
        <f>IF(AND(Tracking[[#This Row],[Type]]="Income", shift_late_income_status="Active", DAY(Tracking[[#This Row],[Date]])&gt;=shift_late_income_starting_day),
      DATE(YEAR(Tracking[[#This Row],[Date]]), MONTH(Tracking[[#This Row],[Date]])+1, 1),
      Tracking[[#This Row],[Date]])</f>
        <v>45807</v>
      </c>
    </row>
    <row r="516" spans="3:9" hidden="1" outlineLevel="1" x14ac:dyDescent="0.2">
      <c r="C516" s="99">
        <v>45807</v>
      </c>
      <c r="D516" s="100" t="s">
        <v>40</v>
      </c>
      <c r="E516" s="100" t="s">
        <v>43</v>
      </c>
      <c r="F516" s="101">
        <v>250</v>
      </c>
      <c r="G516" s="102"/>
      <c r="H516" s="103" cm="1">
        <f t="array" ref="H516">IFERROR(SUMPRODUCT(Tracking[Amount], --(Tracking[Date]&lt;=Tracking[[#This Row],[Date]]), (Tracking[Type]&lt;&gt;"Income") * (-1) + (Tracking[Type]="Income")), "-")</f>
        <v>698</v>
      </c>
      <c r="I516" s="95">
        <f>IF(AND(Tracking[[#This Row],[Type]]="Income", shift_late_income_status="Active", DAY(Tracking[[#This Row],[Date]])&gt;=shift_late_income_starting_day),
      DATE(YEAR(Tracking[[#This Row],[Date]]), MONTH(Tracking[[#This Row],[Date]])+1, 1),
      Tracking[[#This Row],[Date]])</f>
        <v>45807</v>
      </c>
    </row>
    <row r="517" spans="3:9" hidden="1" outlineLevel="1" x14ac:dyDescent="0.2">
      <c r="C517" s="94">
        <v>45807</v>
      </c>
      <c r="D517" s="32" t="s">
        <v>47</v>
      </c>
      <c r="E517" s="32" t="s">
        <v>48</v>
      </c>
      <c r="F517" s="34">
        <v>13</v>
      </c>
      <c r="G517" s="35"/>
      <c r="H517" s="37" cm="1">
        <f t="array" ref="H517">IFERROR(SUMPRODUCT(Tracking[Amount], --(Tracking[Date]&lt;=Tracking[[#This Row],[Date]]), (Tracking[Type]&lt;&gt;"Income") * (-1) + (Tracking[Type]="Income")), "-")</f>
        <v>698</v>
      </c>
      <c r="I517" s="95">
        <f>IF(AND(Tracking[[#This Row],[Type]]="Income", shift_late_income_status="Active", DAY(Tracking[[#This Row],[Date]])&gt;=shift_late_income_starting_day),
      DATE(YEAR(Tracking[[#This Row],[Date]]), MONTH(Tracking[[#This Row],[Date]])+1, 1),
      Tracking[[#This Row],[Date]])</f>
        <v>45807</v>
      </c>
    </row>
    <row r="518" spans="3:9" collapsed="1" x14ac:dyDescent="0.2">
      <c r="C518" s="94">
        <v>45809</v>
      </c>
      <c r="D518" s="32" t="s">
        <v>40</v>
      </c>
      <c r="E518" s="32" t="s">
        <v>41</v>
      </c>
      <c r="F518" s="34">
        <v>7500</v>
      </c>
      <c r="G518" s="35"/>
      <c r="H518" s="37" cm="1">
        <f t="array" ref="H518">IFERROR(SUMPRODUCT(Tracking[Amount], --(Tracking[Date]&lt;=Tracking[[#This Row],[Date]]), (Tracking[Type]&lt;&gt;"Income") * (-1) + (Tracking[Type]="Income")), "-")</f>
        <v>8093</v>
      </c>
      <c r="I518" s="95">
        <f>IF(AND(Tracking[[#This Row],[Type]]="Income", shift_late_income_status="Active", DAY(Tracking[[#This Row],[Date]])&gt;=shift_late_income_starting_day),
      DATE(YEAR(Tracking[[#This Row],[Date]]), MONTH(Tracking[[#This Row],[Date]])+1, 1),
      Tracking[[#This Row],[Date]])</f>
        <v>45809</v>
      </c>
    </row>
    <row r="519" spans="3:9" hidden="1" outlineLevel="1" x14ac:dyDescent="0.2">
      <c r="C519" s="94">
        <v>45809</v>
      </c>
      <c r="D519" s="32" t="s">
        <v>47</v>
      </c>
      <c r="E519" s="32" t="s">
        <v>59</v>
      </c>
      <c r="F519" s="34">
        <v>60</v>
      </c>
      <c r="G519" s="35" t="s">
        <v>333</v>
      </c>
      <c r="H519" s="37" cm="1">
        <f t="array" ref="H519">IFERROR(SUMPRODUCT(Tracking[Amount], --(Tracking[Date]&lt;=Tracking[[#This Row],[Date]]), (Tracking[Type]&lt;&gt;"Income") * (-1) + (Tracking[Type]="Income")), "-")</f>
        <v>8093</v>
      </c>
      <c r="I519" s="95">
        <f>IF(AND(Tracking[[#This Row],[Type]]="Income", shift_late_income_status="Active", DAY(Tracking[[#This Row],[Date]])&gt;=shift_late_income_starting_day),
      DATE(YEAR(Tracking[[#This Row],[Date]]), MONTH(Tracking[[#This Row],[Date]])+1, 1),
      Tracking[[#This Row],[Date]])</f>
        <v>45809</v>
      </c>
    </row>
    <row r="520" spans="3:9" hidden="1" outlineLevel="1" x14ac:dyDescent="0.2">
      <c r="C520" s="94">
        <v>45809</v>
      </c>
      <c r="D520" s="32" t="s">
        <v>47</v>
      </c>
      <c r="E520" s="32" t="s">
        <v>235</v>
      </c>
      <c r="F520" s="34">
        <v>45</v>
      </c>
      <c r="G520" s="35" t="s">
        <v>413</v>
      </c>
      <c r="H520" s="37" cm="1">
        <f t="array" ref="H520">IFERROR(SUMPRODUCT(Tracking[Amount], --(Tracking[Date]&lt;=Tracking[[#This Row],[Date]]), (Tracking[Type]&lt;&gt;"Income") * (-1) + (Tracking[Type]="Income")), "-")</f>
        <v>8093</v>
      </c>
      <c r="I520" s="95">
        <f>IF(AND(Tracking[[#This Row],[Type]]="Income", shift_late_income_status="Active", DAY(Tracking[[#This Row],[Date]])&gt;=shift_late_income_starting_day),
      DATE(YEAR(Tracking[[#This Row],[Date]]), MONTH(Tracking[[#This Row],[Date]])+1, 1),
      Tracking[[#This Row],[Date]])</f>
        <v>45809</v>
      </c>
    </row>
    <row r="521" spans="3:9" hidden="1" outlineLevel="1" x14ac:dyDescent="0.2">
      <c r="C521" s="94">
        <v>45810</v>
      </c>
      <c r="D521" s="32" t="s">
        <v>47</v>
      </c>
      <c r="E521" s="32" t="s">
        <v>58</v>
      </c>
      <c r="F521" s="34">
        <v>122</v>
      </c>
      <c r="G521" s="35" t="s">
        <v>446</v>
      </c>
      <c r="H521" s="37" cm="1">
        <f t="array" ref="H521">IFERROR(SUMPRODUCT(Tracking[Amount], --(Tracking[Date]&lt;=Tracking[[#This Row],[Date]]), (Tracking[Type]&lt;&gt;"Income") * (-1) + (Tracking[Type]="Income")), "-")</f>
        <v>7895</v>
      </c>
      <c r="I521" s="95">
        <f>IF(AND(Tracking[[#This Row],[Type]]="Income", shift_late_income_status="Active", DAY(Tracking[[#This Row],[Date]])&gt;=shift_late_income_starting_day),
      DATE(YEAR(Tracking[[#This Row],[Date]]), MONTH(Tracking[[#This Row],[Date]])+1, 1),
      Tracking[[#This Row],[Date]])</f>
        <v>45810</v>
      </c>
    </row>
    <row r="522" spans="3:9" hidden="1" outlineLevel="1" x14ac:dyDescent="0.2">
      <c r="C522" s="94">
        <v>45810</v>
      </c>
      <c r="D522" s="32" t="s">
        <v>47</v>
      </c>
      <c r="E522" s="32" t="s">
        <v>51</v>
      </c>
      <c r="F522" s="34">
        <v>64</v>
      </c>
      <c r="G522" s="35" t="s">
        <v>447</v>
      </c>
      <c r="H522" s="37" cm="1">
        <f t="array" ref="H522">IFERROR(SUMPRODUCT(Tracking[Amount], --(Tracking[Date]&lt;=Tracking[[#This Row],[Date]]), (Tracking[Type]&lt;&gt;"Income") * (-1) + (Tracking[Type]="Income")), "-")</f>
        <v>7895</v>
      </c>
      <c r="I522" s="95">
        <f>IF(AND(Tracking[[#This Row],[Type]]="Income", shift_late_income_status="Active", DAY(Tracking[[#This Row],[Date]])&gt;=shift_late_income_starting_day),
      DATE(YEAR(Tracking[[#This Row],[Date]]), MONTH(Tracking[[#This Row],[Date]])+1, 1),
      Tracking[[#This Row],[Date]])</f>
        <v>45810</v>
      </c>
    </row>
    <row r="523" spans="3:9" hidden="1" outlineLevel="1" x14ac:dyDescent="0.2">
      <c r="C523" s="94">
        <v>45810</v>
      </c>
      <c r="D523" s="32" t="s">
        <v>47</v>
      </c>
      <c r="E523" s="32" t="s">
        <v>48</v>
      </c>
      <c r="F523" s="34">
        <v>12</v>
      </c>
      <c r="G523" s="35" t="s">
        <v>448</v>
      </c>
      <c r="H523" s="37" cm="1">
        <f t="array" ref="H523">IFERROR(SUMPRODUCT(Tracking[Amount], --(Tracking[Date]&lt;=Tracking[[#This Row],[Date]]), (Tracking[Type]&lt;&gt;"Income") * (-1) + (Tracking[Type]="Income")), "-")</f>
        <v>7895</v>
      </c>
      <c r="I523" s="95">
        <f>IF(AND(Tracking[[#This Row],[Type]]="Income", shift_late_income_status="Active", DAY(Tracking[[#This Row],[Date]])&gt;=shift_late_income_starting_day),
      DATE(YEAR(Tracking[[#This Row],[Date]]), MONTH(Tracking[[#This Row],[Date]])+1, 1),
      Tracking[[#This Row],[Date]])</f>
        <v>45810</v>
      </c>
    </row>
    <row r="524" spans="3:9" hidden="1" outlineLevel="1" x14ac:dyDescent="0.2">
      <c r="C524" s="94">
        <v>45811</v>
      </c>
      <c r="D524" s="32" t="s">
        <v>47</v>
      </c>
      <c r="E524" s="32" t="s">
        <v>60</v>
      </c>
      <c r="F524" s="34">
        <v>6</v>
      </c>
      <c r="G524" s="35" t="s">
        <v>338</v>
      </c>
      <c r="H524" s="37" cm="1">
        <f t="array" ref="H524">IFERROR(SUMPRODUCT(Tracking[Amount], --(Tracking[Date]&lt;=Tracking[[#This Row],[Date]]), (Tracking[Type]&lt;&gt;"Income") * (-1) + (Tracking[Type]="Income")), "-")</f>
        <v>7779</v>
      </c>
      <c r="I524" s="95">
        <f>IF(AND(Tracking[[#This Row],[Type]]="Income", shift_late_income_status="Active", DAY(Tracking[[#This Row],[Date]])&gt;=shift_late_income_starting_day),
      DATE(YEAR(Tracking[[#This Row],[Date]]), MONTH(Tracking[[#This Row],[Date]])+1, 1),
      Tracking[[#This Row],[Date]])</f>
        <v>45811</v>
      </c>
    </row>
    <row r="525" spans="3:9" hidden="1" outlineLevel="1" x14ac:dyDescent="0.2">
      <c r="C525" s="94">
        <v>45811</v>
      </c>
      <c r="D525" s="32" t="s">
        <v>47</v>
      </c>
      <c r="E525" s="32" t="s">
        <v>50</v>
      </c>
      <c r="F525" s="34">
        <v>50</v>
      </c>
      <c r="G525" s="35" t="s">
        <v>449</v>
      </c>
      <c r="H525" s="37" cm="1">
        <f t="array" ref="H525">IFERROR(SUMPRODUCT(Tracking[Amount], --(Tracking[Date]&lt;=Tracking[[#This Row],[Date]]), (Tracking[Type]&lt;&gt;"Income") * (-1) + (Tracking[Type]="Income")), "-")</f>
        <v>7779</v>
      </c>
      <c r="I525" s="95">
        <f>IF(AND(Tracking[[#This Row],[Type]]="Income", shift_late_income_status="Active", DAY(Tracking[[#This Row],[Date]])&gt;=shift_late_income_starting_day),
      DATE(YEAR(Tracking[[#This Row],[Date]]), MONTH(Tracking[[#This Row],[Date]])+1, 1),
      Tracking[[#This Row],[Date]])</f>
        <v>45811</v>
      </c>
    </row>
    <row r="526" spans="3:9" hidden="1" outlineLevel="1" x14ac:dyDescent="0.2">
      <c r="C526" s="94">
        <v>45811</v>
      </c>
      <c r="D526" s="32" t="s">
        <v>47</v>
      </c>
      <c r="E526" s="32" t="s">
        <v>60</v>
      </c>
      <c r="F526" s="34">
        <v>6</v>
      </c>
      <c r="G526" s="35" t="s">
        <v>338</v>
      </c>
      <c r="H526" s="37" cm="1">
        <f t="array" ref="H526">IFERROR(SUMPRODUCT(Tracking[Amount], --(Tracking[Date]&lt;=Tracking[[#This Row],[Date]]), (Tracking[Type]&lt;&gt;"Income") * (-1) + (Tracking[Type]="Income")), "-")</f>
        <v>7779</v>
      </c>
      <c r="I526" s="95">
        <f>IF(AND(Tracking[[#This Row],[Type]]="Income", shift_late_income_status="Active", DAY(Tracking[[#This Row],[Date]])&gt;=shift_late_income_starting_day),
      DATE(YEAR(Tracking[[#This Row],[Date]]), MONTH(Tracking[[#This Row],[Date]])+1, 1),
      Tracking[[#This Row],[Date]])</f>
        <v>45811</v>
      </c>
    </row>
    <row r="527" spans="3:9" hidden="1" outlineLevel="1" x14ac:dyDescent="0.2">
      <c r="C527" s="94">
        <v>45811</v>
      </c>
      <c r="D527" s="32" t="s">
        <v>47</v>
      </c>
      <c r="E527" s="32" t="s">
        <v>49</v>
      </c>
      <c r="F527" s="34">
        <v>43</v>
      </c>
      <c r="G527" s="35" t="s">
        <v>450</v>
      </c>
      <c r="H527" s="37" cm="1">
        <f t="array" ref="H527">IFERROR(SUMPRODUCT(Tracking[Amount], --(Tracking[Date]&lt;=Tracking[[#This Row],[Date]]), (Tracking[Type]&lt;&gt;"Income") * (-1) + (Tracking[Type]="Income")), "-")</f>
        <v>7779</v>
      </c>
      <c r="I527" s="95">
        <f>IF(AND(Tracking[[#This Row],[Type]]="Income", shift_late_income_status="Active", DAY(Tracking[[#This Row],[Date]])&gt;=shift_late_income_starting_day),
      DATE(YEAR(Tracking[[#This Row],[Date]]), MONTH(Tracking[[#This Row],[Date]])+1, 1),
      Tracking[[#This Row],[Date]])</f>
        <v>45811</v>
      </c>
    </row>
    <row r="528" spans="3:9" hidden="1" outlineLevel="1" x14ac:dyDescent="0.2">
      <c r="C528" s="94">
        <v>45811</v>
      </c>
      <c r="D528" s="32" t="s">
        <v>47</v>
      </c>
      <c r="E528" s="32" t="s">
        <v>48</v>
      </c>
      <c r="F528" s="34">
        <v>11</v>
      </c>
      <c r="G528" s="35"/>
      <c r="H528" s="37" cm="1">
        <f t="array" ref="H528">IFERROR(SUMPRODUCT(Tracking[Amount], --(Tracking[Date]&lt;=Tracking[[#This Row],[Date]]), (Tracking[Type]&lt;&gt;"Income") * (-1) + (Tracking[Type]="Income")), "-")</f>
        <v>7779</v>
      </c>
      <c r="I528" s="95">
        <f>IF(AND(Tracking[[#This Row],[Type]]="Income", shift_late_income_status="Active", DAY(Tracking[[#This Row],[Date]])&gt;=shift_late_income_starting_day),
      DATE(YEAR(Tracking[[#This Row],[Date]]), MONTH(Tracking[[#This Row],[Date]])+1, 1),
      Tracking[[#This Row],[Date]])</f>
        <v>45811</v>
      </c>
    </row>
    <row r="529" spans="3:9" hidden="1" outlineLevel="1" x14ac:dyDescent="0.2">
      <c r="C529" s="94">
        <v>45812</v>
      </c>
      <c r="D529" s="32" t="s">
        <v>47</v>
      </c>
      <c r="E529" s="32" t="s">
        <v>56</v>
      </c>
      <c r="F529" s="34">
        <v>1255</v>
      </c>
      <c r="G529" s="35" t="s">
        <v>451</v>
      </c>
      <c r="H529" s="37" cm="1">
        <f t="array" ref="H529">IFERROR(SUMPRODUCT(Tracking[Amount], --(Tracking[Date]&lt;=Tracking[[#This Row],[Date]]), (Tracking[Type]&lt;&gt;"Income") * (-1) + (Tracking[Type]="Income")), "-")</f>
        <v>6468</v>
      </c>
      <c r="I529" s="95">
        <f>IF(AND(Tracking[[#This Row],[Type]]="Income", shift_late_income_status="Active", DAY(Tracking[[#This Row],[Date]])&gt;=shift_late_income_starting_day),
      DATE(YEAR(Tracking[[#This Row],[Date]]), MONTH(Tracking[[#This Row],[Date]])+1, 1),
      Tracking[[#This Row],[Date]])</f>
        <v>45812</v>
      </c>
    </row>
    <row r="530" spans="3:9" hidden="1" outlineLevel="1" x14ac:dyDescent="0.2">
      <c r="C530" s="94">
        <v>45812</v>
      </c>
      <c r="D530" s="32" t="s">
        <v>47</v>
      </c>
      <c r="E530" s="32" t="s">
        <v>49</v>
      </c>
      <c r="F530" s="34">
        <v>42</v>
      </c>
      <c r="G530" s="35" t="s">
        <v>452</v>
      </c>
      <c r="H530" s="37" cm="1">
        <f t="array" ref="H530">IFERROR(SUMPRODUCT(Tracking[Amount], --(Tracking[Date]&lt;=Tracking[[#This Row],[Date]]), (Tracking[Type]&lt;&gt;"Income") * (-1) + (Tracking[Type]="Income")), "-")</f>
        <v>6468</v>
      </c>
      <c r="I530" s="95">
        <f>IF(AND(Tracking[[#This Row],[Type]]="Income", shift_late_income_status="Active", DAY(Tracking[[#This Row],[Date]])&gt;=shift_late_income_starting_day),
      DATE(YEAR(Tracking[[#This Row],[Date]]), MONTH(Tracking[[#This Row],[Date]])+1, 1),
      Tracking[[#This Row],[Date]])</f>
        <v>45812</v>
      </c>
    </row>
    <row r="531" spans="3:9" hidden="1" outlineLevel="1" x14ac:dyDescent="0.2">
      <c r="C531" s="94">
        <v>45813</v>
      </c>
      <c r="D531" s="32" t="s">
        <v>47</v>
      </c>
      <c r="E531" s="32" t="s">
        <v>60</v>
      </c>
      <c r="F531" s="34">
        <v>6</v>
      </c>
      <c r="G531" s="35" t="s">
        <v>338</v>
      </c>
      <c r="H531" s="37" cm="1">
        <f t="array" ref="H531">IFERROR(SUMPRODUCT(Tracking[Amount], --(Tracking[Date]&lt;=Tracking[[#This Row],[Date]]), (Tracking[Type]&lt;&gt;"Income") * (-1) + (Tracking[Type]="Income")), "-")</f>
        <v>6563</v>
      </c>
      <c r="I531" s="95">
        <f>IF(AND(Tracking[[#This Row],[Type]]="Income", shift_late_income_status="Active", DAY(Tracking[[#This Row],[Date]])&gt;=shift_late_income_starting_day),
      DATE(YEAR(Tracking[[#This Row],[Date]]), MONTH(Tracking[[#This Row],[Date]])+1, 1),
      Tracking[[#This Row],[Date]])</f>
        <v>45813</v>
      </c>
    </row>
    <row r="532" spans="3:9" hidden="1" outlineLevel="1" x14ac:dyDescent="0.2">
      <c r="C532" s="94">
        <v>45813</v>
      </c>
      <c r="D532" s="32" t="s">
        <v>47</v>
      </c>
      <c r="E532" s="32" t="s">
        <v>51</v>
      </c>
      <c r="F532" s="34">
        <v>-156</v>
      </c>
      <c r="G532" s="35" t="s">
        <v>453</v>
      </c>
      <c r="H532" s="37" cm="1">
        <f t="array" ref="H532">IFERROR(SUMPRODUCT(Tracking[Amount], --(Tracking[Date]&lt;=Tracking[[#This Row],[Date]]), (Tracking[Type]&lt;&gt;"Income") * (-1) + (Tracking[Type]="Income")), "-")</f>
        <v>6563</v>
      </c>
      <c r="I532" s="95">
        <f>IF(AND(Tracking[[#This Row],[Type]]="Income", shift_late_income_status="Active", DAY(Tracking[[#This Row],[Date]])&gt;=shift_late_income_starting_day),
      DATE(YEAR(Tracking[[#This Row],[Date]]), MONTH(Tracking[[#This Row],[Date]])+1, 1),
      Tracking[[#This Row],[Date]])</f>
        <v>45813</v>
      </c>
    </row>
    <row r="533" spans="3:9" hidden="1" outlineLevel="1" x14ac:dyDescent="0.2">
      <c r="C533" s="94">
        <v>45813</v>
      </c>
      <c r="D533" s="32" t="s">
        <v>47</v>
      </c>
      <c r="E533" s="32" t="s">
        <v>235</v>
      </c>
      <c r="F533" s="34">
        <v>13</v>
      </c>
      <c r="G533" s="35" t="s">
        <v>454</v>
      </c>
      <c r="H533" s="37" cm="1">
        <f t="array" ref="H533">IFERROR(SUMPRODUCT(Tracking[Amount], --(Tracking[Date]&lt;=Tracking[[#This Row],[Date]]), (Tracking[Type]&lt;&gt;"Income") * (-1) + (Tracking[Type]="Income")), "-")</f>
        <v>6563</v>
      </c>
      <c r="I533" s="95">
        <f>IF(AND(Tracking[[#This Row],[Type]]="Income", shift_late_income_status="Active", DAY(Tracking[[#This Row],[Date]])&gt;=shift_late_income_starting_day),
      DATE(YEAR(Tracking[[#This Row],[Date]]), MONTH(Tracking[[#This Row],[Date]])+1, 1),
      Tracking[[#This Row],[Date]])</f>
        <v>45813</v>
      </c>
    </row>
    <row r="534" spans="3:9" hidden="1" outlineLevel="1" x14ac:dyDescent="0.2">
      <c r="C534" s="94">
        <v>45813</v>
      </c>
      <c r="D534" s="32" t="s">
        <v>47</v>
      </c>
      <c r="E534" s="32" t="s">
        <v>60</v>
      </c>
      <c r="F534" s="34">
        <v>5</v>
      </c>
      <c r="G534" s="35" t="s">
        <v>338</v>
      </c>
      <c r="H534" s="37" cm="1">
        <f t="array" ref="H534">IFERROR(SUMPRODUCT(Tracking[Amount], --(Tracking[Date]&lt;=Tracking[[#This Row],[Date]]), (Tracking[Type]&lt;&gt;"Income") * (-1) + (Tracking[Type]="Income")), "-")</f>
        <v>6563</v>
      </c>
      <c r="I534" s="95">
        <f>IF(AND(Tracking[[#This Row],[Type]]="Income", shift_late_income_status="Active", DAY(Tracking[[#This Row],[Date]])&gt;=shift_late_income_starting_day),
      DATE(YEAR(Tracking[[#This Row],[Date]]), MONTH(Tracking[[#This Row],[Date]])+1, 1),
      Tracking[[#This Row],[Date]])</f>
        <v>45813</v>
      </c>
    </row>
    <row r="535" spans="3:9" hidden="1" outlineLevel="1" x14ac:dyDescent="0.2">
      <c r="C535" s="94">
        <v>45814</v>
      </c>
      <c r="D535" s="32" t="s">
        <v>47</v>
      </c>
      <c r="E535" s="32" t="s">
        <v>235</v>
      </c>
      <c r="F535" s="34">
        <v>12</v>
      </c>
      <c r="G535" s="35" t="s">
        <v>455</v>
      </c>
      <c r="H535" s="37" cm="1">
        <f t="array" ref="H535">IFERROR(SUMPRODUCT(Tracking[Amount], --(Tracking[Date]&lt;=Tracking[[#This Row],[Date]]), (Tracking[Type]&lt;&gt;"Income") * (-1) + (Tracking[Type]="Income")), "-")</f>
        <v>6500</v>
      </c>
      <c r="I535" s="95">
        <f>IF(AND(Tracking[[#This Row],[Type]]="Income", shift_late_income_status="Active", DAY(Tracking[[#This Row],[Date]])&gt;=shift_late_income_starting_day),
      DATE(YEAR(Tracking[[#This Row],[Date]]), MONTH(Tracking[[#This Row],[Date]])+1, 1),
      Tracking[[#This Row],[Date]])</f>
        <v>45814</v>
      </c>
    </row>
    <row r="536" spans="3:9" hidden="1" outlineLevel="1" x14ac:dyDescent="0.2">
      <c r="C536" s="94">
        <v>45813</v>
      </c>
      <c r="D536" s="32" t="s">
        <v>47</v>
      </c>
      <c r="E536" s="32" t="s">
        <v>235</v>
      </c>
      <c r="F536" s="34">
        <v>37</v>
      </c>
      <c r="G536" s="35" t="s">
        <v>231</v>
      </c>
      <c r="H536" s="37" cm="1">
        <f t="array" ref="H536">IFERROR(SUMPRODUCT(Tracking[Amount], --(Tracking[Date]&lt;=Tracking[[#This Row],[Date]]), (Tracking[Type]&lt;&gt;"Income") * (-1) + (Tracking[Type]="Income")), "-")</f>
        <v>6563</v>
      </c>
      <c r="I536" s="95">
        <f>IF(AND(Tracking[[#This Row],[Type]]="Income", shift_late_income_status="Active", DAY(Tracking[[#This Row],[Date]])&gt;=shift_late_income_starting_day),
      DATE(YEAR(Tracking[[#This Row],[Date]]), MONTH(Tracking[[#This Row],[Date]])+1, 1),
      Tracking[[#This Row],[Date]])</f>
        <v>45813</v>
      </c>
    </row>
    <row r="537" spans="3:9" hidden="1" outlineLevel="1" x14ac:dyDescent="0.2">
      <c r="C537" s="94">
        <v>45814</v>
      </c>
      <c r="D537" s="32" t="s">
        <v>47</v>
      </c>
      <c r="E537" s="32" t="s">
        <v>60</v>
      </c>
      <c r="F537" s="34">
        <v>7</v>
      </c>
      <c r="G537" s="35" t="s">
        <v>456</v>
      </c>
      <c r="H537" s="37" cm="1">
        <f t="array" ref="H537">IFERROR(SUMPRODUCT(Tracking[Amount], --(Tracking[Date]&lt;=Tracking[[#This Row],[Date]]), (Tracking[Type]&lt;&gt;"Income") * (-1) + (Tracking[Type]="Income")), "-")</f>
        <v>6500</v>
      </c>
      <c r="I537" s="95">
        <f>IF(AND(Tracking[[#This Row],[Type]]="Income", shift_late_income_status="Active", DAY(Tracking[[#This Row],[Date]])&gt;=shift_late_income_starting_day),
      DATE(YEAR(Tracking[[#This Row],[Date]]), MONTH(Tracking[[#This Row],[Date]])+1, 1),
      Tracking[[#This Row],[Date]])</f>
        <v>45814</v>
      </c>
    </row>
    <row r="538" spans="3:9" hidden="1" outlineLevel="1" x14ac:dyDescent="0.2">
      <c r="C538" s="94">
        <v>45814</v>
      </c>
      <c r="D538" s="32" t="s">
        <v>47</v>
      </c>
      <c r="E538" s="32" t="s">
        <v>235</v>
      </c>
      <c r="F538" s="34">
        <v>44</v>
      </c>
      <c r="G538" s="35" t="s">
        <v>231</v>
      </c>
      <c r="H538" s="37" cm="1">
        <f t="array" ref="H538">IFERROR(SUMPRODUCT(Tracking[Amount], --(Tracking[Date]&lt;=Tracking[[#This Row],[Date]]), (Tracking[Type]&lt;&gt;"Income") * (-1) + (Tracking[Type]="Income")), "-")</f>
        <v>6500</v>
      </c>
      <c r="I538" s="95">
        <f>IF(AND(Tracking[[#This Row],[Type]]="Income", shift_late_income_status="Active", DAY(Tracking[[#This Row],[Date]])&gt;=shift_late_income_starting_day),
      DATE(YEAR(Tracking[[#This Row],[Date]]), MONTH(Tracking[[#This Row],[Date]])+1, 1),
      Tracking[[#This Row],[Date]])</f>
        <v>45814</v>
      </c>
    </row>
    <row r="539" spans="3:9" hidden="1" outlineLevel="1" x14ac:dyDescent="0.2">
      <c r="C539" s="94">
        <v>45815</v>
      </c>
      <c r="D539" s="32" t="s">
        <v>47</v>
      </c>
      <c r="E539" s="32" t="s">
        <v>60</v>
      </c>
      <c r="F539" s="34">
        <v>74</v>
      </c>
      <c r="G539" s="35" t="s">
        <v>412</v>
      </c>
      <c r="H539" s="37" cm="1">
        <f t="array" ref="H539">IFERROR(SUMPRODUCT(Tracking[Amount], --(Tracking[Date]&lt;=Tracking[[#This Row],[Date]]), (Tracking[Type]&lt;&gt;"Income") * (-1) + (Tracking[Type]="Income")), "-")</f>
        <v>6297</v>
      </c>
      <c r="I539" s="95">
        <f>IF(AND(Tracking[[#This Row],[Type]]="Income", shift_late_income_status="Active", DAY(Tracking[[#This Row],[Date]])&gt;=shift_late_income_starting_day),
      DATE(YEAR(Tracking[[#This Row],[Date]]), MONTH(Tracking[[#This Row],[Date]])+1, 1),
      Tracking[[#This Row],[Date]])</f>
        <v>45815</v>
      </c>
    </row>
    <row r="540" spans="3:9" hidden="1" outlineLevel="1" x14ac:dyDescent="0.2">
      <c r="C540" s="94">
        <v>45815</v>
      </c>
      <c r="D540" s="32" t="s">
        <v>47</v>
      </c>
      <c r="E540" s="32" t="s">
        <v>55</v>
      </c>
      <c r="F540" s="34">
        <v>55</v>
      </c>
      <c r="G540" s="35" t="s">
        <v>457</v>
      </c>
      <c r="H540" s="37" cm="1">
        <f t="array" ref="H540">IFERROR(SUMPRODUCT(Tracking[Amount], --(Tracking[Date]&lt;=Tracking[[#This Row],[Date]]), (Tracking[Type]&lt;&gt;"Income") * (-1) + (Tracking[Type]="Income")), "-")</f>
        <v>6297</v>
      </c>
      <c r="I540" s="95">
        <f>IF(AND(Tracking[[#This Row],[Type]]="Income", shift_late_income_status="Active", DAY(Tracking[[#This Row],[Date]])&gt;=shift_late_income_starting_day),
      DATE(YEAR(Tracking[[#This Row],[Date]]), MONTH(Tracking[[#This Row],[Date]])+1, 1),
      Tracking[[#This Row],[Date]])</f>
        <v>45815</v>
      </c>
    </row>
    <row r="541" spans="3:9" hidden="1" outlineLevel="1" x14ac:dyDescent="0.2">
      <c r="C541" s="94">
        <v>45815</v>
      </c>
      <c r="D541" s="32" t="s">
        <v>47</v>
      </c>
      <c r="E541" s="32" t="s">
        <v>235</v>
      </c>
      <c r="F541" s="34">
        <v>60</v>
      </c>
      <c r="G541" s="35" t="s">
        <v>458</v>
      </c>
      <c r="H541" s="37" cm="1">
        <f t="array" ref="H541">IFERROR(SUMPRODUCT(Tracking[Amount], --(Tracking[Date]&lt;=Tracking[[#This Row],[Date]]), (Tracking[Type]&lt;&gt;"Income") * (-1) + (Tracking[Type]="Income")), "-")</f>
        <v>6297</v>
      </c>
      <c r="I541" s="95">
        <f>IF(AND(Tracking[[#This Row],[Type]]="Income", shift_late_income_status="Active", DAY(Tracking[[#This Row],[Date]])&gt;=shift_late_income_starting_day),
      DATE(YEAR(Tracking[[#This Row],[Date]]), MONTH(Tracking[[#This Row],[Date]])+1, 1),
      Tracking[[#This Row],[Date]])</f>
        <v>45815</v>
      </c>
    </row>
    <row r="542" spans="3:9" hidden="1" outlineLevel="1" x14ac:dyDescent="0.2">
      <c r="C542" s="94">
        <v>45815</v>
      </c>
      <c r="D542" s="32" t="s">
        <v>47</v>
      </c>
      <c r="E542" s="32" t="s">
        <v>48</v>
      </c>
      <c r="F542" s="34">
        <v>14</v>
      </c>
      <c r="G542" s="35"/>
      <c r="H542" s="37" cm="1">
        <f t="array" ref="H542">IFERROR(SUMPRODUCT(Tracking[Amount], --(Tracking[Date]&lt;=Tracking[[#This Row],[Date]]), (Tracking[Type]&lt;&gt;"Income") * (-1) + (Tracking[Type]="Income")), "-")</f>
        <v>6297</v>
      </c>
      <c r="I542" s="95">
        <f>IF(AND(Tracking[[#This Row],[Type]]="Income", shift_late_income_status="Active", DAY(Tracking[[#This Row],[Date]])&gt;=shift_late_income_starting_day),
      DATE(YEAR(Tracking[[#This Row],[Date]]), MONTH(Tracking[[#This Row],[Date]])+1, 1),
      Tracking[[#This Row],[Date]])</f>
        <v>45815</v>
      </c>
    </row>
    <row r="543" spans="3:9" hidden="1" outlineLevel="1" x14ac:dyDescent="0.2">
      <c r="C543" s="94">
        <v>45816</v>
      </c>
      <c r="D543" s="32" t="s">
        <v>47</v>
      </c>
      <c r="E543" s="32" t="s">
        <v>60</v>
      </c>
      <c r="F543" s="34">
        <v>10</v>
      </c>
      <c r="G543" s="35" t="s">
        <v>338</v>
      </c>
      <c r="H543" s="37" cm="1">
        <f t="array" ref="H543">IFERROR(SUMPRODUCT(Tracking[Amount], --(Tracking[Date]&lt;=Tracking[[#This Row],[Date]]), (Tracking[Type]&lt;&gt;"Income") * (-1) + (Tracking[Type]="Income")), "-")</f>
        <v>6180</v>
      </c>
      <c r="I543" s="95">
        <f>IF(AND(Tracking[[#This Row],[Type]]="Income", shift_late_income_status="Active", DAY(Tracking[[#This Row],[Date]])&gt;=shift_late_income_starting_day),
      DATE(YEAR(Tracking[[#This Row],[Date]]), MONTH(Tracking[[#This Row],[Date]])+1, 1),
      Tracking[[#This Row],[Date]])</f>
        <v>45816</v>
      </c>
    </row>
    <row r="544" spans="3:9" hidden="1" outlineLevel="1" x14ac:dyDescent="0.2">
      <c r="C544" s="94">
        <v>45816</v>
      </c>
      <c r="D544" s="32" t="s">
        <v>47</v>
      </c>
      <c r="E544" s="32" t="s">
        <v>51</v>
      </c>
      <c r="F544" s="34">
        <v>75</v>
      </c>
      <c r="G544" s="35"/>
      <c r="H544" s="37" cm="1">
        <f t="array" ref="H544">IFERROR(SUMPRODUCT(Tracking[Amount], --(Tracking[Date]&lt;=Tracking[[#This Row],[Date]]), (Tracking[Type]&lt;&gt;"Income") * (-1) + (Tracking[Type]="Income")), "-")</f>
        <v>6180</v>
      </c>
      <c r="I544" s="95">
        <f>IF(AND(Tracking[[#This Row],[Type]]="Income", shift_late_income_status="Active", DAY(Tracking[[#This Row],[Date]])&gt;=shift_late_income_starting_day),
      DATE(YEAR(Tracking[[#This Row],[Date]]), MONTH(Tracking[[#This Row],[Date]])+1, 1),
      Tracking[[#This Row],[Date]])</f>
        <v>45816</v>
      </c>
    </row>
    <row r="545" spans="3:9" hidden="1" outlineLevel="1" x14ac:dyDescent="0.2">
      <c r="C545" s="94">
        <v>45816</v>
      </c>
      <c r="D545" s="32" t="s">
        <v>47</v>
      </c>
      <c r="E545" s="32" t="s">
        <v>50</v>
      </c>
      <c r="F545" s="34">
        <v>15</v>
      </c>
      <c r="G545" s="35"/>
      <c r="H545" s="37" cm="1">
        <f t="array" ref="H545">IFERROR(SUMPRODUCT(Tracking[Amount], --(Tracking[Date]&lt;=Tracking[[#This Row],[Date]]), (Tracking[Type]&lt;&gt;"Income") * (-1) + (Tracking[Type]="Income")), "-")</f>
        <v>6180</v>
      </c>
      <c r="I545" s="95">
        <f>IF(AND(Tracking[[#This Row],[Type]]="Income", shift_late_income_status="Active", DAY(Tracking[[#This Row],[Date]])&gt;=shift_late_income_starting_day),
      DATE(YEAR(Tracking[[#This Row],[Date]]), MONTH(Tracking[[#This Row],[Date]])+1, 1),
      Tracking[[#This Row],[Date]])</f>
        <v>45816</v>
      </c>
    </row>
    <row r="546" spans="3:9" hidden="1" outlineLevel="1" x14ac:dyDescent="0.2">
      <c r="C546" s="94">
        <v>45816</v>
      </c>
      <c r="D546" s="32" t="s">
        <v>47</v>
      </c>
      <c r="E546" s="32" t="s">
        <v>49</v>
      </c>
      <c r="F546" s="34">
        <v>17</v>
      </c>
      <c r="G546" s="35" t="s">
        <v>459</v>
      </c>
      <c r="H546" s="37" cm="1">
        <f t="array" ref="H546">IFERROR(SUMPRODUCT(Tracking[Amount], --(Tracking[Date]&lt;=Tracking[[#This Row],[Date]]), (Tracking[Type]&lt;&gt;"Income") * (-1) + (Tracking[Type]="Income")), "-")</f>
        <v>6180</v>
      </c>
      <c r="I546" s="95">
        <f>IF(AND(Tracking[[#This Row],[Type]]="Income", shift_late_income_status="Active", DAY(Tracking[[#This Row],[Date]])&gt;=shift_late_income_starting_day),
      DATE(YEAR(Tracking[[#This Row],[Date]]), MONTH(Tracking[[#This Row],[Date]])+1, 1),
      Tracking[[#This Row],[Date]])</f>
        <v>45816</v>
      </c>
    </row>
    <row r="547" spans="3:9" hidden="1" outlineLevel="1" x14ac:dyDescent="0.2">
      <c r="C547" s="94">
        <v>45817</v>
      </c>
      <c r="D547" s="32" t="s">
        <v>47</v>
      </c>
      <c r="E547" s="32" t="s">
        <v>60</v>
      </c>
      <c r="F547" s="34">
        <v>2</v>
      </c>
      <c r="G547" s="35" t="s">
        <v>232</v>
      </c>
      <c r="H547" s="37" cm="1">
        <f t="array" ref="H547">IFERROR(SUMPRODUCT(Tracking[Amount], --(Tracking[Date]&lt;=Tracking[[#This Row],[Date]]), (Tracking[Type]&lt;&gt;"Income") * (-1) + (Tracking[Type]="Income")), "-")</f>
        <v>5806</v>
      </c>
      <c r="I547" s="95">
        <f>IF(AND(Tracking[[#This Row],[Type]]="Income", shift_late_income_status="Active", DAY(Tracking[[#This Row],[Date]])&gt;=shift_late_income_starting_day),
      DATE(YEAR(Tracking[[#This Row],[Date]]), MONTH(Tracking[[#This Row],[Date]])+1, 1),
      Tracking[[#This Row],[Date]])</f>
        <v>45817</v>
      </c>
    </row>
    <row r="548" spans="3:9" hidden="1" outlineLevel="1" x14ac:dyDescent="0.2">
      <c r="C548" s="94">
        <v>45817</v>
      </c>
      <c r="D548" s="32" t="s">
        <v>47</v>
      </c>
      <c r="E548" s="32" t="s">
        <v>50</v>
      </c>
      <c r="F548" s="34">
        <v>70</v>
      </c>
      <c r="G548" s="35" t="s">
        <v>460</v>
      </c>
      <c r="H548" s="37" cm="1">
        <f t="array" ref="H548">IFERROR(SUMPRODUCT(Tracking[Amount], --(Tracking[Date]&lt;=Tracking[[#This Row],[Date]]), (Tracking[Type]&lt;&gt;"Income") * (-1) + (Tracking[Type]="Income")), "-")</f>
        <v>5806</v>
      </c>
      <c r="I548" s="95">
        <f>IF(AND(Tracking[[#This Row],[Type]]="Income", shift_late_income_status="Active", DAY(Tracking[[#This Row],[Date]])&gt;=shift_late_income_starting_day),
      DATE(YEAR(Tracking[[#This Row],[Date]]), MONTH(Tracking[[#This Row],[Date]])+1, 1),
      Tracking[[#This Row],[Date]])</f>
        <v>45817</v>
      </c>
    </row>
    <row r="549" spans="3:9" hidden="1" outlineLevel="1" x14ac:dyDescent="0.2">
      <c r="C549" s="94">
        <v>45817</v>
      </c>
      <c r="D549" s="32" t="s">
        <v>47</v>
      </c>
      <c r="E549" s="32" t="s">
        <v>54</v>
      </c>
      <c r="F549" s="34">
        <v>180</v>
      </c>
      <c r="G549" s="35" t="s">
        <v>461</v>
      </c>
      <c r="H549" s="37" cm="1">
        <f t="array" ref="H549">IFERROR(SUMPRODUCT(Tracking[Amount], --(Tracking[Date]&lt;=Tracking[[#This Row],[Date]]), (Tracking[Type]&lt;&gt;"Income") * (-1) + (Tracking[Type]="Income")), "-")</f>
        <v>5806</v>
      </c>
      <c r="I549" s="95">
        <f>IF(AND(Tracking[[#This Row],[Type]]="Income", shift_late_income_status="Active", DAY(Tracking[[#This Row],[Date]])&gt;=shift_late_income_starting_day),
      DATE(YEAR(Tracking[[#This Row],[Date]]), MONTH(Tracking[[#This Row],[Date]])+1, 1),
      Tracking[[#This Row],[Date]])</f>
        <v>45817</v>
      </c>
    </row>
    <row r="550" spans="3:9" hidden="1" outlineLevel="1" x14ac:dyDescent="0.2">
      <c r="C550" s="94">
        <v>45818</v>
      </c>
      <c r="D550" s="32" t="s">
        <v>47</v>
      </c>
      <c r="E550" s="32" t="s">
        <v>50</v>
      </c>
      <c r="F550" s="34">
        <v>70</v>
      </c>
      <c r="G550" s="35" t="s">
        <v>415</v>
      </c>
      <c r="H550" s="37" cm="1">
        <f t="array" ref="H550">IFERROR(SUMPRODUCT(Tracking[Amount], --(Tracking[Date]&lt;=Tracking[[#This Row],[Date]]), (Tracking[Type]&lt;&gt;"Income") * (-1) + (Tracking[Type]="Income")), "-")</f>
        <v>5736</v>
      </c>
      <c r="I550" s="95">
        <f>IF(AND(Tracking[[#This Row],[Type]]="Income", shift_late_income_status="Active", DAY(Tracking[[#This Row],[Date]])&gt;=shift_late_income_starting_day),
      DATE(YEAR(Tracking[[#This Row],[Date]]), MONTH(Tracking[[#This Row],[Date]])+1, 1),
      Tracking[[#This Row],[Date]])</f>
        <v>45818</v>
      </c>
    </row>
    <row r="551" spans="3:9" hidden="1" outlineLevel="1" x14ac:dyDescent="0.2">
      <c r="C551" s="94">
        <v>45819</v>
      </c>
      <c r="D551" s="32" t="s">
        <v>47</v>
      </c>
      <c r="E551" s="32" t="s">
        <v>48</v>
      </c>
      <c r="F551" s="34">
        <v>5</v>
      </c>
      <c r="G551" s="35"/>
      <c r="H551" s="37" cm="1">
        <f t="array" ref="H551">IFERROR(SUMPRODUCT(Tracking[Amount], --(Tracking[Date]&lt;=Tracking[[#This Row],[Date]]), (Tracking[Type]&lt;&gt;"Income") * (-1) + (Tracking[Type]="Income")), "-")</f>
        <v>5656</v>
      </c>
      <c r="I551" s="95">
        <f>IF(AND(Tracking[[#This Row],[Type]]="Income", shift_late_income_status="Active", DAY(Tracking[[#This Row],[Date]])&gt;=shift_late_income_starting_day),
      DATE(YEAR(Tracking[[#This Row],[Date]]), MONTH(Tracking[[#This Row],[Date]])+1, 1),
      Tracking[[#This Row],[Date]])</f>
        <v>45819</v>
      </c>
    </row>
    <row r="552" spans="3:9" hidden="1" outlineLevel="1" x14ac:dyDescent="0.2">
      <c r="C552" s="94">
        <v>45819</v>
      </c>
      <c r="D552" s="32" t="s">
        <v>47</v>
      </c>
      <c r="E552" s="32" t="s">
        <v>51</v>
      </c>
      <c r="F552" s="34">
        <v>27</v>
      </c>
      <c r="G552" s="35" t="s">
        <v>462</v>
      </c>
      <c r="H552" s="37" cm="1">
        <f t="array" ref="H552">IFERROR(SUMPRODUCT(Tracking[Amount], --(Tracking[Date]&lt;=Tracking[[#This Row],[Date]]), (Tracking[Type]&lt;&gt;"Income") * (-1) + (Tracking[Type]="Income")), "-")</f>
        <v>5656</v>
      </c>
      <c r="I552" s="95">
        <f>IF(AND(Tracking[[#This Row],[Type]]="Income", shift_late_income_status="Active", DAY(Tracking[[#This Row],[Date]])&gt;=shift_late_income_starting_day),
      DATE(YEAR(Tracking[[#This Row],[Date]]), MONTH(Tracking[[#This Row],[Date]])+1, 1),
      Tracking[[#This Row],[Date]])</f>
        <v>45819</v>
      </c>
    </row>
    <row r="553" spans="3:9" hidden="1" outlineLevel="1" x14ac:dyDescent="0.2">
      <c r="C553" s="94">
        <v>45819</v>
      </c>
      <c r="D553" s="32" t="s">
        <v>47</v>
      </c>
      <c r="E553" s="32" t="s">
        <v>49</v>
      </c>
      <c r="F553" s="34">
        <v>48</v>
      </c>
      <c r="G553" s="35" t="s">
        <v>463</v>
      </c>
      <c r="H553" s="37" cm="1">
        <f t="array" ref="H553">IFERROR(SUMPRODUCT(Tracking[Amount], --(Tracking[Date]&lt;=Tracking[[#This Row],[Date]]), (Tracking[Type]&lt;&gt;"Income") * (-1) + (Tracking[Type]="Income")), "-")</f>
        <v>5656</v>
      </c>
      <c r="I553" s="95">
        <f>IF(AND(Tracking[[#This Row],[Type]]="Income", shift_late_income_status="Active", DAY(Tracking[[#This Row],[Date]])&gt;=shift_late_income_starting_day),
      DATE(YEAR(Tracking[[#This Row],[Date]]), MONTH(Tracking[[#This Row],[Date]])+1, 1),
      Tracking[[#This Row],[Date]])</f>
        <v>45819</v>
      </c>
    </row>
    <row r="554" spans="3:9" hidden="1" outlineLevel="1" x14ac:dyDescent="0.2">
      <c r="C554" s="94">
        <v>45820</v>
      </c>
      <c r="D554" s="32" t="s">
        <v>47</v>
      </c>
      <c r="E554" s="32" t="s">
        <v>60</v>
      </c>
      <c r="F554" s="34">
        <v>6</v>
      </c>
      <c r="G554" s="35" t="s">
        <v>338</v>
      </c>
      <c r="H554" s="37" cm="1">
        <f t="array" ref="H554">IFERROR(SUMPRODUCT(Tracking[Amount], --(Tracking[Date]&lt;=Tracking[[#This Row],[Date]]), (Tracking[Type]&lt;&gt;"Income") * (-1) + (Tracking[Type]="Income")), "-")</f>
        <v>5620</v>
      </c>
      <c r="I554" s="95">
        <f>IF(AND(Tracking[[#This Row],[Type]]="Income", shift_late_income_status="Active", DAY(Tracking[[#This Row],[Date]])&gt;=shift_late_income_starting_day),
      DATE(YEAR(Tracking[[#This Row],[Date]]), MONTH(Tracking[[#This Row],[Date]])+1, 1),
      Tracking[[#This Row],[Date]])</f>
        <v>45820</v>
      </c>
    </row>
    <row r="555" spans="3:9" hidden="1" outlineLevel="1" x14ac:dyDescent="0.2">
      <c r="C555" s="94">
        <v>45820</v>
      </c>
      <c r="D555" s="32" t="s">
        <v>47</v>
      </c>
      <c r="E555" s="32" t="s">
        <v>49</v>
      </c>
      <c r="F555" s="34">
        <v>30</v>
      </c>
      <c r="G555" s="35" t="s">
        <v>464</v>
      </c>
      <c r="H555" s="37" cm="1">
        <f t="array" ref="H555">IFERROR(SUMPRODUCT(Tracking[Amount], --(Tracking[Date]&lt;=Tracking[[#This Row],[Date]]), (Tracking[Type]&lt;&gt;"Income") * (-1) + (Tracking[Type]="Income")), "-")</f>
        <v>5620</v>
      </c>
      <c r="I555" s="95">
        <f>IF(AND(Tracking[[#This Row],[Type]]="Income", shift_late_income_status="Active", DAY(Tracking[[#This Row],[Date]])&gt;=shift_late_income_starting_day),
      DATE(YEAR(Tracking[[#This Row],[Date]]), MONTH(Tracking[[#This Row],[Date]])+1, 1),
      Tracking[[#This Row],[Date]])</f>
        <v>45820</v>
      </c>
    </row>
    <row r="556" spans="3:9" hidden="1" outlineLevel="1" x14ac:dyDescent="0.2">
      <c r="C556" s="94">
        <v>45821</v>
      </c>
      <c r="D556" s="32" t="s">
        <v>47</v>
      </c>
      <c r="E556" s="32" t="s">
        <v>49</v>
      </c>
      <c r="F556" s="34">
        <v>56</v>
      </c>
      <c r="G556" s="35" t="s">
        <v>231</v>
      </c>
      <c r="H556" s="37" cm="1">
        <f t="array" ref="H556">IFERROR(SUMPRODUCT(Tracking[Amount], --(Tracking[Date]&lt;=Tracking[[#This Row],[Date]]), (Tracking[Type]&lt;&gt;"Income") * (-1) + (Tracking[Type]="Income")), "-")</f>
        <v>5564</v>
      </c>
      <c r="I556" s="95">
        <f>IF(AND(Tracking[[#This Row],[Type]]="Income", shift_late_income_status="Active", DAY(Tracking[[#This Row],[Date]])&gt;=shift_late_income_starting_day),
      DATE(YEAR(Tracking[[#This Row],[Date]]), MONTH(Tracking[[#This Row],[Date]])+1, 1),
      Tracking[[#This Row],[Date]])</f>
        <v>45821</v>
      </c>
    </row>
    <row r="557" spans="3:9" hidden="1" outlineLevel="1" x14ac:dyDescent="0.2">
      <c r="C557" s="94">
        <v>45822</v>
      </c>
      <c r="D557" s="32" t="s">
        <v>47</v>
      </c>
      <c r="E557" s="32" t="s">
        <v>44</v>
      </c>
      <c r="F557" s="34">
        <v>70</v>
      </c>
      <c r="G557" s="35" t="s">
        <v>465</v>
      </c>
      <c r="H557" s="37" cm="1">
        <f t="array" ref="H557">IFERROR(SUMPRODUCT(Tracking[Amount], --(Tracking[Date]&lt;=Tracking[[#This Row],[Date]]), (Tracking[Type]&lt;&gt;"Income") * (-1) + (Tracking[Type]="Income")), "-")</f>
        <v>5028</v>
      </c>
      <c r="I557" s="95">
        <f>IF(AND(Tracking[[#This Row],[Type]]="Income", shift_late_income_status="Active", DAY(Tracking[[#This Row],[Date]])&gt;=shift_late_income_starting_day),
      DATE(YEAR(Tracking[[#This Row],[Date]]), MONTH(Tracking[[#This Row],[Date]])+1, 1),
      Tracking[[#This Row],[Date]])</f>
        <v>45822</v>
      </c>
    </row>
    <row r="558" spans="3:9" hidden="1" outlineLevel="1" x14ac:dyDescent="0.2">
      <c r="C558" s="94">
        <v>45822</v>
      </c>
      <c r="D558" s="32" t="s">
        <v>47</v>
      </c>
      <c r="E558" s="32" t="s">
        <v>48</v>
      </c>
      <c r="F558" s="34">
        <v>3</v>
      </c>
      <c r="G558" s="35"/>
      <c r="H558" s="37" cm="1">
        <f t="array" ref="H558">IFERROR(SUMPRODUCT(Tracking[Amount], --(Tracking[Date]&lt;=Tracking[[#This Row],[Date]]), (Tracking[Type]&lt;&gt;"Income") * (-1) + (Tracking[Type]="Income")), "-")</f>
        <v>5028</v>
      </c>
      <c r="I558" s="95">
        <f>IF(AND(Tracking[[#This Row],[Type]]="Income", shift_late_income_status="Active", DAY(Tracking[[#This Row],[Date]])&gt;=shift_late_income_starting_day),
      DATE(YEAR(Tracking[[#This Row],[Date]]), MONTH(Tracking[[#This Row],[Date]])+1, 1),
      Tracking[[#This Row],[Date]])</f>
        <v>45822</v>
      </c>
    </row>
    <row r="559" spans="3:9" hidden="1" outlineLevel="1" x14ac:dyDescent="0.2">
      <c r="C559" s="94">
        <v>45822</v>
      </c>
      <c r="D559" s="32" t="s">
        <v>47</v>
      </c>
      <c r="E559" s="32" t="s">
        <v>51</v>
      </c>
      <c r="F559" s="34">
        <v>8</v>
      </c>
      <c r="G559" s="35" t="s">
        <v>466</v>
      </c>
      <c r="H559" s="37" cm="1">
        <f t="array" ref="H559">IFERROR(SUMPRODUCT(Tracking[Amount], --(Tracking[Date]&lt;=Tracking[[#This Row],[Date]]), (Tracking[Type]&lt;&gt;"Income") * (-1) + (Tracking[Type]="Income")), "-")</f>
        <v>5028</v>
      </c>
      <c r="I559" s="95">
        <f>IF(AND(Tracking[[#This Row],[Type]]="Income", shift_late_income_status="Active", DAY(Tracking[[#This Row],[Date]])&gt;=shift_late_income_starting_day),
      DATE(YEAR(Tracking[[#This Row],[Date]]), MONTH(Tracking[[#This Row],[Date]])+1, 1),
      Tracking[[#This Row],[Date]])</f>
        <v>45822</v>
      </c>
    </row>
    <row r="560" spans="3:9" hidden="1" outlineLevel="1" x14ac:dyDescent="0.2">
      <c r="C560" s="94">
        <v>45822</v>
      </c>
      <c r="D560" s="32" t="s">
        <v>47</v>
      </c>
      <c r="E560" s="32" t="s">
        <v>51</v>
      </c>
      <c r="F560" s="34">
        <v>40</v>
      </c>
      <c r="G560" s="35" t="s">
        <v>358</v>
      </c>
      <c r="H560" s="37" cm="1">
        <f t="array" ref="H560">IFERROR(SUMPRODUCT(Tracking[Amount], --(Tracking[Date]&lt;=Tracking[[#This Row],[Date]]), (Tracking[Type]&lt;&gt;"Income") * (-1) + (Tracking[Type]="Income")), "-")</f>
        <v>5028</v>
      </c>
      <c r="I560" s="95">
        <f>IF(AND(Tracking[[#This Row],[Type]]="Income", shift_late_income_status="Active", DAY(Tracking[[#This Row],[Date]])&gt;=shift_late_income_starting_day),
      DATE(YEAR(Tracking[[#This Row],[Date]]), MONTH(Tracking[[#This Row],[Date]])+1, 1),
      Tracking[[#This Row],[Date]])</f>
        <v>45822</v>
      </c>
    </row>
    <row r="561" spans="3:9" hidden="1" outlineLevel="1" x14ac:dyDescent="0.2">
      <c r="C561" s="94">
        <v>45822</v>
      </c>
      <c r="D561" s="32" t="s">
        <v>47</v>
      </c>
      <c r="E561" s="32" t="s">
        <v>56</v>
      </c>
      <c r="F561" s="34">
        <v>285</v>
      </c>
      <c r="G561" s="35" t="s">
        <v>245</v>
      </c>
      <c r="H561" s="37" cm="1">
        <f t="array" ref="H561">IFERROR(SUMPRODUCT(Tracking[Amount], --(Tracking[Date]&lt;=Tracking[[#This Row],[Date]]), (Tracking[Type]&lt;&gt;"Income") * (-1) + (Tracking[Type]="Income")), "-")</f>
        <v>5028</v>
      </c>
      <c r="I561" s="95">
        <f>IF(AND(Tracking[[#This Row],[Type]]="Income", shift_late_income_status="Active", DAY(Tracking[[#This Row],[Date]])&gt;=shift_late_income_starting_day),
      DATE(YEAR(Tracking[[#This Row],[Date]]), MONTH(Tracking[[#This Row],[Date]])+1, 1),
      Tracking[[#This Row],[Date]])</f>
        <v>45822</v>
      </c>
    </row>
    <row r="562" spans="3:9" hidden="1" outlineLevel="1" x14ac:dyDescent="0.2">
      <c r="C562" s="94">
        <v>45822</v>
      </c>
      <c r="D562" s="32" t="s">
        <v>47</v>
      </c>
      <c r="E562" s="32" t="s">
        <v>54</v>
      </c>
      <c r="F562" s="34">
        <v>110</v>
      </c>
      <c r="G562" s="35" t="s">
        <v>467</v>
      </c>
      <c r="H562" s="37" cm="1">
        <f t="array" ref="H562">IFERROR(SUMPRODUCT(Tracking[Amount], --(Tracking[Date]&lt;=Tracking[[#This Row],[Date]]), (Tracking[Type]&lt;&gt;"Income") * (-1) + (Tracking[Type]="Income")), "-")</f>
        <v>5028</v>
      </c>
      <c r="I562" s="95">
        <f>IF(AND(Tracking[[#This Row],[Type]]="Income", shift_late_income_status="Active", DAY(Tracking[[#This Row],[Date]])&gt;=shift_late_income_starting_day),
      DATE(YEAR(Tracking[[#This Row],[Date]]), MONTH(Tracking[[#This Row],[Date]])+1, 1),
      Tracking[[#This Row],[Date]])</f>
        <v>45822</v>
      </c>
    </row>
    <row r="563" spans="3:9" hidden="1" outlineLevel="1" x14ac:dyDescent="0.2">
      <c r="C563" s="94">
        <v>45823</v>
      </c>
      <c r="D563" s="32" t="s">
        <v>47</v>
      </c>
      <c r="E563" s="32" t="s">
        <v>60</v>
      </c>
      <c r="F563" s="34">
        <v>97</v>
      </c>
      <c r="G563" s="35" t="s">
        <v>468</v>
      </c>
      <c r="H563" s="37" cm="1">
        <f t="array" ref="H563">IFERROR(SUMPRODUCT(Tracking[Amount], --(Tracking[Date]&lt;=Tracking[[#This Row],[Date]]), (Tracking[Type]&lt;&gt;"Income") * (-1) + (Tracking[Type]="Income")), "-")</f>
        <v>5147</v>
      </c>
      <c r="I563" s="95">
        <f>IF(AND(Tracking[[#This Row],[Type]]="Income", shift_late_income_status="Active", DAY(Tracking[[#This Row],[Date]])&gt;=shift_late_income_starting_day),
      DATE(YEAR(Tracking[[#This Row],[Date]]), MONTH(Tracking[[#This Row],[Date]])+1, 1),
      Tracking[[#This Row],[Date]])</f>
        <v>45823</v>
      </c>
    </row>
    <row r="564" spans="3:9" hidden="1" outlineLevel="1" x14ac:dyDescent="0.2">
      <c r="C564" s="94">
        <v>45823</v>
      </c>
      <c r="D564" s="32" t="s">
        <v>47</v>
      </c>
      <c r="E564" s="32" t="s">
        <v>59</v>
      </c>
      <c r="F564" s="34">
        <v>34</v>
      </c>
      <c r="G564" s="35" t="s">
        <v>418</v>
      </c>
      <c r="H564" s="37" cm="1">
        <f t="array" ref="H564">IFERROR(SUMPRODUCT(Tracking[Amount], --(Tracking[Date]&lt;=Tracking[[#This Row],[Date]]), (Tracking[Type]&lt;&gt;"Income") * (-1) + (Tracking[Type]="Income")), "-")</f>
        <v>5147</v>
      </c>
      <c r="I564" s="95">
        <f>IF(AND(Tracking[[#This Row],[Type]]="Income", shift_late_income_status="Active", DAY(Tracking[[#This Row],[Date]])&gt;=shift_late_income_starting_day),
      DATE(YEAR(Tracking[[#This Row],[Date]]), MONTH(Tracking[[#This Row],[Date]])+1, 1),
      Tracking[[#This Row],[Date]])</f>
        <v>45823</v>
      </c>
    </row>
    <row r="565" spans="3:9" hidden="1" outlineLevel="1" x14ac:dyDescent="0.2">
      <c r="C565" s="94">
        <v>45823</v>
      </c>
      <c r="D565" s="32" t="s">
        <v>40</v>
      </c>
      <c r="E565" s="32" t="s">
        <v>43</v>
      </c>
      <c r="F565" s="34">
        <v>250</v>
      </c>
      <c r="G565" s="35"/>
      <c r="H565" s="37" cm="1">
        <f t="array" ref="H565">IFERROR(SUMPRODUCT(Tracking[Amount], --(Tracking[Date]&lt;=Tracking[[#This Row],[Date]]), (Tracking[Type]&lt;&gt;"Income") * (-1) + (Tracking[Type]="Income")), "-")</f>
        <v>5147</v>
      </c>
      <c r="I565" s="95">
        <f>IF(AND(Tracking[[#This Row],[Type]]="Income", shift_late_income_status="Active", DAY(Tracking[[#This Row],[Date]])&gt;=shift_late_income_starting_day),
      DATE(YEAR(Tracking[[#This Row],[Date]]), MONTH(Tracking[[#This Row],[Date]])+1, 1),
      Tracking[[#This Row],[Date]])</f>
        <v>45823</v>
      </c>
    </row>
    <row r="566" spans="3:9" hidden="1" outlineLevel="1" x14ac:dyDescent="0.2">
      <c r="C566" s="94">
        <v>45812</v>
      </c>
      <c r="D566" s="32" t="s">
        <v>47</v>
      </c>
      <c r="E566" s="32" t="s">
        <v>59</v>
      </c>
      <c r="F566" s="34">
        <v>14</v>
      </c>
      <c r="G566" s="35" t="s">
        <v>352</v>
      </c>
      <c r="H566" s="37" cm="1">
        <f t="array" ref="H566">IFERROR(SUMPRODUCT(Tracking[Amount], --(Tracking[Date]&lt;=Tracking[[#This Row],[Date]]), (Tracking[Type]&lt;&gt;"Income") * (-1) + (Tracking[Type]="Income")), "-")</f>
        <v>6468</v>
      </c>
      <c r="I566" s="95">
        <f>IF(AND(Tracking[[#This Row],[Type]]="Income", shift_late_income_status="Active", DAY(Tracking[[#This Row],[Date]])&gt;=shift_late_income_starting_day),
      DATE(YEAR(Tracking[[#This Row],[Date]]), MONTH(Tracking[[#This Row],[Date]])+1, 1),
      Tracking[[#This Row],[Date]])</f>
        <v>45812</v>
      </c>
    </row>
    <row r="567" spans="3:9" hidden="1" outlineLevel="1" x14ac:dyDescent="0.2">
      <c r="C567" s="94">
        <v>45822</v>
      </c>
      <c r="D567" s="32" t="s">
        <v>47</v>
      </c>
      <c r="E567" s="32" t="s">
        <v>55</v>
      </c>
      <c r="F567" s="34">
        <v>20</v>
      </c>
      <c r="G567" s="35" t="s">
        <v>469</v>
      </c>
      <c r="H567" s="37" cm="1">
        <f t="array" ref="H567">IFERROR(SUMPRODUCT(Tracking[Amount], --(Tracking[Date]&lt;=Tracking[[#This Row],[Date]]), (Tracking[Type]&lt;&gt;"Income") * (-1) + (Tracking[Type]="Income")), "-")</f>
        <v>5028</v>
      </c>
      <c r="I567" s="95">
        <f>IF(AND(Tracking[[#This Row],[Type]]="Income", shift_late_income_status="Active", DAY(Tracking[[#This Row],[Date]])&gt;=shift_late_income_starting_day),
      DATE(YEAR(Tracking[[#This Row],[Date]]), MONTH(Tracking[[#This Row],[Date]])+1, 1),
      Tracking[[#This Row],[Date]])</f>
        <v>45822</v>
      </c>
    </row>
    <row r="568" spans="3:9" hidden="1" outlineLevel="1" x14ac:dyDescent="0.2">
      <c r="C568" s="94">
        <v>45824</v>
      </c>
      <c r="D568" s="32" t="s">
        <v>47</v>
      </c>
      <c r="E568" s="32" t="s">
        <v>59</v>
      </c>
      <c r="F568" s="34">
        <v>21</v>
      </c>
      <c r="G568" s="35" t="s">
        <v>218</v>
      </c>
      <c r="H568" s="37" cm="1">
        <f t="array" ref="H568">IFERROR(SUMPRODUCT(Tracking[Amount], --(Tracking[Date]&lt;=Tracking[[#This Row],[Date]]), (Tracking[Type]&lt;&gt;"Income") * (-1) + (Tracking[Type]="Income")), "-")</f>
        <v>4895</v>
      </c>
      <c r="I568" s="95">
        <f>IF(AND(Tracking[[#This Row],[Type]]="Income", shift_late_income_status="Active", DAY(Tracking[[#This Row],[Date]])&gt;=shift_late_income_starting_day),
      DATE(YEAR(Tracking[[#This Row],[Date]]), MONTH(Tracking[[#This Row],[Date]])+1, 1),
      Tracking[[#This Row],[Date]])</f>
        <v>45824</v>
      </c>
    </row>
    <row r="569" spans="3:9" hidden="1" outlineLevel="1" x14ac:dyDescent="0.2">
      <c r="C569" s="94">
        <v>45824</v>
      </c>
      <c r="D569" s="32" t="s">
        <v>47</v>
      </c>
      <c r="E569" s="32" t="s">
        <v>59</v>
      </c>
      <c r="F569" s="34">
        <v>5</v>
      </c>
      <c r="G569" s="35" t="s">
        <v>424</v>
      </c>
      <c r="H569" s="37" cm="1">
        <f t="array" ref="H569">IFERROR(SUMPRODUCT(Tracking[Amount], --(Tracking[Date]&lt;=Tracking[[#This Row],[Date]]), (Tracking[Type]&lt;&gt;"Income") * (-1) + (Tracking[Type]="Income")), "-")</f>
        <v>4895</v>
      </c>
      <c r="I569" s="95">
        <f>IF(AND(Tracking[[#This Row],[Type]]="Income", shift_late_income_status="Active", DAY(Tracking[[#This Row],[Date]])&gt;=shift_late_income_starting_day),
      DATE(YEAR(Tracking[[#This Row],[Date]]), MONTH(Tracking[[#This Row],[Date]])+1, 1),
      Tracking[[#This Row],[Date]])</f>
        <v>45824</v>
      </c>
    </row>
    <row r="570" spans="3:9" hidden="1" outlineLevel="1" x14ac:dyDescent="0.2">
      <c r="C570" s="94">
        <v>45824</v>
      </c>
      <c r="D570" s="32" t="s">
        <v>47</v>
      </c>
      <c r="E570" s="32" t="s">
        <v>51</v>
      </c>
      <c r="F570" s="34">
        <v>65</v>
      </c>
      <c r="G570" s="35" t="s">
        <v>470</v>
      </c>
      <c r="H570" s="37" cm="1">
        <f t="array" ref="H570">IFERROR(SUMPRODUCT(Tracking[Amount], --(Tracking[Date]&lt;=Tracking[[#This Row],[Date]]), (Tracking[Type]&lt;&gt;"Income") * (-1) + (Tracking[Type]="Income")), "-")</f>
        <v>4895</v>
      </c>
      <c r="I570" s="95">
        <f>IF(AND(Tracking[[#This Row],[Type]]="Income", shift_late_income_status="Active", DAY(Tracking[[#This Row],[Date]])&gt;=shift_late_income_starting_day),
      DATE(YEAR(Tracking[[#This Row],[Date]]), MONTH(Tracking[[#This Row],[Date]])+1, 1),
      Tracking[[#This Row],[Date]])</f>
        <v>45824</v>
      </c>
    </row>
    <row r="571" spans="3:9" hidden="1" outlineLevel="1" x14ac:dyDescent="0.2">
      <c r="C571" s="94">
        <v>45824</v>
      </c>
      <c r="D571" s="32" t="s">
        <v>47</v>
      </c>
      <c r="E571" s="32" t="s">
        <v>48</v>
      </c>
      <c r="F571" s="34">
        <v>36</v>
      </c>
      <c r="G571" s="35"/>
      <c r="H571" s="37" cm="1">
        <f t="array" ref="H571">IFERROR(SUMPRODUCT(Tracking[Amount], --(Tracking[Date]&lt;=Tracking[[#This Row],[Date]]), (Tracking[Type]&lt;&gt;"Income") * (-1) + (Tracking[Type]="Income")), "-")</f>
        <v>4895</v>
      </c>
      <c r="I571" s="95">
        <f>IF(AND(Tracking[[#This Row],[Type]]="Income", shift_late_income_status="Active", DAY(Tracking[[#This Row],[Date]])&gt;=shift_late_income_starting_day),
      DATE(YEAR(Tracking[[#This Row],[Date]]), MONTH(Tracking[[#This Row],[Date]])+1, 1),
      Tracking[[#This Row],[Date]])</f>
        <v>45824</v>
      </c>
    </row>
    <row r="572" spans="3:9" hidden="1" outlineLevel="1" x14ac:dyDescent="0.2">
      <c r="C572" s="94">
        <v>45824</v>
      </c>
      <c r="D572" s="32" t="s">
        <v>47</v>
      </c>
      <c r="E572" s="32" t="s">
        <v>51</v>
      </c>
      <c r="F572" s="34">
        <v>62</v>
      </c>
      <c r="G572" s="35" t="s">
        <v>471</v>
      </c>
      <c r="H572" s="37" cm="1">
        <f t="array" ref="H572">IFERROR(SUMPRODUCT(Tracking[Amount], --(Tracking[Date]&lt;=Tracking[[#This Row],[Date]]), (Tracking[Type]&lt;&gt;"Income") * (-1) + (Tracking[Type]="Income")), "-")</f>
        <v>4895</v>
      </c>
      <c r="I572" s="95">
        <f>IF(AND(Tracking[[#This Row],[Type]]="Income", shift_late_income_status="Active", DAY(Tracking[[#This Row],[Date]])&gt;=shift_late_income_starting_day),
      DATE(YEAR(Tracking[[#This Row],[Date]]), MONTH(Tracking[[#This Row],[Date]])+1, 1),
      Tracking[[#This Row],[Date]])</f>
        <v>45824</v>
      </c>
    </row>
    <row r="573" spans="3:9" hidden="1" outlineLevel="1" x14ac:dyDescent="0.2">
      <c r="C573" s="94">
        <v>45824</v>
      </c>
      <c r="D573" s="32" t="s">
        <v>47</v>
      </c>
      <c r="E573" s="32" t="s">
        <v>49</v>
      </c>
      <c r="F573" s="34">
        <v>63</v>
      </c>
      <c r="G573" s="35" t="s">
        <v>311</v>
      </c>
      <c r="H573" s="37" cm="1">
        <f t="array" ref="H573">IFERROR(SUMPRODUCT(Tracking[Amount], --(Tracking[Date]&lt;=Tracking[[#This Row],[Date]]), (Tracking[Type]&lt;&gt;"Income") * (-1) + (Tracking[Type]="Income")), "-")</f>
        <v>4895</v>
      </c>
      <c r="I573" s="95">
        <f>IF(AND(Tracking[[#This Row],[Type]]="Income", shift_late_income_status="Active", DAY(Tracking[[#This Row],[Date]])&gt;=shift_late_income_starting_day),
      DATE(YEAR(Tracking[[#This Row],[Date]]), MONTH(Tracking[[#This Row],[Date]])+1, 1),
      Tracking[[#This Row],[Date]])</f>
        <v>45824</v>
      </c>
    </row>
    <row r="574" spans="3:9" hidden="1" outlineLevel="1" x14ac:dyDescent="0.2">
      <c r="C574" s="94">
        <v>45825</v>
      </c>
      <c r="D574" s="32" t="s">
        <v>47</v>
      </c>
      <c r="E574" s="32" t="s">
        <v>60</v>
      </c>
      <c r="F574" s="34">
        <v>5</v>
      </c>
      <c r="G574" s="35" t="s">
        <v>338</v>
      </c>
      <c r="H574" s="37" cm="1">
        <f t="array" ref="H574">IFERROR(SUMPRODUCT(Tracking[Amount], --(Tracking[Date]&lt;=Tracking[[#This Row],[Date]]), (Tracking[Type]&lt;&gt;"Income") * (-1) + (Tracking[Type]="Income")), "-")</f>
        <v>4890</v>
      </c>
      <c r="I574" s="95">
        <f>IF(AND(Tracking[[#This Row],[Type]]="Income", shift_late_income_status="Active", DAY(Tracking[[#This Row],[Date]])&gt;=shift_late_income_starting_day),
      DATE(YEAR(Tracking[[#This Row],[Date]]), MONTH(Tracking[[#This Row],[Date]])+1, 1),
      Tracking[[#This Row],[Date]])</f>
        <v>45825</v>
      </c>
    </row>
    <row r="575" spans="3:9" hidden="1" outlineLevel="1" x14ac:dyDescent="0.2">
      <c r="C575" s="94">
        <v>45826</v>
      </c>
      <c r="D575" s="32" t="s">
        <v>47</v>
      </c>
      <c r="E575" s="32" t="s">
        <v>48</v>
      </c>
      <c r="F575" s="34">
        <v>38</v>
      </c>
      <c r="G575" s="35" t="s">
        <v>472</v>
      </c>
      <c r="H575" s="37" cm="1">
        <f t="array" ref="H575">IFERROR(SUMPRODUCT(Tracking[Amount], --(Tracking[Date]&lt;=Tracking[[#This Row],[Date]]), (Tracking[Type]&lt;&gt;"Income") * (-1) + (Tracking[Type]="Income")), "-")</f>
        <v>4852</v>
      </c>
      <c r="I575" s="95">
        <f>IF(AND(Tracking[[#This Row],[Type]]="Income", shift_late_income_status="Active", DAY(Tracking[[#This Row],[Date]])&gt;=shift_late_income_starting_day),
      DATE(YEAR(Tracking[[#This Row],[Date]]), MONTH(Tracking[[#This Row],[Date]])+1, 1),
      Tracking[[#This Row],[Date]])</f>
        <v>45826</v>
      </c>
    </row>
    <row r="576" spans="3:9" hidden="1" outlineLevel="1" x14ac:dyDescent="0.2">
      <c r="C576" s="94">
        <v>45831</v>
      </c>
      <c r="D576" s="32" t="s">
        <v>47</v>
      </c>
      <c r="E576" s="32" t="s">
        <v>58</v>
      </c>
      <c r="F576" s="34">
        <v>127</v>
      </c>
      <c r="G576" s="35" t="s">
        <v>422</v>
      </c>
      <c r="H576" s="37" cm="1">
        <f t="array" ref="H576">IFERROR(SUMPRODUCT(Tracking[Amount], --(Tracking[Date]&lt;=Tracking[[#This Row],[Date]]), (Tracking[Type]&lt;&gt;"Income") * (-1) + (Tracking[Type]="Income")), "-")</f>
        <v>4252</v>
      </c>
      <c r="I576" s="95">
        <f>IF(AND(Tracking[[#This Row],[Type]]="Income", shift_late_income_status="Active", DAY(Tracking[[#This Row],[Date]])&gt;=shift_late_income_starting_day),
      DATE(YEAR(Tracking[[#This Row],[Date]]), MONTH(Tracking[[#This Row],[Date]])+1, 1),
      Tracking[[#This Row],[Date]])</f>
        <v>45831</v>
      </c>
    </row>
    <row r="577" spans="3:9" hidden="1" outlineLevel="1" x14ac:dyDescent="0.2">
      <c r="C577" s="94">
        <v>45828</v>
      </c>
      <c r="D577" s="32" t="s">
        <v>47</v>
      </c>
      <c r="E577" s="32" t="s">
        <v>55</v>
      </c>
      <c r="F577" s="34">
        <v>68</v>
      </c>
      <c r="G577" s="35" t="s">
        <v>473</v>
      </c>
      <c r="H577" s="37" cm="1">
        <f t="array" ref="H577">IFERROR(SUMPRODUCT(Tracking[Amount], --(Tracking[Date]&lt;=Tracking[[#This Row],[Date]]), (Tracking[Type]&lt;&gt;"Income") * (-1) + (Tracking[Type]="Income")), "-")</f>
        <v>4697</v>
      </c>
      <c r="I577" s="95">
        <f>IF(AND(Tracking[[#This Row],[Type]]="Income", shift_late_income_status="Active", DAY(Tracking[[#This Row],[Date]])&gt;=shift_late_income_starting_day),
      DATE(YEAR(Tracking[[#This Row],[Date]]), MONTH(Tracking[[#This Row],[Date]])+1, 1),
      Tracking[[#This Row],[Date]])</f>
        <v>45828</v>
      </c>
    </row>
    <row r="578" spans="3:9" hidden="1" outlineLevel="1" x14ac:dyDescent="0.2">
      <c r="C578" s="94">
        <v>45830</v>
      </c>
      <c r="D578" s="32" t="s">
        <v>47</v>
      </c>
      <c r="E578" s="32" t="s">
        <v>59</v>
      </c>
      <c r="F578" s="34">
        <v>10</v>
      </c>
      <c r="G578" s="35" t="s">
        <v>353</v>
      </c>
      <c r="H578" s="37" cm="1">
        <f t="array" ref="H578">IFERROR(SUMPRODUCT(Tracking[Amount], --(Tracking[Date]&lt;=Tracking[[#This Row],[Date]]), (Tracking[Type]&lt;&gt;"Income") * (-1) + (Tracking[Type]="Income")), "-")</f>
        <v>4485</v>
      </c>
      <c r="I578" s="95">
        <f>IF(AND(Tracking[[#This Row],[Type]]="Income", shift_late_income_status="Active", DAY(Tracking[[#This Row],[Date]])&gt;=shift_late_income_starting_day),
      DATE(YEAR(Tracking[[#This Row],[Date]]), MONTH(Tracking[[#This Row],[Date]])+1, 1),
      Tracking[[#This Row],[Date]])</f>
        <v>45830</v>
      </c>
    </row>
    <row r="579" spans="3:9" hidden="1" outlineLevel="1" x14ac:dyDescent="0.2">
      <c r="C579" s="94">
        <v>45827</v>
      </c>
      <c r="D579" s="32" t="s">
        <v>47</v>
      </c>
      <c r="E579" s="32" t="s">
        <v>49</v>
      </c>
      <c r="F579" s="34">
        <v>18</v>
      </c>
      <c r="G579" s="35" t="s">
        <v>474</v>
      </c>
      <c r="H579" s="37" cm="1">
        <f t="array" ref="H579">IFERROR(SUMPRODUCT(Tracking[Amount], --(Tracking[Date]&lt;=Tracking[[#This Row],[Date]]), (Tracking[Type]&lt;&gt;"Income") * (-1) + (Tracking[Type]="Income")), "-")</f>
        <v>4779</v>
      </c>
      <c r="I579" s="95">
        <f>IF(AND(Tracking[[#This Row],[Type]]="Income", shift_late_income_status="Active", DAY(Tracking[[#This Row],[Date]])&gt;=shift_late_income_starting_day),
      DATE(YEAR(Tracking[[#This Row],[Date]]), MONTH(Tracking[[#This Row],[Date]])+1, 1),
      Tracking[[#This Row],[Date]])</f>
        <v>45827</v>
      </c>
    </row>
    <row r="580" spans="3:9" hidden="1" outlineLevel="1" x14ac:dyDescent="0.2">
      <c r="C580" s="94">
        <v>45827</v>
      </c>
      <c r="D580" s="32" t="s">
        <v>47</v>
      </c>
      <c r="E580" s="32" t="s">
        <v>48</v>
      </c>
      <c r="F580" s="34">
        <v>43</v>
      </c>
      <c r="G580" s="35"/>
      <c r="H580" s="37" cm="1">
        <f t="array" ref="H580">IFERROR(SUMPRODUCT(Tracking[Amount], --(Tracking[Date]&lt;=Tracking[[#This Row],[Date]]), (Tracking[Type]&lt;&gt;"Income") * (-1) + (Tracking[Type]="Income")), "-")</f>
        <v>4779</v>
      </c>
      <c r="I580" s="95">
        <f>IF(AND(Tracking[[#This Row],[Type]]="Income", shift_late_income_status="Active", DAY(Tracking[[#This Row],[Date]])&gt;=shift_late_income_starting_day),
      DATE(YEAR(Tracking[[#This Row],[Date]]), MONTH(Tracking[[#This Row],[Date]])+1, 1),
      Tracking[[#This Row],[Date]])</f>
        <v>45827</v>
      </c>
    </row>
    <row r="581" spans="3:9" hidden="1" outlineLevel="1" x14ac:dyDescent="0.2">
      <c r="C581" s="94">
        <v>45827</v>
      </c>
      <c r="D581" s="32" t="s">
        <v>47</v>
      </c>
      <c r="E581" s="32" t="s">
        <v>52</v>
      </c>
      <c r="F581" s="34">
        <v>12</v>
      </c>
      <c r="G581" s="35" t="s">
        <v>358</v>
      </c>
      <c r="H581" s="37" cm="1">
        <f t="array" ref="H581">IFERROR(SUMPRODUCT(Tracking[Amount], --(Tracking[Date]&lt;=Tracking[[#This Row],[Date]]), (Tracking[Type]&lt;&gt;"Income") * (-1) + (Tracking[Type]="Income")), "-")</f>
        <v>4779</v>
      </c>
      <c r="I581" s="95">
        <f>IF(AND(Tracking[[#This Row],[Type]]="Income", shift_late_income_status="Active", DAY(Tracking[[#This Row],[Date]])&gt;=shift_late_income_starting_day),
      DATE(YEAR(Tracking[[#This Row],[Date]]), MONTH(Tracking[[#This Row],[Date]])+1, 1),
      Tracking[[#This Row],[Date]])</f>
        <v>45827</v>
      </c>
    </row>
    <row r="582" spans="3:9" hidden="1" outlineLevel="1" x14ac:dyDescent="0.2">
      <c r="C582" s="94">
        <v>45828</v>
      </c>
      <c r="D582" s="32" t="s">
        <v>47</v>
      </c>
      <c r="E582" s="32" t="s">
        <v>48</v>
      </c>
      <c r="F582" s="34">
        <v>14</v>
      </c>
      <c r="G582" s="35"/>
      <c r="H582" s="37" cm="1">
        <f t="array" ref="H582">IFERROR(SUMPRODUCT(Tracking[Amount], --(Tracking[Date]&lt;=Tracking[[#This Row],[Date]]), (Tracking[Type]&lt;&gt;"Income") * (-1) + (Tracking[Type]="Income")), "-")</f>
        <v>4697</v>
      </c>
      <c r="I582" s="95">
        <f>IF(AND(Tracking[[#This Row],[Type]]="Income", shift_late_income_status="Active", DAY(Tracking[[#This Row],[Date]])&gt;=shift_late_income_starting_day),
      DATE(YEAR(Tracking[[#This Row],[Date]]), MONTH(Tracking[[#This Row],[Date]])+1, 1),
      Tracking[[#This Row],[Date]])</f>
        <v>45828</v>
      </c>
    </row>
    <row r="583" spans="3:9" hidden="1" outlineLevel="1" x14ac:dyDescent="0.2">
      <c r="C583" s="94">
        <v>45829</v>
      </c>
      <c r="D583" s="32" t="s">
        <v>47</v>
      </c>
      <c r="E583" s="32" t="s">
        <v>49</v>
      </c>
      <c r="F583" s="34">
        <v>60</v>
      </c>
      <c r="G583" s="35" t="s">
        <v>475</v>
      </c>
      <c r="H583" s="37" cm="1">
        <f t="array" ref="H583">IFERROR(SUMPRODUCT(Tracking[Amount], --(Tracking[Date]&lt;=Tracking[[#This Row],[Date]]), (Tracking[Type]&lt;&gt;"Income") * (-1) + (Tracking[Type]="Income")), "-")</f>
        <v>4525</v>
      </c>
      <c r="I583" s="95">
        <f>IF(AND(Tracking[[#This Row],[Type]]="Income", shift_late_income_status="Active", DAY(Tracking[[#This Row],[Date]])&gt;=shift_late_income_starting_day),
      DATE(YEAR(Tracking[[#This Row],[Date]]), MONTH(Tracking[[#This Row],[Date]])+1, 1),
      Tracking[[#This Row],[Date]])</f>
        <v>45829</v>
      </c>
    </row>
    <row r="584" spans="3:9" hidden="1" outlineLevel="1" x14ac:dyDescent="0.2">
      <c r="C584" s="94">
        <v>45829</v>
      </c>
      <c r="D584" s="32" t="s">
        <v>47</v>
      </c>
      <c r="E584" s="32" t="s">
        <v>54</v>
      </c>
      <c r="F584" s="34">
        <v>112</v>
      </c>
      <c r="G584" s="35" t="s">
        <v>476</v>
      </c>
      <c r="H584" s="37" cm="1">
        <f t="array" ref="H584">IFERROR(SUMPRODUCT(Tracking[Amount], --(Tracking[Date]&lt;=Tracking[[#This Row],[Date]]), (Tracking[Type]&lt;&gt;"Income") * (-1) + (Tracking[Type]="Income")), "-")</f>
        <v>4525</v>
      </c>
      <c r="I584" s="95">
        <f>IF(AND(Tracking[[#This Row],[Type]]="Income", shift_late_income_status="Active", DAY(Tracking[[#This Row],[Date]])&gt;=shift_late_income_starting_day),
      DATE(YEAR(Tracking[[#This Row],[Date]]), MONTH(Tracking[[#This Row],[Date]])+1, 1),
      Tracking[[#This Row],[Date]])</f>
        <v>45829</v>
      </c>
    </row>
    <row r="585" spans="3:9" hidden="1" outlineLevel="1" x14ac:dyDescent="0.2">
      <c r="C585" s="94">
        <v>45830</v>
      </c>
      <c r="D585" s="32" t="s">
        <v>47</v>
      </c>
      <c r="E585" s="32" t="s">
        <v>52</v>
      </c>
      <c r="F585" s="34">
        <v>30</v>
      </c>
      <c r="G585" s="35" t="s">
        <v>358</v>
      </c>
      <c r="H585" s="37" cm="1">
        <f t="array" ref="H585">IFERROR(SUMPRODUCT(Tracking[Amount], --(Tracking[Date]&lt;=Tracking[[#This Row],[Date]]), (Tracking[Type]&lt;&gt;"Income") * (-1) + (Tracking[Type]="Income")), "-")</f>
        <v>4485</v>
      </c>
      <c r="I585" s="95">
        <f>IF(AND(Tracking[[#This Row],[Type]]="Income", shift_late_income_status="Active", DAY(Tracking[[#This Row],[Date]])&gt;=shift_late_income_starting_day),
      DATE(YEAR(Tracking[[#This Row],[Date]]), MONTH(Tracking[[#This Row],[Date]])+1, 1),
      Tracking[[#This Row],[Date]])</f>
        <v>45830</v>
      </c>
    </row>
    <row r="586" spans="3:9" hidden="1" outlineLevel="1" x14ac:dyDescent="0.2">
      <c r="C586" s="94">
        <v>45831</v>
      </c>
      <c r="D586" s="32" t="s">
        <v>47</v>
      </c>
      <c r="E586" s="32" t="s">
        <v>44</v>
      </c>
      <c r="F586" s="34">
        <v>24</v>
      </c>
      <c r="G586" s="35" t="s">
        <v>477</v>
      </c>
      <c r="H586" s="37" cm="1">
        <f t="array" ref="H586">IFERROR(SUMPRODUCT(Tracking[Amount], --(Tracking[Date]&lt;=Tracking[[#This Row],[Date]]), (Tracking[Type]&lt;&gt;"Income") * (-1) + (Tracking[Type]="Income")), "-")</f>
        <v>4252</v>
      </c>
      <c r="I586" s="95">
        <f>IF(AND(Tracking[[#This Row],[Type]]="Income", shift_late_income_status="Active", DAY(Tracking[[#This Row],[Date]])&gt;=shift_late_income_starting_day),
      DATE(YEAR(Tracking[[#This Row],[Date]]), MONTH(Tracking[[#This Row],[Date]])+1, 1),
      Tracking[[#This Row],[Date]])</f>
        <v>45831</v>
      </c>
    </row>
    <row r="587" spans="3:9" hidden="1" outlineLevel="1" x14ac:dyDescent="0.2">
      <c r="C587" s="94">
        <v>45831</v>
      </c>
      <c r="D587" s="32" t="s">
        <v>47</v>
      </c>
      <c r="E587" s="32" t="s">
        <v>48</v>
      </c>
      <c r="F587" s="34">
        <v>5</v>
      </c>
      <c r="G587" s="35"/>
      <c r="H587" s="37" cm="1">
        <f t="array" ref="H587">IFERROR(SUMPRODUCT(Tracking[Amount], --(Tracking[Date]&lt;=Tracking[[#This Row],[Date]]), (Tracking[Type]&lt;&gt;"Income") * (-1) + (Tracking[Type]="Income")), "-")</f>
        <v>4252</v>
      </c>
      <c r="I587" s="95">
        <f>IF(AND(Tracking[[#This Row],[Type]]="Income", shift_late_income_status="Active", DAY(Tracking[[#This Row],[Date]])&gt;=shift_late_income_starting_day),
      DATE(YEAR(Tracking[[#This Row],[Date]]), MONTH(Tracking[[#This Row],[Date]])+1, 1),
      Tracking[[#This Row],[Date]])</f>
        <v>45831</v>
      </c>
    </row>
    <row r="588" spans="3:9" hidden="1" outlineLevel="1" x14ac:dyDescent="0.2">
      <c r="C588" s="94">
        <v>45831</v>
      </c>
      <c r="D588" s="32" t="s">
        <v>47</v>
      </c>
      <c r="E588" s="32" t="s">
        <v>52</v>
      </c>
      <c r="F588" s="34">
        <v>70</v>
      </c>
      <c r="G588" s="35" t="s">
        <v>415</v>
      </c>
      <c r="H588" s="37" cm="1">
        <f t="array" ref="H588">IFERROR(SUMPRODUCT(Tracking[Amount], --(Tracking[Date]&lt;=Tracking[[#This Row],[Date]]), (Tracking[Type]&lt;&gt;"Income") * (-1) + (Tracking[Type]="Income")), "-")</f>
        <v>4252</v>
      </c>
      <c r="I588" s="95">
        <f>IF(AND(Tracking[[#This Row],[Type]]="Income", shift_late_income_status="Active", DAY(Tracking[[#This Row],[Date]])&gt;=shift_late_income_starting_day),
      DATE(YEAR(Tracking[[#This Row],[Date]]), MONTH(Tracking[[#This Row],[Date]])+1, 1),
      Tracking[[#This Row],[Date]])</f>
        <v>45831</v>
      </c>
    </row>
    <row r="589" spans="3:9" hidden="1" outlineLevel="1" x14ac:dyDescent="0.2">
      <c r="C589" s="94">
        <v>45831</v>
      </c>
      <c r="D589" s="32" t="s">
        <v>47</v>
      </c>
      <c r="E589" s="32" t="s">
        <v>48</v>
      </c>
      <c r="F589" s="34">
        <v>7</v>
      </c>
      <c r="G589" s="35"/>
      <c r="H589" s="37" cm="1">
        <f t="array" ref="H589">IFERROR(SUMPRODUCT(Tracking[Amount], --(Tracking[Date]&lt;=Tracking[[#This Row],[Date]]), (Tracking[Type]&lt;&gt;"Income") * (-1) + (Tracking[Type]="Income")), "-")</f>
        <v>4252</v>
      </c>
      <c r="I589" s="95">
        <f>IF(AND(Tracking[[#This Row],[Type]]="Income", shift_late_income_status="Active", DAY(Tracking[[#This Row],[Date]])&gt;=shift_late_income_starting_day),
      DATE(YEAR(Tracking[[#This Row],[Date]]), MONTH(Tracking[[#This Row],[Date]])+1, 1),
      Tracking[[#This Row],[Date]])</f>
        <v>45831</v>
      </c>
    </row>
    <row r="590" spans="3:9" hidden="1" outlineLevel="1" x14ac:dyDescent="0.2">
      <c r="C590" s="94">
        <v>45817</v>
      </c>
      <c r="D590" s="32" t="s">
        <v>47</v>
      </c>
      <c r="E590" s="32" t="s">
        <v>44</v>
      </c>
      <c r="F590" s="34">
        <v>122</v>
      </c>
      <c r="G590" s="35" t="s">
        <v>478</v>
      </c>
      <c r="H590" s="37" cm="1">
        <f t="array" ref="H590">IFERROR(SUMPRODUCT(Tracking[Amount], --(Tracking[Date]&lt;=Tracking[[#This Row],[Date]]), (Tracking[Type]&lt;&gt;"Income") * (-1) + (Tracking[Type]="Income")), "-")</f>
        <v>5806</v>
      </c>
      <c r="I590" s="95">
        <f>IF(AND(Tracking[[#This Row],[Type]]="Income", shift_late_income_status="Active", DAY(Tracking[[#This Row],[Date]])&gt;=shift_late_income_starting_day),
      DATE(YEAR(Tracking[[#This Row],[Date]]), MONTH(Tracking[[#This Row],[Date]])+1, 1),
      Tracking[[#This Row],[Date]])</f>
        <v>45817</v>
      </c>
    </row>
    <row r="591" spans="3:9" hidden="1" outlineLevel="1" x14ac:dyDescent="0.2">
      <c r="C591" s="94">
        <v>45832</v>
      </c>
      <c r="D591" s="32" t="s">
        <v>47</v>
      </c>
      <c r="E591" s="32" t="s">
        <v>59</v>
      </c>
      <c r="F591" s="34">
        <v>15</v>
      </c>
      <c r="G591" s="35" t="s">
        <v>271</v>
      </c>
      <c r="H591" s="37" cm="1">
        <f t="array" ref="H591">IFERROR(SUMPRODUCT(Tracking[Amount], --(Tracking[Date]&lt;=Tracking[[#This Row],[Date]]), (Tracking[Type]&lt;&gt;"Income") * (-1) + (Tracking[Type]="Income")), "-")</f>
        <v>4237</v>
      </c>
      <c r="I591" s="95">
        <f>IF(AND(Tracking[[#This Row],[Type]]="Income", shift_late_income_status="Active", DAY(Tracking[[#This Row],[Date]])&gt;=shift_late_income_starting_day),
      DATE(YEAR(Tracking[[#This Row],[Date]]), MONTH(Tracking[[#This Row],[Date]])+1, 1),
      Tracking[[#This Row],[Date]])</f>
        <v>45832</v>
      </c>
    </row>
    <row r="592" spans="3:9" hidden="1" outlineLevel="1" x14ac:dyDescent="0.2">
      <c r="C592" s="94">
        <v>45833</v>
      </c>
      <c r="D592" s="32" t="s">
        <v>62</v>
      </c>
      <c r="E592" s="32" t="s">
        <v>63</v>
      </c>
      <c r="F592" s="34">
        <v>78</v>
      </c>
      <c r="G592" s="35"/>
      <c r="H592" s="37" cm="1">
        <f t="array" ref="H592">IFERROR(SUMPRODUCT(Tracking[Amount], --(Tracking[Date]&lt;=Tracking[[#This Row],[Date]]), (Tracking[Type]&lt;&gt;"Income") * (-1) + (Tracking[Type]="Income")), "-")</f>
        <v>817</v>
      </c>
      <c r="I592" s="95">
        <f>IF(AND(Tracking[[#This Row],[Type]]="Income", shift_late_income_status="Active", DAY(Tracking[[#This Row],[Date]])&gt;=shift_late_income_starting_day),
      DATE(YEAR(Tracking[[#This Row],[Date]]), MONTH(Tracking[[#This Row],[Date]])+1, 1),
      Tracking[[#This Row],[Date]])</f>
        <v>45833</v>
      </c>
    </row>
    <row r="593" spans="3:9" hidden="1" outlineLevel="1" x14ac:dyDescent="0.2">
      <c r="C593" s="94">
        <v>45833</v>
      </c>
      <c r="D593" s="32" t="s">
        <v>47</v>
      </c>
      <c r="E593" s="32" t="s">
        <v>57</v>
      </c>
      <c r="F593" s="34">
        <v>3215</v>
      </c>
      <c r="G593" s="35"/>
      <c r="H593" s="37" cm="1">
        <f t="array" ref="H593">IFERROR(SUMPRODUCT(Tracking[Amount], --(Tracking[Date]&lt;=Tracking[[#This Row],[Date]]), (Tracking[Type]&lt;&gt;"Income") * (-1) + (Tracking[Type]="Income")), "-")</f>
        <v>817</v>
      </c>
      <c r="I593" s="95">
        <f>IF(AND(Tracking[[#This Row],[Type]]="Income", shift_late_income_status="Active", DAY(Tracking[[#This Row],[Date]])&gt;=shift_late_income_starting_day),
      DATE(YEAR(Tracking[[#This Row],[Date]]), MONTH(Tracking[[#This Row],[Date]])+1, 1),
      Tracking[[#This Row],[Date]])</f>
        <v>45833</v>
      </c>
    </row>
    <row r="594" spans="3:9" hidden="1" outlineLevel="1" x14ac:dyDescent="0.2">
      <c r="C594" s="94">
        <v>45833</v>
      </c>
      <c r="D594" s="32" t="s">
        <v>47</v>
      </c>
      <c r="E594" s="32" t="s">
        <v>58</v>
      </c>
      <c r="F594" s="34">
        <v>87</v>
      </c>
      <c r="G594" s="35" t="s">
        <v>435</v>
      </c>
      <c r="H594" s="37" cm="1">
        <f t="array" ref="H594">IFERROR(SUMPRODUCT(Tracking[Amount], --(Tracking[Date]&lt;=Tracking[[#This Row],[Date]]), (Tracking[Type]&lt;&gt;"Income") * (-1) + (Tracking[Type]="Income")), "-")</f>
        <v>817</v>
      </c>
      <c r="I594" s="95">
        <f>IF(AND(Tracking[[#This Row],[Type]]="Income", shift_late_income_status="Active", DAY(Tracking[[#This Row],[Date]])&gt;=shift_late_income_starting_day),
      DATE(YEAR(Tracking[[#This Row],[Date]]), MONTH(Tracking[[#This Row],[Date]])+1, 1),
      Tracking[[#This Row],[Date]])</f>
        <v>45833</v>
      </c>
    </row>
    <row r="595" spans="3:9" hidden="1" outlineLevel="1" x14ac:dyDescent="0.2">
      <c r="C595" s="94">
        <v>45833</v>
      </c>
      <c r="D595" s="32" t="s">
        <v>47</v>
      </c>
      <c r="E595" s="32" t="s">
        <v>49</v>
      </c>
      <c r="F595" s="34">
        <v>25</v>
      </c>
      <c r="G595" s="35" t="s">
        <v>479</v>
      </c>
      <c r="H595" s="37" cm="1">
        <f t="array" ref="H595">IFERROR(SUMPRODUCT(Tracking[Amount], --(Tracking[Date]&lt;=Tracking[[#This Row],[Date]]), (Tracking[Type]&lt;&gt;"Income") * (-1) + (Tracking[Type]="Income")), "-")</f>
        <v>817</v>
      </c>
      <c r="I595" s="95">
        <f>IF(AND(Tracking[[#This Row],[Type]]="Income", shift_late_income_status="Active", DAY(Tracking[[#This Row],[Date]])&gt;=shift_late_income_starting_day),
      DATE(YEAR(Tracking[[#This Row],[Date]]), MONTH(Tracking[[#This Row],[Date]])+1, 1),
      Tracking[[#This Row],[Date]])</f>
        <v>45833</v>
      </c>
    </row>
    <row r="596" spans="3:9" hidden="1" outlineLevel="1" x14ac:dyDescent="0.2">
      <c r="C596" s="94">
        <v>45833</v>
      </c>
      <c r="D596" s="32" t="s">
        <v>47</v>
      </c>
      <c r="E596" s="32" t="s">
        <v>235</v>
      </c>
      <c r="F596" s="34">
        <v>15</v>
      </c>
      <c r="G596" s="35" t="s">
        <v>413</v>
      </c>
      <c r="H596" s="37" cm="1">
        <f t="array" ref="H596">IFERROR(SUMPRODUCT(Tracking[Amount], --(Tracking[Date]&lt;=Tracking[[#This Row],[Date]]), (Tracking[Type]&lt;&gt;"Income") * (-1) + (Tracking[Type]="Income")), "-")</f>
        <v>817</v>
      </c>
      <c r="I596" s="95">
        <f>IF(AND(Tracking[[#This Row],[Type]]="Income", shift_late_income_status="Active", DAY(Tracking[[#This Row],[Date]])&gt;=shift_late_income_starting_day),
      DATE(YEAR(Tracking[[#This Row],[Date]]), MONTH(Tracking[[#This Row],[Date]])+1, 1),
      Tracking[[#This Row],[Date]])</f>
        <v>45833</v>
      </c>
    </row>
    <row r="597" spans="3:9" hidden="1" outlineLevel="1" x14ac:dyDescent="0.2">
      <c r="C597" s="94">
        <v>45834</v>
      </c>
      <c r="D597" s="32" t="s">
        <v>47</v>
      </c>
      <c r="E597" s="32" t="s">
        <v>54</v>
      </c>
      <c r="F597" s="34">
        <v>298</v>
      </c>
      <c r="G597" s="35" t="s">
        <v>428</v>
      </c>
      <c r="H597" s="37" cm="1">
        <f t="array" ref="H597">IFERROR(SUMPRODUCT(Tracking[Amount], --(Tracking[Date]&lt;=Tracking[[#This Row],[Date]]), (Tracking[Type]&lt;&gt;"Income") * (-1) + (Tracking[Type]="Income")), "-")</f>
        <v>-172</v>
      </c>
      <c r="I597" s="95">
        <f>IF(AND(Tracking[[#This Row],[Type]]="Income", shift_late_income_status="Active", DAY(Tracking[[#This Row],[Date]])&gt;=shift_late_income_starting_day),
      DATE(YEAR(Tracking[[#This Row],[Date]]), MONTH(Tracking[[#This Row],[Date]])+1, 1),
      Tracking[[#This Row],[Date]])</f>
        <v>45834</v>
      </c>
    </row>
    <row r="598" spans="3:9" hidden="1" outlineLevel="1" x14ac:dyDescent="0.2">
      <c r="C598" s="94">
        <v>45834</v>
      </c>
      <c r="D598" s="32" t="s">
        <v>47</v>
      </c>
      <c r="E598" s="32" t="s">
        <v>59</v>
      </c>
      <c r="F598" s="34">
        <v>16</v>
      </c>
      <c r="G598" s="35" t="s">
        <v>440</v>
      </c>
      <c r="H598" s="37" cm="1">
        <f t="array" ref="H598">IFERROR(SUMPRODUCT(Tracking[Amount], --(Tracking[Date]&lt;=Tracking[[#This Row],[Date]]), (Tracking[Type]&lt;&gt;"Income") * (-1) + (Tracking[Type]="Income")), "-")</f>
        <v>-172</v>
      </c>
      <c r="I598" s="95">
        <f>IF(AND(Tracking[[#This Row],[Type]]="Income", shift_late_income_status="Active", DAY(Tracking[[#This Row],[Date]])&gt;=shift_late_income_starting_day),
      DATE(YEAR(Tracking[[#This Row],[Date]]), MONTH(Tracking[[#This Row],[Date]])+1, 1),
      Tracking[[#This Row],[Date]])</f>
        <v>45834</v>
      </c>
    </row>
    <row r="599" spans="3:9" hidden="1" outlineLevel="1" x14ac:dyDescent="0.2">
      <c r="C599" s="94">
        <v>45834</v>
      </c>
      <c r="D599" s="32" t="s">
        <v>47</v>
      </c>
      <c r="E599" s="32" t="s">
        <v>54</v>
      </c>
      <c r="F599" s="34">
        <v>66</v>
      </c>
      <c r="G599" s="35" t="s">
        <v>480</v>
      </c>
      <c r="H599" s="37" cm="1">
        <f t="array" ref="H599">IFERROR(SUMPRODUCT(Tracking[Amount], --(Tracking[Date]&lt;=Tracking[[#This Row],[Date]]), (Tracking[Type]&lt;&gt;"Income") * (-1) + (Tracking[Type]="Income")), "-")</f>
        <v>-172</v>
      </c>
      <c r="I599" s="95">
        <f>IF(AND(Tracking[[#This Row],[Type]]="Income", shift_late_income_status="Active", DAY(Tracking[[#This Row],[Date]])&gt;=shift_late_income_starting_day),
      DATE(YEAR(Tracking[[#This Row],[Date]]), MONTH(Tracking[[#This Row],[Date]])+1, 1),
      Tracking[[#This Row],[Date]])</f>
        <v>45834</v>
      </c>
    </row>
    <row r="600" spans="3:9" hidden="1" outlineLevel="1" x14ac:dyDescent="0.2">
      <c r="C600" s="94">
        <v>45834</v>
      </c>
      <c r="D600" s="32" t="s">
        <v>47</v>
      </c>
      <c r="E600" s="32" t="s">
        <v>48</v>
      </c>
      <c r="F600" s="34">
        <v>32</v>
      </c>
      <c r="G600" s="35" t="s">
        <v>481</v>
      </c>
      <c r="H600" s="37" cm="1">
        <f t="array" ref="H600">IFERROR(SUMPRODUCT(Tracking[Amount], --(Tracking[Date]&lt;=Tracking[[#This Row],[Date]]), (Tracking[Type]&lt;&gt;"Income") * (-1) + (Tracking[Type]="Income")), "-")</f>
        <v>-172</v>
      </c>
      <c r="I600" s="95">
        <f>IF(AND(Tracking[[#This Row],[Type]]="Income", shift_late_income_status="Active", DAY(Tracking[[#This Row],[Date]])&gt;=shift_late_income_starting_day),
      DATE(YEAR(Tracking[[#This Row],[Date]]), MONTH(Tracking[[#This Row],[Date]])+1, 1),
      Tracking[[#This Row],[Date]])</f>
        <v>45834</v>
      </c>
    </row>
    <row r="601" spans="3:9" hidden="1" outlineLevel="1" x14ac:dyDescent="0.2">
      <c r="C601" s="94">
        <v>45834</v>
      </c>
      <c r="D601" s="32" t="s">
        <v>47</v>
      </c>
      <c r="E601" s="32" t="s">
        <v>53</v>
      </c>
      <c r="F601" s="34">
        <v>49</v>
      </c>
      <c r="G601" s="35" t="s">
        <v>482</v>
      </c>
      <c r="H601" s="37" cm="1">
        <f t="array" ref="H601">IFERROR(SUMPRODUCT(Tracking[Amount], --(Tracking[Date]&lt;=Tracking[[#This Row],[Date]]), (Tracking[Type]&lt;&gt;"Income") * (-1) + (Tracking[Type]="Income")), "-")</f>
        <v>-172</v>
      </c>
      <c r="I601" s="95">
        <f>IF(AND(Tracking[[#This Row],[Type]]="Income", shift_late_income_status="Active", DAY(Tracking[[#This Row],[Date]])&gt;=shift_late_income_starting_day),
      DATE(YEAR(Tracking[[#This Row],[Date]]), MONTH(Tracking[[#This Row],[Date]])+1, 1),
      Tracking[[#This Row],[Date]])</f>
        <v>45834</v>
      </c>
    </row>
    <row r="602" spans="3:9" hidden="1" outlineLevel="1" x14ac:dyDescent="0.2">
      <c r="C602" s="94">
        <v>45834</v>
      </c>
      <c r="D602" s="32" t="s">
        <v>47</v>
      </c>
      <c r="E602" s="32" t="s">
        <v>44</v>
      </c>
      <c r="F602" s="34">
        <v>440</v>
      </c>
      <c r="G602" s="35" t="s">
        <v>483</v>
      </c>
      <c r="H602" s="37" cm="1">
        <f t="array" ref="H602">IFERROR(SUMPRODUCT(Tracking[Amount], --(Tracking[Date]&lt;=Tracking[[#This Row],[Date]]), (Tracking[Type]&lt;&gt;"Income") * (-1) + (Tracking[Type]="Income")), "-")</f>
        <v>-172</v>
      </c>
      <c r="I602" s="95">
        <f>IF(AND(Tracking[[#This Row],[Type]]="Income", shift_late_income_status="Active", DAY(Tracking[[#This Row],[Date]])&gt;=shift_late_income_starting_day),
      DATE(YEAR(Tracking[[#This Row],[Date]]), MONTH(Tracking[[#This Row],[Date]])+1, 1),
      Tracking[[#This Row],[Date]])</f>
        <v>45834</v>
      </c>
    </row>
    <row r="603" spans="3:9" hidden="1" outlineLevel="1" x14ac:dyDescent="0.2">
      <c r="C603" s="94">
        <v>45834</v>
      </c>
      <c r="D603" s="32" t="s">
        <v>47</v>
      </c>
      <c r="E603" s="32" t="s">
        <v>56</v>
      </c>
      <c r="F603" s="34">
        <v>36</v>
      </c>
      <c r="G603" s="35" t="s">
        <v>484</v>
      </c>
      <c r="H603" s="37" cm="1">
        <f t="array" ref="H603">IFERROR(SUMPRODUCT(Tracking[Amount], --(Tracking[Date]&lt;=Tracking[[#This Row],[Date]]), (Tracking[Type]&lt;&gt;"Income") * (-1) + (Tracking[Type]="Income")), "-")</f>
        <v>-172</v>
      </c>
      <c r="I603" s="95">
        <f>IF(AND(Tracking[[#This Row],[Type]]="Income", shift_late_income_status="Active", DAY(Tracking[[#This Row],[Date]])&gt;=shift_late_income_starting_day),
      DATE(YEAR(Tracking[[#This Row],[Date]]), MONTH(Tracking[[#This Row],[Date]])+1, 1),
      Tracking[[#This Row],[Date]])</f>
        <v>45834</v>
      </c>
    </row>
    <row r="604" spans="3:9" hidden="1" outlineLevel="1" x14ac:dyDescent="0.2">
      <c r="C604" s="94">
        <v>45834</v>
      </c>
      <c r="D604" s="32" t="s">
        <v>47</v>
      </c>
      <c r="E604" s="32" t="s">
        <v>49</v>
      </c>
      <c r="F604" s="34">
        <v>52</v>
      </c>
      <c r="G604" s="35"/>
      <c r="H604" s="37" cm="1">
        <f t="array" ref="H604">IFERROR(SUMPRODUCT(Tracking[Amount], --(Tracking[Date]&lt;=Tracking[[#This Row],[Date]]), (Tracking[Type]&lt;&gt;"Income") * (-1) + (Tracking[Type]="Income")), "-")</f>
        <v>-172</v>
      </c>
      <c r="I604" s="95">
        <f>IF(AND(Tracking[[#This Row],[Type]]="Income", shift_late_income_status="Active", DAY(Tracking[[#This Row],[Date]])&gt;=shift_late_income_starting_day),
      DATE(YEAR(Tracking[[#This Row],[Date]]), MONTH(Tracking[[#This Row],[Date]])+1, 1),
      Tracking[[#This Row],[Date]])</f>
        <v>45834</v>
      </c>
    </row>
    <row r="605" spans="3:9" hidden="1" outlineLevel="1" x14ac:dyDescent="0.2">
      <c r="C605" s="94">
        <v>45835</v>
      </c>
      <c r="D605" s="32" t="s">
        <v>47</v>
      </c>
      <c r="E605" s="32" t="s">
        <v>55</v>
      </c>
      <c r="F605" s="34">
        <v>47</v>
      </c>
      <c r="G605" s="35" t="s">
        <v>457</v>
      </c>
      <c r="H605" s="37" cm="1">
        <f t="array" ref="H605">IFERROR(SUMPRODUCT(Tracking[Amount], --(Tracking[Date]&lt;=Tracking[[#This Row],[Date]]), (Tracking[Type]&lt;&gt;"Income") * (-1) + (Tracking[Type]="Income")), "-")</f>
        <v>-307</v>
      </c>
      <c r="I605" s="95">
        <f>IF(AND(Tracking[[#This Row],[Type]]="Income", shift_late_income_status="Active", DAY(Tracking[[#This Row],[Date]])&gt;=shift_late_income_starting_day),
      DATE(YEAR(Tracking[[#This Row],[Date]]), MONTH(Tracking[[#This Row],[Date]])+1, 1),
      Tracking[[#This Row],[Date]])</f>
        <v>45835</v>
      </c>
    </row>
    <row r="606" spans="3:9" hidden="1" outlineLevel="1" x14ac:dyDescent="0.2">
      <c r="C606" s="94">
        <v>45835</v>
      </c>
      <c r="D606" s="32" t="s">
        <v>47</v>
      </c>
      <c r="E606" s="32" t="s">
        <v>235</v>
      </c>
      <c r="F606" s="34">
        <v>44</v>
      </c>
      <c r="G606" s="35" t="s">
        <v>455</v>
      </c>
      <c r="H606" s="37" cm="1">
        <f t="array" ref="H606">IFERROR(SUMPRODUCT(Tracking[Amount], --(Tracking[Date]&lt;=Tracking[[#This Row],[Date]]), (Tracking[Type]&lt;&gt;"Income") * (-1) + (Tracking[Type]="Income")), "-")</f>
        <v>-307</v>
      </c>
      <c r="I606" s="95">
        <f>IF(AND(Tracking[[#This Row],[Type]]="Income", shift_late_income_status="Active", DAY(Tracking[[#This Row],[Date]])&gt;=shift_late_income_starting_day),
      DATE(YEAR(Tracking[[#This Row],[Date]]), MONTH(Tracking[[#This Row],[Date]])+1, 1),
      Tracking[[#This Row],[Date]])</f>
        <v>45835</v>
      </c>
    </row>
    <row r="607" spans="3:9" hidden="1" outlineLevel="1" x14ac:dyDescent="0.2">
      <c r="C607" s="94">
        <v>45835</v>
      </c>
      <c r="D607" s="32" t="s">
        <v>47</v>
      </c>
      <c r="E607" s="32" t="s">
        <v>235</v>
      </c>
      <c r="F607" s="34">
        <v>38</v>
      </c>
      <c r="G607" s="35" t="s">
        <v>231</v>
      </c>
      <c r="H607" s="37" cm="1">
        <f t="array" ref="H607">IFERROR(SUMPRODUCT(Tracking[Amount], --(Tracking[Date]&lt;=Tracking[[#This Row],[Date]]), (Tracking[Type]&lt;&gt;"Income") * (-1) + (Tracking[Type]="Income")), "-")</f>
        <v>-307</v>
      </c>
      <c r="I607" s="95">
        <f>IF(AND(Tracking[[#This Row],[Type]]="Income", shift_late_income_status="Active", DAY(Tracking[[#This Row],[Date]])&gt;=shift_late_income_starting_day),
      DATE(YEAR(Tracking[[#This Row],[Date]]), MONTH(Tracking[[#This Row],[Date]])+1, 1),
      Tracking[[#This Row],[Date]])</f>
        <v>45835</v>
      </c>
    </row>
    <row r="608" spans="3:9" hidden="1" outlineLevel="1" x14ac:dyDescent="0.2">
      <c r="C608" s="94">
        <v>45835</v>
      </c>
      <c r="D608" s="32" t="s">
        <v>47</v>
      </c>
      <c r="E608" s="32" t="s">
        <v>60</v>
      </c>
      <c r="F608" s="34">
        <v>6</v>
      </c>
      <c r="G608" s="35" t="s">
        <v>338</v>
      </c>
      <c r="H608" s="37" cm="1">
        <f t="array" ref="H608">IFERROR(SUMPRODUCT(Tracking[Amount], --(Tracking[Date]&lt;=Tracking[[#This Row],[Date]]), (Tracking[Type]&lt;&gt;"Income") * (-1) + (Tracking[Type]="Income")), "-")</f>
        <v>-307</v>
      </c>
      <c r="I608" s="95">
        <f>IF(AND(Tracking[[#This Row],[Type]]="Income", shift_late_income_status="Active", DAY(Tracking[[#This Row],[Date]])&gt;=shift_late_income_starting_day),
      DATE(YEAR(Tracking[[#This Row],[Date]]), MONTH(Tracking[[#This Row],[Date]])+1, 1),
      Tracking[[#This Row],[Date]])</f>
        <v>45835</v>
      </c>
    </row>
    <row r="609" spans="3:9" hidden="1" outlineLevel="1" x14ac:dyDescent="0.2">
      <c r="C609" s="94">
        <v>45836</v>
      </c>
      <c r="D609" s="32" t="s">
        <v>47</v>
      </c>
      <c r="E609" s="32" t="s">
        <v>60</v>
      </c>
      <c r="F609" s="34">
        <v>7</v>
      </c>
      <c r="G609" s="35" t="s">
        <v>338</v>
      </c>
      <c r="H609" s="37" cm="1">
        <f t="array" ref="H609">IFERROR(SUMPRODUCT(Tracking[Amount], --(Tracking[Date]&lt;=Tracking[[#This Row],[Date]]), (Tracking[Type]&lt;&gt;"Income") * (-1) + (Tracking[Type]="Income")), "-")</f>
        <v>-456</v>
      </c>
      <c r="I609" s="95">
        <f>IF(AND(Tracking[[#This Row],[Type]]="Income", shift_late_income_status="Active", DAY(Tracking[[#This Row],[Date]])&gt;=shift_late_income_starting_day),
      DATE(YEAR(Tracking[[#This Row],[Date]]), MONTH(Tracking[[#This Row],[Date]])+1, 1),
      Tracking[[#This Row],[Date]])</f>
        <v>45836</v>
      </c>
    </row>
    <row r="610" spans="3:9" hidden="1" outlineLevel="1" x14ac:dyDescent="0.2">
      <c r="C610" s="94">
        <v>45836</v>
      </c>
      <c r="D610" s="32" t="s">
        <v>47</v>
      </c>
      <c r="E610" s="32" t="s">
        <v>49</v>
      </c>
      <c r="F610" s="34">
        <v>68</v>
      </c>
      <c r="G610" s="35" t="s">
        <v>485</v>
      </c>
      <c r="H610" s="37" cm="1">
        <f t="array" ref="H610">IFERROR(SUMPRODUCT(Tracking[Amount], --(Tracking[Date]&lt;=Tracking[[#This Row],[Date]]), (Tracking[Type]&lt;&gt;"Income") * (-1) + (Tracking[Type]="Income")), "-")</f>
        <v>-456</v>
      </c>
      <c r="I610" s="95">
        <f>IF(AND(Tracking[[#This Row],[Type]]="Income", shift_late_income_status="Active", DAY(Tracking[[#This Row],[Date]])&gt;=shift_late_income_starting_day),
      DATE(YEAR(Tracking[[#This Row],[Date]]), MONTH(Tracking[[#This Row],[Date]])+1, 1),
      Tracking[[#This Row],[Date]])</f>
        <v>45836</v>
      </c>
    </row>
    <row r="611" spans="3:9" hidden="1" outlineLevel="1" x14ac:dyDescent="0.2">
      <c r="C611" s="94">
        <v>45836</v>
      </c>
      <c r="D611" s="32" t="s">
        <v>47</v>
      </c>
      <c r="E611" s="32" t="s">
        <v>48</v>
      </c>
      <c r="F611" s="34">
        <v>9</v>
      </c>
      <c r="G611" s="35"/>
      <c r="H611" s="37" cm="1">
        <f t="array" ref="H611">IFERROR(SUMPRODUCT(Tracking[Amount], --(Tracking[Date]&lt;=Tracking[[#This Row],[Date]]), (Tracking[Type]&lt;&gt;"Income") * (-1) + (Tracking[Type]="Income")), "-")</f>
        <v>-456</v>
      </c>
      <c r="I611" s="95">
        <f>IF(AND(Tracking[[#This Row],[Type]]="Income", shift_late_income_status="Active", DAY(Tracking[[#This Row],[Date]])&gt;=shift_late_income_starting_day),
      DATE(YEAR(Tracking[[#This Row],[Date]]), MONTH(Tracking[[#This Row],[Date]])+1, 1),
      Tracking[[#This Row],[Date]])</f>
        <v>45836</v>
      </c>
    </row>
    <row r="612" spans="3:9" hidden="1" outlineLevel="1" x14ac:dyDescent="0.2">
      <c r="C612" s="94">
        <v>45836</v>
      </c>
      <c r="D612" s="32" t="s">
        <v>47</v>
      </c>
      <c r="E612" s="32" t="s">
        <v>235</v>
      </c>
      <c r="F612" s="34">
        <v>15</v>
      </c>
      <c r="G612" s="35" t="s">
        <v>413</v>
      </c>
      <c r="H612" s="37" cm="1">
        <f t="array" ref="H612">IFERROR(SUMPRODUCT(Tracking[Amount], --(Tracking[Date]&lt;=Tracking[[#This Row],[Date]]), (Tracking[Type]&lt;&gt;"Income") * (-1) + (Tracking[Type]="Income")), "-")</f>
        <v>-456</v>
      </c>
      <c r="I612" s="95">
        <f>IF(AND(Tracking[[#This Row],[Type]]="Income", shift_late_income_status="Active", DAY(Tracking[[#This Row],[Date]])&gt;=shift_late_income_starting_day),
      DATE(YEAR(Tracking[[#This Row],[Date]]), MONTH(Tracking[[#This Row],[Date]])+1, 1),
      Tracking[[#This Row],[Date]])</f>
        <v>45836</v>
      </c>
    </row>
    <row r="613" spans="3:9" hidden="1" outlineLevel="1" x14ac:dyDescent="0.2">
      <c r="C613" s="94">
        <v>45836</v>
      </c>
      <c r="D613" s="32" t="s">
        <v>47</v>
      </c>
      <c r="E613" s="32" t="s">
        <v>49</v>
      </c>
      <c r="F613" s="34">
        <v>50</v>
      </c>
      <c r="G613" s="35" t="s">
        <v>486</v>
      </c>
      <c r="H613" s="37" cm="1">
        <f t="array" ref="H613">IFERROR(SUMPRODUCT(Tracking[Amount], --(Tracking[Date]&lt;=Tracking[[#This Row],[Date]]), (Tracking[Type]&lt;&gt;"Income") * (-1) + (Tracking[Type]="Income")), "-")</f>
        <v>-456</v>
      </c>
      <c r="I613" s="95">
        <f>IF(AND(Tracking[[#This Row],[Type]]="Income", shift_late_income_status="Active", DAY(Tracking[[#This Row],[Date]])&gt;=shift_late_income_starting_day),
      DATE(YEAR(Tracking[[#This Row],[Date]]), MONTH(Tracking[[#This Row],[Date]])+1, 1),
      Tracking[[#This Row],[Date]])</f>
        <v>45836</v>
      </c>
    </row>
    <row r="614" spans="3:9" hidden="1" outlineLevel="1" x14ac:dyDescent="0.2">
      <c r="C614" s="94">
        <v>45837</v>
      </c>
      <c r="D614" s="32" t="s">
        <v>47</v>
      </c>
      <c r="E614" s="32" t="s">
        <v>60</v>
      </c>
      <c r="F614" s="34">
        <v>6</v>
      </c>
      <c r="G614" s="35" t="s">
        <v>338</v>
      </c>
      <c r="H614" s="37" cm="1">
        <f t="array" ref="H614">IFERROR(SUMPRODUCT(Tracking[Amount], --(Tracking[Date]&lt;=Tracking[[#This Row],[Date]]), (Tracking[Type]&lt;&gt;"Income") * (-1) + (Tracking[Type]="Income")), "-")</f>
        <v>-549</v>
      </c>
      <c r="I614" s="95">
        <f>IF(AND(Tracking[[#This Row],[Type]]="Income", shift_late_income_status="Active", DAY(Tracking[[#This Row],[Date]])&gt;=shift_late_income_starting_day),
      DATE(YEAR(Tracking[[#This Row],[Date]]), MONTH(Tracking[[#This Row],[Date]])+1, 1),
      Tracking[[#This Row],[Date]])</f>
        <v>45837</v>
      </c>
    </row>
    <row r="615" spans="3:9" hidden="1" outlineLevel="1" x14ac:dyDescent="0.2">
      <c r="C615" s="94">
        <v>45837</v>
      </c>
      <c r="D615" s="32" t="s">
        <v>47</v>
      </c>
      <c r="E615" s="32" t="s">
        <v>235</v>
      </c>
      <c r="F615" s="34">
        <v>59</v>
      </c>
      <c r="G615" s="35" t="s">
        <v>231</v>
      </c>
      <c r="H615" s="37" cm="1">
        <f t="array" ref="H615">IFERROR(SUMPRODUCT(Tracking[Amount], --(Tracking[Date]&lt;=Tracking[[#This Row],[Date]]), (Tracking[Type]&lt;&gt;"Income") * (-1) + (Tracking[Type]="Income")), "-")</f>
        <v>-549</v>
      </c>
      <c r="I615" s="95">
        <f>IF(AND(Tracking[[#This Row],[Type]]="Income", shift_late_income_status="Active", DAY(Tracking[[#This Row],[Date]])&gt;=shift_late_income_starting_day),
      DATE(YEAR(Tracking[[#This Row],[Date]]), MONTH(Tracking[[#This Row],[Date]])+1, 1),
      Tracking[[#This Row],[Date]])</f>
        <v>45837</v>
      </c>
    </row>
    <row r="616" spans="3:9" hidden="1" outlineLevel="1" x14ac:dyDescent="0.2">
      <c r="C616" s="94">
        <v>45837</v>
      </c>
      <c r="D616" s="32" t="s">
        <v>47</v>
      </c>
      <c r="E616" s="32" t="s">
        <v>235</v>
      </c>
      <c r="F616" s="34">
        <v>28</v>
      </c>
      <c r="G616" s="35" t="s">
        <v>413</v>
      </c>
      <c r="H616" s="37" cm="1">
        <f t="array" ref="H616">IFERROR(SUMPRODUCT(Tracking[Amount], --(Tracking[Date]&lt;=Tracking[[#This Row],[Date]]), (Tracking[Type]&lt;&gt;"Income") * (-1) + (Tracking[Type]="Income")), "-")</f>
        <v>-549</v>
      </c>
      <c r="I616" s="95">
        <f>IF(AND(Tracking[[#This Row],[Type]]="Income", shift_late_income_status="Active", DAY(Tracking[[#This Row],[Date]])&gt;=shift_late_income_starting_day),
      DATE(YEAR(Tracking[[#This Row],[Date]]), MONTH(Tracking[[#This Row],[Date]])+1, 1),
      Tracking[[#This Row],[Date]])</f>
        <v>45837</v>
      </c>
    </row>
    <row r="617" spans="3:9" hidden="1" outlineLevel="1" x14ac:dyDescent="0.2">
      <c r="C617" s="94">
        <v>45838</v>
      </c>
      <c r="D617" s="32" t="s">
        <v>47</v>
      </c>
      <c r="E617" s="32" t="s">
        <v>48</v>
      </c>
      <c r="F617" s="34">
        <v>15</v>
      </c>
      <c r="G617" s="35"/>
      <c r="H617" s="37" cm="1">
        <f t="array" ref="H617">IFERROR(SUMPRODUCT(Tracking[Amount], --(Tracking[Date]&lt;=Tracking[[#This Row],[Date]]), (Tracking[Type]&lt;&gt;"Income") * (-1) + (Tracking[Type]="Income")), "-")</f>
        <v>-292</v>
      </c>
      <c r="I617" s="95">
        <f>IF(AND(Tracking[[#This Row],[Type]]="Income", shift_late_income_status="Active", DAY(Tracking[[#This Row],[Date]])&gt;=shift_late_income_starting_day),
      DATE(YEAR(Tracking[[#This Row],[Date]]), MONTH(Tracking[[#This Row],[Date]])+1, 1),
      Tracking[[#This Row],[Date]])</f>
        <v>45838</v>
      </c>
    </row>
    <row r="618" spans="3:9" hidden="1" outlineLevel="1" x14ac:dyDescent="0.2">
      <c r="C618" s="94">
        <v>45838</v>
      </c>
      <c r="D618" s="32" t="s">
        <v>40</v>
      </c>
      <c r="E618" s="32" t="s">
        <v>44</v>
      </c>
      <c r="F618" s="34">
        <v>320</v>
      </c>
      <c r="G618" s="35"/>
      <c r="H618" s="37" cm="1">
        <f t="array" ref="H618">IFERROR(SUMPRODUCT(Tracking[Amount], --(Tracking[Date]&lt;=Tracking[[#This Row],[Date]]), (Tracking[Type]&lt;&gt;"Income") * (-1) + (Tracking[Type]="Income")), "-")</f>
        <v>-292</v>
      </c>
      <c r="I618" s="95">
        <f>IF(AND(Tracking[[#This Row],[Type]]="Income", shift_late_income_status="Active", DAY(Tracking[[#This Row],[Date]])&gt;=shift_late_income_starting_day),
      DATE(YEAR(Tracking[[#This Row],[Date]]), MONTH(Tracking[[#This Row],[Date]])+1, 1),
      Tracking[[#This Row],[Date]])</f>
        <v>45838</v>
      </c>
    </row>
    <row r="619" spans="3:9" hidden="1" outlineLevel="1" x14ac:dyDescent="0.2">
      <c r="C619" s="94">
        <v>45838</v>
      </c>
      <c r="D619" s="32" t="s">
        <v>47</v>
      </c>
      <c r="E619" s="32" t="s">
        <v>58</v>
      </c>
      <c r="F619" s="34">
        <v>48</v>
      </c>
      <c r="G619" s="35" t="s">
        <v>487</v>
      </c>
      <c r="H619" s="37" cm="1">
        <f t="array" ref="H619">IFERROR(SUMPRODUCT(Tracking[Amount], --(Tracking[Date]&lt;=Tracking[[#This Row],[Date]]), (Tracking[Type]&lt;&gt;"Income") * (-1) + (Tracking[Type]="Income")), "-")</f>
        <v>-292</v>
      </c>
      <c r="I619" s="95">
        <f>IF(AND(Tracking[[#This Row],[Type]]="Income", shift_late_income_status="Active", DAY(Tracking[[#This Row],[Date]])&gt;=shift_late_income_starting_day),
      DATE(YEAR(Tracking[[#This Row],[Date]]), MONTH(Tracking[[#This Row],[Date]])+1, 1),
      Tracking[[#This Row],[Date]])</f>
        <v>45838</v>
      </c>
    </row>
    <row r="620" spans="3:9" collapsed="1" x14ac:dyDescent="0.2">
      <c r="C620" s="94">
        <v>45839</v>
      </c>
      <c r="D620" s="32" t="s">
        <v>40</v>
      </c>
      <c r="E620" s="32" t="s">
        <v>41</v>
      </c>
      <c r="F620" s="34">
        <v>7700</v>
      </c>
      <c r="G620" s="35"/>
      <c r="H620" s="37" cm="1">
        <f t="array" ref="H620">IFERROR(SUMPRODUCT(Tracking[Amount], --(Tracking[Date]&lt;=Tracking[[#This Row],[Date]]), (Tracking[Type]&lt;&gt;"Income") * (-1) + (Tracking[Type]="Income")), "-")</f>
        <v>6853</v>
      </c>
      <c r="I620" s="95">
        <f>IF(AND(Tracking[[#This Row],[Type]]="Income", shift_late_income_status="Active", DAY(Tracking[[#This Row],[Date]])&gt;=shift_late_income_starting_day),
      DATE(YEAR(Tracking[[#This Row],[Date]]), MONTH(Tracking[[#This Row],[Date]])+1, 1),
      Tracking[[#This Row],[Date]])</f>
        <v>45839</v>
      </c>
    </row>
    <row r="621" spans="3:9" hidden="1" outlineLevel="1" x14ac:dyDescent="0.2">
      <c r="C621" s="94">
        <v>45839</v>
      </c>
      <c r="D621" s="32" t="s">
        <v>47</v>
      </c>
      <c r="E621" s="32" t="s">
        <v>59</v>
      </c>
      <c r="F621" s="34">
        <v>60</v>
      </c>
      <c r="G621" s="35" t="s">
        <v>333</v>
      </c>
      <c r="H621" s="37" cm="1">
        <f t="array" ref="H621">IFERROR(SUMPRODUCT(Tracking[Amount], --(Tracking[Date]&lt;=Tracking[[#This Row],[Date]]), (Tracking[Type]&lt;&gt;"Income") * (-1) + (Tracking[Type]="Income")), "-")</f>
        <v>6853</v>
      </c>
      <c r="I621" s="95">
        <f>IF(AND(Tracking[[#This Row],[Type]]="Income", shift_late_income_status="Active", DAY(Tracking[[#This Row],[Date]])&gt;=shift_late_income_starting_day),
      DATE(YEAR(Tracking[[#This Row],[Date]]), MONTH(Tracking[[#This Row],[Date]])+1, 1),
      Tracking[[#This Row],[Date]])</f>
        <v>45839</v>
      </c>
    </row>
    <row r="622" spans="3:9" hidden="1" outlineLevel="1" x14ac:dyDescent="0.2">
      <c r="C622" s="94">
        <v>45839</v>
      </c>
      <c r="D622" s="32" t="s">
        <v>47</v>
      </c>
      <c r="E622" s="32" t="s">
        <v>54</v>
      </c>
      <c r="F622" s="34">
        <v>332</v>
      </c>
      <c r="G622" s="35" t="s">
        <v>428</v>
      </c>
      <c r="H622" s="37" cm="1">
        <f t="array" ref="H622">IFERROR(SUMPRODUCT(Tracking[Amount], --(Tracking[Date]&lt;=Tracking[[#This Row],[Date]]), (Tracking[Type]&lt;&gt;"Income") * (-1) + (Tracking[Type]="Income")), "-")</f>
        <v>6853</v>
      </c>
      <c r="I622" s="95">
        <f>IF(AND(Tracking[[#This Row],[Type]]="Income", shift_late_income_status="Active", DAY(Tracking[[#This Row],[Date]])&gt;=shift_late_income_starting_day),
      DATE(YEAR(Tracking[[#This Row],[Date]]), MONTH(Tracking[[#This Row],[Date]])+1, 1),
      Tracking[[#This Row],[Date]])</f>
        <v>45839</v>
      </c>
    </row>
    <row r="623" spans="3:9" hidden="1" outlineLevel="1" x14ac:dyDescent="0.2">
      <c r="C623" s="94">
        <v>45839</v>
      </c>
      <c r="D623" s="32" t="s">
        <v>47</v>
      </c>
      <c r="E623" s="32" t="s">
        <v>49</v>
      </c>
      <c r="F623" s="34">
        <v>42</v>
      </c>
      <c r="G623" s="35" t="s">
        <v>488</v>
      </c>
      <c r="H623" s="37" cm="1">
        <f t="array" ref="H623">IFERROR(SUMPRODUCT(Tracking[Amount], --(Tracking[Date]&lt;=Tracking[[#This Row],[Date]]), (Tracking[Type]&lt;&gt;"Income") * (-1) + (Tracking[Type]="Income")), "-")</f>
        <v>6853</v>
      </c>
      <c r="I623" s="95">
        <f>IF(AND(Tracking[[#This Row],[Type]]="Income", shift_late_income_status="Active", DAY(Tracking[[#This Row],[Date]])&gt;=shift_late_income_starting_day),
      DATE(YEAR(Tracking[[#This Row],[Date]]), MONTH(Tracking[[#This Row],[Date]])+1, 1),
      Tracking[[#This Row],[Date]])</f>
        <v>45839</v>
      </c>
    </row>
    <row r="624" spans="3:9" hidden="1" outlineLevel="1" x14ac:dyDescent="0.2">
      <c r="C624" s="94">
        <v>45839</v>
      </c>
      <c r="D624" s="32" t="s">
        <v>47</v>
      </c>
      <c r="E624" s="32" t="s">
        <v>48</v>
      </c>
      <c r="F624" s="34">
        <v>19</v>
      </c>
      <c r="G624" s="35"/>
      <c r="H624" s="37" cm="1">
        <f t="array" ref="H624">IFERROR(SUMPRODUCT(Tracking[Amount], --(Tracking[Date]&lt;=Tracking[[#This Row],[Date]]), (Tracking[Type]&lt;&gt;"Income") * (-1) + (Tracking[Type]="Income")), "-")</f>
        <v>6853</v>
      </c>
      <c r="I624" s="95">
        <f>IF(AND(Tracking[[#This Row],[Type]]="Income", shift_late_income_status="Active", DAY(Tracking[[#This Row],[Date]])&gt;=shift_late_income_starting_day),
      DATE(YEAR(Tracking[[#This Row],[Date]]), MONTH(Tracking[[#This Row],[Date]])+1, 1),
      Tracking[[#This Row],[Date]])</f>
        <v>45839</v>
      </c>
    </row>
    <row r="625" spans="3:9" hidden="1" outlineLevel="1" x14ac:dyDescent="0.2">
      <c r="C625" s="94">
        <v>45839</v>
      </c>
      <c r="D625" s="32" t="s">
        <v>47</v>
      </c>
      <c r="E625" s="32" t="s">
        <v>44</v>
      </c>
      <c r="F625" s="34">
        <v>40</v>
      </c>
      <c r="G625" s="35" t="s">
        <v>489</v>
      </c>
      <c r="H625" s="37" cm="1">
        <f t="array" ref="H625">IFERROR(SUMPRODUCT(Tracking[Amount], --(Tracking[Date]&lt;=Tracking[[#This Row],[Date]]), (Tracking[Type]&lt;&gt;"Income") * (-1) + (Tracking[Type]="Income")), "-")</f>
        <v>6853</v>
      </c>
      <c r="I625" s="95">
        <f>IF(AND(Tracking[[#This Row],[Type]]="Income", shift_late_income_status="Active", DAY(Tracking[[#This Row],[Date]])&gt;=shift_late_income_starting_day),
      DATE(YEAR(Tracking[[#This Row],[Date]]), MONTH(Tracking[[#This Row],[Date]])+1, 1),
      Tracking[[#This Row],[Date]])</f>
        <v>45839</v>
      </c>
    </row>
    <row r="626" spans="3:9" hidden="1" outlineLevel="1" x14ac:dyDescent="0.2">
      <c r="C626" s="94">
        <v>45839</v>
      </c>
      <c r="D626" s="32" t="s">
        <v>47</v>
      </c>
      <c r="E626" s="32" t="s">
        <v>49</v>
      </c>
      <c r="F626" s="34">
        <v>50</v>
      </c>
      <c r="G626" s="35" t="s">
        <v>490</v>
      </c>
      <c r="H626" s="37" cm="1">
        <f t="array" ref="H626">IFERROR(SUMPRODUCT(Tracking[Amount], --(Tracking[Date]&lt;=Tracking[[#This Row],[Date]]), (Tracking[Type]&lt;&gt;"Income") * (-1) + (Tracking[Type]="Income")), "-")</f>
        <v>6853</v>
      </c>
      <c r="I626" s="95">
        <f>IF(AND(Tracking[[#This Row],[Type]]="Income", shift_late_income_status="Active", DAY(Tracking[[#This Row],[Date]])&gt;=shift_late_income_starting_day),
      DATE(YEAR(Tracking[[#This Row],[Date]]), MONTH(Tracking[[#This Row],[Date]])+1, 1),
      Tracking[[#This Row],[Date]])</f>
        <v>45839</v>
      </c>
    </row>
    <row r="627" spans="3:9" hidden="1" outlineLevel="1" x14ac:dyDescent="0.2">
      <c r="C627" s="94">
        <v>45839</v>
      </c>
      <c r="D627" s="32" t="s">
        <v>47</v>
      </c>
      <c r="E627" s="32" t="s">
        <v>49</v>
      </c>
      <c r="F627" s="34">
        <v>12</v>
      </c>
      <c r="G627" s="35" t="s">
        <v>491</v>
      </c>
      <c r="H627" s="37" cm="1">
        <f t="array" ref="H627">IFERROR(SUMPRODUCT(Tracking[Amount], --(Tracking[Date]&lt;=Tracking[[#This Row],[Date]]), (Tracking[Type]&lt;&gt;"Income") * (-1) + (Tracking[Type]="Income")), "-")</f>
        <v>6853</v>
      </c>
      <c r="I627" s="95">
        <f>IF(AND(Tracking[[#This Row],[Type]]="Income", shift_late_income_status="Active", DAY(Tracking[[#This Row],[Date]])&gt;=shift_late_income_starting_day),
      DATE(YEAR(Tracking[[#This Row],[Date]]), MONTH(Tracking[[#This Row],[Date]])+1, 1),
      Tracking[[#This Row],[Date]])</f>
        <v>45839</v>
      </c>
    </row>
    <row r="628" spans="3:9" hidden="1" outlineLevel="1" x14ac:dyDescent="0.2">
      <c r="C628" s="94">
        <v>45840</v>
      </c>
      <c r="D628" s="32" t="s">
        <v>47</v>
      </c>
      <c r="E628" s="32" t="s">
        <v>54</v>
      </c>
      <c r="F628" s="34">
        <v>-312</v>
      </c>
      <c r="G628" s="35" t="s">
        <v>492</v>
      </c>
      <c r="H628" s="37" cm="1">
        <f t="array" ref="H628">IFERROR(SUMPRODUCT(Tracking[Amount], --(Tracking[Date]&lt;=Tracking[[#This Row],[Date]]), (Tracking[Type]&lt;&gt;"Income") * (-1) + (Tracking[Type]="Income")), "-")</f>
        <v>7076</v>
      </c>
      <c r="I628" s="95">
        <f>IF(AND(Tracking[[#This Row],[Type]]="Income", shift_late_income_status="Active", DAY(Tracking[[#This Row],[Date]])&gt;=shift_late_income_starting_day),
      DATE(YEAR(Tracking[[#This Row],[Date]]), MONTH(Tracking[[#This Row],[Date]])+1, 1),
      Tracking[[#This Row],[Date]])</f>
        <v>45840</v>
      </c>
    </row>
    <row r="629" spans="3:9" hidden="1" outlineLevel="1" x14ac:dyDescent="0.2">
      <c r="C629" s="94">
        <v>45840</v>
      </c>
      <c r="D629" s="32" t="s">
        <v>47</v>
      </c>
      <c r="E629" s="32" t="s">
        <v>235</v>
      </c>
      <c r="F629" s="34">
        <v>38</v>
      </c>
      <c r="G629" s="35" t="s">
        <v>231</v>
      </c>
      <c r="H629" s="37" cm="1">
        <f t="array" ref="H629">IFERROR(SUMPRODUCT(Tracking[Amount], --(Tracking[Date]&lt;=Tracking[[#This Row],[Date]]), (Tracking[Type]&lt;&gt;"Income") * (-1) + (Tracking[Type]="Income")), "-")</f>
        <v>7076</v>
      </c>
      <c r="I629" s="95">
        <f>IF(AND(Tracking[[#This Row],[Type]]="Income", shift_late_income_status="Active", DAY(Tracking[[#This Row],[Date]])&gt;=shift_late_income_starting_day),
      DATE(YEAR(Tracking[[#This Row],[Date]]), MONTH(Tracking[[#This Row],[Date]])+1, 1),
      Tracking[[#This Row],[Date]])</f>
        <v>45840</v>
      </c>
    </row>
    <row r="630" spans="3:9" hidden="1" outlineLevel="1" x14ac:dyDescent="0.2">
      <c r="C630" s="94">
        <v>45840</v>
      </c>
      <c r="D630" s="32" t="s">
        <v>47</v>
      </c>
      <c r="E630" s="32" t="s">
        <v>60</v>
      </c>
      <c r="F630" s="34">
        <v>6</v>
      </c>
      <c r="G630" s="35" t="s">
        <v>338</v>
      </c>
      <c r="H630" s="37" cm="1">
        <f t="array" ref="H630">IFERROR(SUMPRODUCT(Tracking[Amount], --(Tracking[Date]&lt;=Tracking[[#This Row],[Date]]), (Tracking[Type]&lt;&gt;"Income") * (-1) + (Tracking[Type]="Income")), "-")</f>
        <v>7076</v>
      </c>
      <c r="I630" s="95">
        <f>IF(AND(Tracking[[#This Row],[Type]]="Income", shift_late_income_status="Active", DAY(Tracking[[#This Row],[Date]])&gt;=shift_late_income_starting_day),
      DATE(YEAR(Tracking[[#This Row],[Date]]), MONTH(Tracking[[#This Row],[Date]])+1, 1),
      Tracking[[#This Row],[Date]])</f>
        <v>45840</v>
      </c>
    </row>
    <row r="631" spans="3:9" hidden="1" outlineLevel="1" x14ac:dyDescent="0.2">
      <c r="C631" s="94">
        <v>45840</v>
      </c>
      <c r="D631" s="32" t="s">
        <v>47</v>
      </c>
      <c r="E631" s="32" t="s">
        <v>44</v>
      </c>
      <c r="F631" s="34">
        <v>45</v>
      </c>
      <c r="G631" s="35"/>
      <c r="H631" s="37" cm="1">
        <f t="array" ref="H631">IFERROR(SUMPRODUCT(Tracking[Amount], --(Tracking[Date]&lt;=Tracking[[#This Row],[Date]]), (Tracking[Type]&lt;&gt;"Income") * (-1) + (Tracking[Type]="Income")), "-")</f>
        <v>7076</v>
      </c>
      <c r="I631" s="95">
        <f>IF(AND(Tracking[[#This Row],[Type]]="Income", shift_late_income_status="Active", DAY(Tracking[[#This Row],[Date]])&gt;=shift_late_income_starting_day),
      DATE(YEAR(Tracking[[#This Row],[Date]]), MONTH(Tracking[[#This Row],[Date]])+1, 1),
      Tracking[[#This Row],[Date]])</f>
        <v>45840</v>
      </c>
    </row>
    <row r="632" spans="3:9" hidden="1" outlineLevel="1" x14ac:dyDescent="0.2">
      <c r="C632" s="94">
        <v>45841</v>
      </c>
      <c r="D632" s="32" t="s">
        <v>47</v>
      </c>
      <c r="E632" s="32" t="s">
        <v>52</v>
      </c>
      <c r="F632" s="34">
        <v>39</v>
      </c>
      <c r="G632" s="35"/>
      <c r="H632" s="37" cm="1">
        <f t="array" ref="H632">IFERROR(SUMPRODUCT(Tracking[Amount], --(Tracking[Date]&lt;=Tracking[[#This Row],[Date]]), (Tracking[Type]&lt;&gt;"Income") * (-1) + (Tracking[Type]="Income")), "-")</f>
        <v>7037</v>
      </c>
      <c r="I632" s="95">
        <f>IF(AND(Tracking[[#This Row],[Type]]="Income", shift_late_income_status="Active", DAY(Tracking[[#This Row],[Date]])&gt;=shift_late_income_starting_day),
      DATE(YEAR(Tracking[[#This Row],[Date]]), MONTH(Tracking[[#This Row],[Date]])+1, 1),
      Tracking[[#This Row],[Date]])</f>
        <v>45841</v>
      </c>
    </row>
    <row r="633" spans="3:9" hidden="1" outlineLevel="1" x14ac:dyDescent="0.2">
      <c r="C633" s="94">
        <v>45843</v>
      </c>
      <c r="D633" s="32" t="s">
        <v>47</v>
      </c>
      <c r="E633" s="32" t="s">
        <v>55</v>
      </c>
      <c r="F633" s="34">
        <v>10</v>
      </c>
      <c r="G633" s="35" t="s">
        <v>493</v>
      </c>
      <c r="H633" s="37" cm="1">
        <f t="array" ref="H633">IFERROR(SUMPRODUCT(Tracking[Amount], --(Tracking[Date]&lt;=Tracking[[#This Row],[Date]]), (Tracking[Type]&lt;&gt;"Income") * (-1) + (Tracking[Type]="Income")), "-")</f>
        <v>7013</v>
      </c>
      <c r="I633" s="95">
        <f>IF(AND(Tracking[[#This Row],[Type]]="Income", shift_late_income_status="Active", DAY(Tracking[[#This Row],[Date]])&gt;=shift_late_income_starting_day),
      DATE(YEAR(Tracking[[#This Row],[Date]]), MONTH(Tracking[[#This Row],[Date]])+1, 1),
      Tracking[[#This Row],[Date]])</f>
        <v>45843</v>
      </c>
    </row>
    <row r="634" spans="3:9" hidden="1" outlineLevel="1" x14ac:dyDescent="0.2">
      <c r="C634" s="94">
        <v>45842</v>
      </c>
      <c r="D634" s="32" t="s">
        <v>47</v>
      </c>
      <c r="E634" s="32" t="s">
        <v>59</v>
      </c>
      <c r="F634" s="34">
        <v>14</v>
      </c>
      <c r="G634" s="35" t="s">
        <v>352</v>
      </c>
      <c r="H634" s="37" cm="1">
        <f t="array" ref="H634">IFERROR(SUMPRODUCT(Tracking[Amount], --(Tracking[Date]&lt;=Tracking[[#This Row],[Date]]), (Tracking[Type]&lt;&gt;"Income") * (-1) + (Tracking[Type]="Income")), "-")</f>
        <v>7023</v>
      </c>
      <c r="I634" s="95">
        <f>IF(AND(Tracking[[#This Row],[Type]]="Income", shift_late_income_status="Active", DAY(Tracking[[#This Row],[Date]])&gt;=shift_late_income_starting_day),
      DATE(YEAR(Tracking[[#This Row],[Date]]), MONTH(Tracking[[#This Row],[Date]])+1, 1),
      Tracking[[#This Row],[Date]])</f>
        <v>45842</v>
      </c>
    </row>
    <row r="635" spans="3:9" hidden="1" outlineLevel="1" x14ac:dyDescent="0.2">
      <c r="C635" s="94">
        <v>45845</v>
      </c>
      <c r="D635" s="32" t="s">
        <v>47</v>
      </c>
      <c r="E635" s="32" t="s">
        <v>58</v>
      </c>
      <c r="F635" s="34">
        <v>127</v>
      </c>
      <c r="G635" s="35" t="s">
        <v>446</v>
      </c>
      <c r="H635" s="37" cm="1">
        <f t="array" ref="H635">IFERROR(SUMPRODUCT(Tracking[Amount], --(Tracking[Date]&lt;=Tracking[[#This Row],[Date]]), (Tracking[Type]&lt;&gt;"Income") * (-1) + (Tracking[Type]="Income")), "-")</f>
        <v>6710</v>
      </c>
      <c r="I635" s="95">
        <f>IF(AND(Tracking[[#This Row],[Type]]="Income", shift_late_income_status="Active", DAY(Tracking[[#This Row],[Date]])&gt;=shift_late_income_starting_day),
      DATE(YEAR(Tracking[[#This Row],[Date]]), MONTH(Tracking[[#This Row],[Date]])+1, 1),
      Tracking[[#This Row],[Date]])</f>
        <v>45845</v>
      </c>
    </row>
    <row r="636" spans="3:9" hidden="1" outlineLevel="1" x14ac:dyDescent="0.2">
      <c r="C636" s="94">
        <v>45844</v>
      </c>
      <c r="D636" s="32" t="s">
        <v>47</v>
      </c>
      <c r="E636" s="32" t="s">
        <v>49</v>
      </c>
      <c r="F636" s="34">
        <v>28</v>
      </c>
      <c r="G636" s="35" t="s">
        <v>494</v>
      </c>
      <c r="H636" s="37" cm="1">
        <f t="array" ref="H636">IFERROR(SUMPRODUCT(Tracking[Amount], --(Tracking[Date]&lt;=Tracking[[#This Row],[Date]]), (Tracking[Type]&lt;&gt;"Income") * (-1) + (Tracking[Type]="Income")), "-")</f>
        <v>6970</v>
      </c>
      <c r="I636" s="95">
        <f>IF(AND(Tracking[[#This Row],[Type]]="Income", shift_late_income_status="Active", DAY(Tracking[[#This Row],[Date]])&gt;=shift_late_income_starting_day),
      DATE(YEAR(Tracking[[#This Row],[Date]]), MONTH(Tracking[[#This Row],[Date]])+1, 1),
      Tracking[[#This Row],[Date]])</f>
        <v>45844</v>
      </c>
    </row>
    <row r="637" spans="3:9" hidden="1" outlineLevel="1" x14ac:dyDescent="0.2">
      <c r="C637" s="94">
        <v>45844</v>
      </c>
      <c r="D637" s="32" t="s">
        <v>47</v>
      </c>
      <c r="E637" s="32" t="s">
        <v>48</v>
      </c>
      <c r="F637" s="34">
        <v>15</v>
      </c>
      <c r="G637" s="35"/>
      <c r="H637" s="37" cm="1">
        <f t="array" ref="H637">IFERROR(SUMPRODUCT(Tracking[Amount], --(Tracking[Date]&lt;=Tracking[[#This Row],[Date]]), (Tracking[Type]&lt;&gt;"Income") * (-1) + (Tracking[Type]="Income")), "-")</f>
        <v>6970</v>
      </c>
      <c r="I637" s="95">
        <f>IF(AND(Tracking[[#This Row],[Type]]="Income", shift_late_income_status="Active", DAY(Tracking[[#This Row],[Date]])&gt;=shift_late_income_starting_day),
      DATE(YEAR(Tracking[[#This Row],[Date]]), MONTH(Tracking[[#This Row],[Date]])+1, 1),
      Tracking[[#This Row],[Date]])</f>
        <v>45844</v>
      </c>
    </row>
    <row r="638" spans="3:9" hidden="1" outlineLevel="1" x14ac:dyDescent="0.2">
      <c r="C638" s="94">
        <v>45845</v>
      </c>
      <c r="D638" s="32" t="s">
        <v>47</v>
      </c>
      <c r="E638" s="32" t="s">
        <v>49</v>
      </c>
      <c r="F638" s="34">
        <v>7</v>
      </c>
      <c r="G638" s="35" t="s">
        <v>495</v>
      </c>
      <c r="H638" s="37" cm="1">
        <f t="array" ref="H638">IFERROR(SUMPRODUCT(Tracking[Amount], --(Tracking[Date]&lt;=Tracking[[#This Row],[Date]]), (Tracking[Type]&lt;&gt;"Income") * (-1) + (Tracking[Type]="Income")), "-")</f>
        <v>6710</v>
      </c>
      <c r="I638" s="95">
        <f>IF(AND(Tracking[[#This Row],[Type]]="Income", shift_late_income_status="Active", DAY(Tracking[[#This Row],[Date]])&gt;=shift_late_income_starting_day),
      DATE(YEAR(Tracking[[#This Row],[Date]]), MONTH(Tracking[[#This Row],[Date]])+1, 1),
      Tracking[[#This Row],[Date]])</f>
        <v>45845</v>
      </c>
    </row>
    <row r="639" spans="3:9" hidden="1" outlineLevel="1" x14ac:dyDescent="0.2">
      <c r="C639" s="94">
        <v>45845</v>
      </c>
      <c r="D639" s="32" t="s">
        <v>47</v>
      </c>
      <c r="E639" s="32" t="s">
        <v>49</v>
      </c>
      <c r="F639" s="34">
        <v>10</v>
      </c>
      <c r="G639" s="35" t="s">
        <v>496</v>
      </c>
      <c r="H639" s="37" cm="1">
        <f t="array" ref="H639">IFERROR(SUMPRODUCT(Tracking[Amount], --(Tracking[Date]&lt;=Tracking[[#This Row],[Date]]), (Tracking[Type]&lt;&gt;"Income") * (-1) + (Tracking[Type]="Income")), "-")</f>
        <v>6710</v>
      </c>
      <c r="I639" s="95">
        <f>IF(AND(Tracking[[#This Row],[Type]]="Income", shift_late_income_status="Active", DAY(Tracking[[#This Row],[Date]])&gt;=shift_late_income_starting_day),
      DATE(YEAR(Tracking[[#This Row],[Date]]), MONTH(Tracking[[#This Row],[Date]])+1, 1),
      Tracking[[#This Row],[Date]])</f>
        <v>45845</v>
      </c>
    </row>
    <row r="640" spans="3:9" hidden="1" outlineLevel="1" x14ac:dyDescent="0.2">
      <c r="C640" s="94">
        <v>45845</v>
      </c>
      <c r="D640" s="32" t="s">
        <v>47</v>
      </c>
      <c r="E640" s="32" t="s">
        <v>48</v>
      </c>
      <c r="F640" s="34">
        <v>6</v>
      </c>
      <c r="G640" s="35"/>
      <c r="H640" s="37" cm="1">
        <f t="array" ref="H640">IFERROR(SUMPRODUCT(Tracking[Amount], --(Tracking[Date]&lt;=Tracking[[#This Row],[Date]]), (Tracking[Type]&lt;&gt;"Income") * (-1) + (Tracking[Type]="Income")), "-")</f>
        <v>6710</v>
      </c>
      <c r="I640" s="95">
        <f>IF(AND(Tracking[[#This Row],[Type]]="Income", shift_late_income_status="Active", DAY(Tracking[[#This Row],[Date]])&gt;=shift_late_income_starting_day),
      DATE(YEAR(Tracking[[#This Row],[Date]]), MONTH(Tracking[[#This Row],[Date]])+1, 1),
      Tracking[[#This Row],[Date]])</f>
        <v>45845</v>
      </c>
    </row>
    <row r="641" spans="3:9" hidden="1" outlineLevel="1" x14ac:dyDescent="0.2">
      <c r="C641" s="94">
        <v>45845</v>
      </c>
      <c r="D641" s="32" t="s">
        <v>47</v>
      </c>
      <c r="E641" s="32" t="s">
        <v>235</v>
      </c>
      <c r="F641" s="34">
        <v>40</v>
      </c>
      <c r="G641" s="35" t="s">
        <v>231</v>
      </c>
      <c r="H641" s="37" cm="1">
        <f t="array" ref="H641">IFERROR(SUMPRODUCT(Tracking[Amount], --(Tracking[Date]&lt;=Tracking[[#This Row],[Date]]), (Tracking[Type]&lt;&gt;"Income") * (-1) + (Tracking[Type]="Income")), "-")</f>
        <v>6710</v>
      </c>
      <c r="I641" s="95">
        <f>IF(AND(Tracking[[#This Row],[Type]]="Income", shift_late_income_status="Active", DAY(Tracking[[#This Row],[Date]])&gt;=shift_late_income_starting_day),
      DATE(YEAR(Tracking[[#This Row],[Date]]), MONTH(Tracking[[#This Row],[Date]])+1, 1),
      Tracking[[#This Row],[Date]])</f>
        <v>45845</v>
      </c>
    </row>
    <row r="642" spans="3:9" hidden="1" outlineLevel="1" x14ac:dyDescent="0.2">
      <c r="C642" s="94">
        <v>45845</v>
      </c>
      <c r="D642" s="32" t="s">
        <v>47</v>
      </c>
      <c r="E642" s="32" t="s">
        <v>60</v>
      </c>
      <c r="F642" s="34">
        <v>5</v>
      </c>
      <c r="G642" s="35" t="s">
        <v>338</v>
      </c>
      <c r="H642" s="37" cm="1">
        <f t="array" ref="H642">IFERROR(SUMPRODUCT(Tracking[Amount], --(Tracking[Date]&lt;=Tracking[[#This Row],[Date]]), (Tracking[Type]&lt;&gt;"Income") * (-1) + (Tracking[Type]="Income")), "-")</f>
        <v>6710</v>
      </c>
      <c r="I642" s="95">
        <f>IF(AND(Tracking[[#This Row],[Type]]="Income", shift_late_income_status="Active", DAY(Tracking[[#This Row],[Date]])&gt;=shift_late_income_starting_day),
      DATE(YEAR(Tracking[[#This Row],[Date]]), MONTH(Tracking[[#This Row],[Date]])+1, 1),
      Tracking[[#This Row],[Date]])</f>
        <v>45845</v>
      </c>
    </row>
    <row r="643" spans="3:9" hidden="1" outlineLevel="1" x14ac:dyDescent="0.2">
      <c r="C643" s="94">
        <v>45845</v>
      </c>
      <c r="D643" s="32" t="s">
        <v>47</v>
      </c>
      <c r="E643" s="32" t="s">
        <v>52</v>
      </c>
      <c r="F643" s="34">
        <v>65</v>
      </c>
      <c r="G643" s="35" t="s">
        <v>358</v>
      </c>
      <c r="H643" s="37" cm="1">
        <f t="array" ref="H643">IFERROR(SUMPRODUCT(Tracking[Amount], --(Tracking[Date]&lt;=Tracking[[#This Row],[Date]]), (Tracking[Type]&lt;&gt;"Income") * (-1) + (Tracking[Type]="Income")), "-")</f>
        <v>6710</v>
      </c>
      <c r="I643" s="95">
        <f>IF(AND(Tracking[[#This Row],[Type]]="Income", shift_late_income_status="Active", DAY(Tracking[[#This Row],[Date]])&gt;=shift_late_income_starting_day),
      DATE(YEAR(Tracking[[#This Row],[Date]]), MONTH(Tracking[[#This Row],[Date]])+1, 1),
      Tracking[[#This Row],[Date]])</f>
        <v>45845</v>
      </c>
    </row>
    <row r="644" spans="3:9" hidden="1" outlineLevel="1" x14ac:dyDescent="0.2">
      <c r="C644" s="94">
        <v>45846</v>
      </c>
      <c r="D644" s="32" t="s">
        <v>47</v>
      </c>
      <c r="E644" s="32" t="s">
        <v>48</v>
      </c>
      <c r="F644" s="34">
        <v>9</v>
      </c>
      <c r="G644" s="35"/>
      <c r="H644" s="37" cm="1">
        <f t="array" ref="H644">IFERROR(SUMPRODUCT(Tracking[Amount], --(Tracking[Date]&lt;=Tracking[[#This Row],[Date]]), (Tracking[Type]&lt;&gt;"Income") * (-1) + (Tracking[Type]="Income")), "-")</f>
        <v>6698</v>
      </c>
      <c r="I644" s="95">
        <f>IF(AND(Tracking[[#This Row],[Type]]="Income", shift_late_income_status="Active", DAY(Tracking[[#This Row],[Date]])&gt;=shift_late_income_starting_day),
      DATE(YEAR(Tracking[[#This Row],[Date]]), MONTH(Tracking[[#This Row],[Date]])+1, 1),
      Tracking[[#This Row],[Date]])</f>
        <v>45846</v>
      </c>
    </row>
    <row r="645" spans="3:9" hidden="1" outlineLevel="1" x14ac:dyDescent="0.2">
      <c r="C645" s="94">
        <v>45846</v>
      </c>
      <c r="D645" s="32" t="s">
        <v>47</v>
      </c>
      <c r="E645" s="32" t="s">
        <v>49</v>
      </c>
      <c r="F645" s="34">
        <v>3</v>
      </c>
      <c r="G645" s="35" t="s">
        <v>497</v>
      </c>
      <c r="H645" s="37" cm="1">
        <f t="array" ref="H645">IFERROR(SUMPRODUCT(Tracking[Amount], --(Tracking[Date]&lt;=Tracking[[#This Row],[Date]]), (Tracking[Type]&lt;&gt;"Income") * (-1) + (Tracking[Type]="Income")), "-")</f>
        <v>6698</v>
      </c>
      <c r="I645" s="95">
        <f>IF(AND(Tracking[[#This Row],[Type]]="Income", shift_late_income_status="Active", DAY(Tracking[[#This Row],[Date]])&gt;=shift_late_income_starting_day),
      DATE(YEAR(Tracking[[#This Row],[Date]]), MONTH(Tracking[[#This Row],[Date]])+1, 1),
      Tracking[[#This Row],[Date]])</f>
        <v>45846</v>
      </c>
    </row>
    <row r="646" spans="3:9" hidden="1" outlineLevel="1" x14ac:dyDescent="0.2">
      <c r="C646" s="94">
        <v>45847</v>
      </c>
      <c r="D646" s="32" t="s">
        <v>47</v>
      </c>
      <c r="E646" s="32" t="s">
        <v>51</v>
      </c>
      <c r="F646" s="34">
        <v>45</v>
      </c>
      <c r="G646" s="35" t="s">
        <v>358</v>
      </c>
      <c r="H646" s="37" cm="1">
        <f t="array" ref="H646">IFERROR(SUMPRODUCT(Tracking[Amount], --(Tracking[Date]&lt;=Tracking[[#This Row],[Date]]), (Tracking[Type]&lt;&gt;"Income") * (-1) + (Tracking[Type]="Income")), "-")</f>
        <v>6570</v>
      </c>
      <c r="I646" s="95">
        <f>IF(AND(Tracking[[#This Row],[Type]]="Income", shift_late_income_status="Active", DAY(Tracking[[#This Row],[Date]])&gt;=shift_late_income_starting_day),
      DATE(YEAR(Tracking[[#This Row],[Date]]), MONTH(Tracking[[#This Row],[Date]])+1, 1),
      Tracking[[#This Row],[Date]])</f>
        <v>45847</v>
      </c>
    </row>
    <row r="647" spans="3:9" hidden="1" outlineLevel="1" x14ac:dyDescent="0.2">
      <c r="C647" s="94">
        <v>45847</v>
      </c>
      <c r="D647" s="32" t="s">
        <v>47</v>
      </c>
      <c r="E647" s="32" t="s">
        <v>48</v>
      </c>
      <c r="F647" s="34">
        <v>12</v>
      </c>
      <c r="G647" s="35"/>
      <c r="H647" s="37" cm="1">
        <f t="array" ref="H647">IFERROR(SUMPRODUCT(Tracking[Amount], --(Tracking[Date]&lt;=Tracking[[#This Row],[Date]]), (Tracking[Type]&lt;&gt;"Income") * (-1) + (Tracking[Type]="Income")), "-")</f>
        <v>6570</v>
      </c>
      <c r="I647" s="95">
        <f>IF(AND(Tracking[[#This Row],[Type]]="Income", shift_late_income_status="Active", DAY(Tracking[[#This Row],[Date]])&gt;=shift_late_income_starting_day),
      DATE(YEAR(Tracking[[#This Row],[Date]]), MONTH(Tracking[[#This Row],[Date]])+1, 1),
      Tracking[[#This Row],[Date]])</f>
        <v>45847</v>
      </c>
    </row>
    <row r="648" spans="3:9" hidden="1" outlineLevel="1" x14ac:dyDescent="0.2">
      <c r="C648" s="94">
        <v>45847</v>
      </c>
      <c r="D648" s="32" t="s">
        <v>47</v>
      </c>
      <c r="E648" s="32" t="s">
        <v>59</v>
      </c>
      <c r="F648" s="34">
        <v>13</v>
      </c>
      <c r="G648" s="35" t="s">
        <v>254</v>
      </c>
      <c r="H648" s="37" cm="1">
        <f t="array" ref="H648">IFERROR(SUMPRODUCT(Tracking[Amount], --(Tracking[Date]&lt;=Tracking[[#This Row],[Date]]), (Tracking[Type]&lt;&gt;"Income") * (-1) + (Tracking[Type]="Income")), "-")</f>
        <v>6570</v>
      </c>
      <c r="I648" s="95">
        <f>IF(AND(Tracking[[#This Row],[Type]]="Income", shift_late_income_status="Active", DAY(Tracking[[#This Row],[Date]])&gt;=shift_late_income_starting_day),
      DATE(YEAR(Tracking[[#This Row],[Date]]), MONTH(Tracking[[#This Row],[Date]])+1, 1),
      Tracking[[#This Row],[Date]])</f>
        <v>45847</v>
      </c>
    </row>
    <row r="649" spans="3:9" hidden="1" outlineLevel="1" x14ac:dyDescent="0.2">
      <c r="C649" s="94">
        <v>45847</v>
      </c>
      <c r="D649" s="32" t="s">
        <v>47</v>
      </c>
      <c r="E649" s="32" t="s">
        <v>49</v>
      </c>
      <c r="F649" s="34">
        <v>49</v>
      </c>
      <c r="G649" s="35" t="s">
        <v>498</v>
      </c>
      <c r="H649" s="37" cm="1">
        <f t="array" ref="H649">IFERROR(SUMPRODUCT(Tracking[Amount], --(Tracking[Date]&lt;=Tracking[[#This Row],[Date]]), (Tracking[Type]&lt;&gt;"Income") * (-1) + (Tracking[Type]="Income")), "-")</f>
        <v>6570</v>
      </c>
      <c r="I649" s="95">
        <f>IF(AND(Tracking[[#This Row],[Type]]="Income", shift_late_income_status="Active", DAY(Tracking[[#This Row],[Date]])&gt;=shift_late_income_starting_day),
      DATE(YEAR(Tracking[[#This Row],[Date]]), MONTH(Tracking[[#This Row],[Date]])+1, 1),
      Tracking[[#This Row],[Date]])</f>
        <v>45847</v>
      </c>
    </row>
    <row r="650" spans="3:9" hidden="1" outlineLevel="1" x14ac:dyDescent="0.2">
      <c r="C650" s="94">
        <v>45847</v>
      </c>
      <c r="D650" s="32" t="s">
        <v>47</v>
      </c>
      <c r="E650" s="32" t="s">
        <v>49</v>
      </c>
      <c r="F650" s="34">
        <v>9</v>
      </c>
      <c r="G650" s="35" t="s">
        <v>491</v>
      </c>
      <c r="H650" s="37" cm="1">
        <f t="array" ref="H650">IFERROR(SUMPRODUCT(Tracking[Amount], --(Tracking[Date]&lt;=Tracking[[#This Row],[Date]]), (Tracking[Type]&lt;&gt;"Income") * (-1) + (Tracking[Type]="Income")), "-")</f>
        <v>6570</v>
      </c>
      <c r="I650" s="95">
        <f>IF(AND(Tracking[[#This Row],[Type]]="Income", shift_late_income_status="Active", DAY(Tracking[[#This Row],[Date]])&gt;=shift_late_income_starting_day),
      DATE(YEAR(Tracking[[#This Row],[Date]]), MONTH(Tracking[[#This Row],[Date]])+1, 1),
      Tracking[[#This Row],[Date]])</f>
        <v>45847</v>
      </c>
    </row>
    <row r="651" spans="3:9" hidden="1" outlineLevel="1" x14ac:dyDescent="0.2">
      <c r="C651" s="94">
        <v>45848</v>
      </c>
      <c r="D651" s="32" t="s">
        <v>47</v>
      </c>
      <c r="E651" s="32" t="s">
        <v>48</v>
      </c>
      <c r="F651" s="34">
        <v>6</v>
      </c>
      <c r="G651" s="35"/>
      <c r="H651" s="37" cm="1">
        <f t="array" ref="H651">IFERROR(SUMPRODUCT(Tracking[Amount], --(Tracking[Date]&lt;=Tracking[[#This Row],[Date]]), (Tracking[Type]&lt;&gt;"Income") * (-1) + (Tracking[Type]="Income")), "-")</f>
        <v>6375</v>
      </c>
      <c r="I651" s="95">
        <f>IF(AND(Tracking[[#This Row],[Type]]="Income", shift_late_income_status="Active", DAY(Tracking[[#This Row],[Date]])&gt;=shift_late_income_starting_day),
      DATE(YEAR(Tracking[[#This Row],[Date]]), MONTH(Tracking[[#This Row],[Date]])+1, 1),
      Tracking[[#This Row],[Date]])</f>
        <v>45848</v>
      </c>
    </row>
    <row r="652" spans="3:9" hidden="1" outlineLevel="1" x14ac:dyDescent="0.2">
      <c r="C652" s="94">
        <v>45848</v>
      </c>
      <c r="D652" s="32" t="s">
        <v>47</v>
      </c>
      <c r="E652" s="32" t="s">
        <v>60</v>
      </c>
      <c r="F652" s="34">
        <v>7</v>
      </c>
      <c r="G652" s="35" t="s">
        <v>338</v>
      </c>
      <c r="H652" s="37" cm="1">
        <f t="array" ref="H652">IFERROR(SUMPRODUCT(Tracking[Amount], --(Tracking[Date]&lt;=Tracking[[#This Row],[Date]]), (Tracking[Type]&lt;&gt;"Income") * (-1) + (Tracking[Type]="Income")), "-")</f>
        <v>6375</v>
      </c>
      <c r="I652" s="95">
        <f>IF(AND(Tracking[[#This Row],[Type]]="Income", shift_late_income_status="Active", DAY(Tracking[[#This Row],[Date]])&gt;=shift_late_income_starting_day),
      DATE(YEAR(Tracking[[#This Row],[Date]]), MONTH(Tracking[[#This Row],[Date]])+1, 1),
      Tracking[[#This Row],[Date]])</f>
        <v>45848</v>
      </c>
    </row>
    <row r="653" spans="3:9" hidden="1" outlineLevel="1" x14ac:dyDescent="0.2">
      <c r="C653" s="94">
        <v>45848</v>
      </c>
      <c r="D653" s="32" t="s">
        <v>47</v>
      </c>
      <c r="E653" s="32" t="s">
        <v>49</v>
      </c>
      <c r="F653" s="34">
        <v>152</v>
      </c>
      <c r="G653" s="35" t="s">
        <v>499</v>
      </c>
      <c r="H653" s="37" cm="1">
        <f t="array" ref="H653">IFERROR(SUMPRODUCT(Tracking[Amount], --(Tracking[Date]&lt;=Tracking[[#This Row],[Date]]), (Tracking[Type]&lt;&gt;"Income") * (-1) + (Tracking[Type]="Income")), "-")</f>
        <v>6375</v>
      </c>
      <c r="I653" s="95">
        <f>IF(AND(Tracking[[#This Row],[Type]]="Income", shift_late_income_status="Active", DAY(Tracking[[#This Row],[Date]])&gt;=shift_late_income_starting_day),
      DATE(YEAR(Tracking[[#This Row],[Date]]), MONTH(Tracking[[#This Row],[Date]])+1, 1),
      Tracking[[#This Row],[Date]])</f>
        <v>45848</v>
      </c>
    </row>
    <row r="654" spans="3:9" hidden="1" outlineLevel="1" x14ac:dyDescent="0.2">
      <c r="C654" s="94">
        <v>45848</v>
      </c>
      <c r="D654" s="32" t="s">
        <v>47</v>
      </c>
      <c r="E654" s="32" t="s">
        <v>235</v>
      </c>
      <c r="F654" s="34">
        <v>30</v>
      </c>
      <c r="G654" s="35" t="s">
        <v>455</v>
      </c>
      <c r="H654" s="37" cm="1">
        <f t="array" ref="H654">IFERROR(SUMPRODUCT(Tracking[Amount], --(Tracking[Date]&lt;=Tracking[[#This Row],[Date]]), (Tracking[Type]&lt;&gt;"Income") * (-1) + (Tracking[Type]="Income")), "-")</f>
        <v>6375</v>
      </c>
      <c r="I654" s="95">
        <f>IF(AND(Tracking[[#This Row],[Type]]="Income", shift_late_income_status="Active", DAY(Tracking[[#This Row],[Date]])&gt;=shift_late_income_starting_day),
      DATE(YEAR(Tracking[[#This Row],[Date]]), MONTH(Tracking[[#This Row],[Date]])+1, 1),
      Tracking[[#This Row],[Date]])</f>
        <v>45848</v>
      </c>
    </row>
    <row r="655" spans="3:9" hidden="1" outlineLevel="1" x14ac:dyDescent="0.2">
      <c r="C655" s="94">
        <v>45849</v>
      </c>
      <c r="D655" s="32" t="s">
        <v>47</v>
      </c>
      <c r="E655" s="32" t="s">
        <v>60</v>
      </c>
      <c r="F655" s="34">
        <v>14</v>
      </c>
      <c r="G655" s="35" t="s">
        <v>500</v>
      </c>
      <c r="H655" s="37" cm="1">
        <f t="array" ref="H655">IFERROR(SUMPRODUCT(Tracking[Amount], --(Tracking[Date]&lt;=Tracking[[#This Row],[Date]]), (Tracking[Type]&lt;&gt;"Income") * (-1) + (Tracking[Type]="Income")), "-")</f>
        <v>6271</v>
      </c>
      <c r="I655" s="95">
        <f>IF(AND(Tracking[[#This Row],[Type]]="Income", shift_late_income_status="Active", DAY(Tracking[[#This Row],[Date]])&gt;=shift_late_income_starting_day),
      DATE(YEAR(Tracking[[#This Row],[Date]]), MONTH(Tracking[[#This Row],[Date]])+1, 1),
      Tracking[[#This Row],[Date]])</f>
        <v>45849</v>
      </c>
    </row>
    <row r="656" spans="3:9" hidden="1" outlineLevel="1" x14ac:dyDescent="0.2">
      <c r="C656" s="94">
        <v>45849</v>
      </c>
      <c r="D656" s="32" t="s">
        <v>47</v>
      </c>
      <c r="E656" s="32" t="s">
        <v>235</v>
      </c>
      <c r="F656" s="34">
        <v>57</v>
      </c>
      <c r="G656" s="35" t="s">
        <v>231</v>
      </c>
      <c r="H656" s="37" cm="1">
        <f t="array" ref="H656">IFERROR(SUMPRODUCT(Tracking[Amount], --(Tracking[Date]&lt;=Tracking[[#This Row],[Date]]), (Tracking[Type]&lt;&gt;"Income") * (-1) + (Tracking[Type]="Income")), "-")</f>
        <v>6271</v>
      </c>
      <c r="I656" s="95">
        <f>IF(AND(Tracking[[#This Row],[Type]]="Income", shift_late_income_status="Active", DAY(Tracking[[#This Row],[Date]])&gt;=shift_late_income_starting_day),
      DATE(YEAR(Tracking[[#This Row],[Date]]), MONTH(Tracking[[#This Row],[Date]])+1, 1),
      Tracking[[#This Row],[Date]])</f>
        <v>45849</v>
      </c>
    </row>
    <row r="657" spans="3:9" hidden="1" outlineLevel="1" x14ac:dyDescent="0.2">
      <c r="C657" s="94">
        <v>45849</v>
      </c>
      <c r="D657" s="32" t="s">
        <v>47</v>
      </c>
      <c r="E657" s="32" t="s">
        <v>51</v>
      </c>
      <c r="F657" s="34">
        <v>33</v>
      </c>
      <c r="G657" s="35"/>
      <c r="H657" s="37" cm="1">
        <f t="array" ref="H657">IFERROR(SUMPRODUCT(Tracking[Amount], --(Tracking[Date]&lt;=Tracking[[#This Row],[Date]]), (Tracking[Type]&lt;&gt;"Income") * (-1) + (Tracking[Type]="Income")), "-")</f>
        <v>6271</v>
      </c>
      <c r="I657" s="95">
        <f>IF(AND(Tracking[[#This Row],[Type]]="Income", shift_late_income_status="Active", DAY(Tracking[[#This Row],[Date]])&gt;=shift_late_income_starting_day),
      DATE(YEAR(Tracking[[#This Row],[Date]]), MONTH(Tracking[[#This Row],[Date]])+1, 1),
      Tracking[[#This Row],[Date]])</f>
        <v>45849</v>
      </c>
    </row>
    <row r="658" spans="3:9" hidden="1" outlineLevel="1" x14ac:dyDescent="0.2">
      <c r="C658" s="94">
        <v>45850</v>
      </c>
      <c r="D658" s="32" t="s">
        <v>47</v>
      </c>
      <c r="E658" s="32" t="s">
        <v>49</v>
      </c>
      <c r="F658" s="34">
        <v>34</v>
      </c>
      <c r="G658" s="35" t="s">
        <v>494</v>
      </c>
      <c r="H658" s="37" cm="1">
        <f t="array" ref="H658">IFERROR(SUMPRODUCT(Tracking[Amount], --(Tracking[Date]&lt;=Tracking[[#This Row],[Date]]), (Tracking[Type]&lt;&gt;"Income") * (-1) + (Tracking[Type]="Income")), "-")</f>
        <v>6159</v>
      </c>
      <c r="I658" s="95">
        <f>IF(AND(Tracking[[#This Row],[Type]]="Income", shift_late_income_status="Active", DAY(Tracking[[#This Row],[Date]])&gt;=shift_late_income_starting_day),
      DATE(YEAR(Tracking[[#This Row],[Date]]), MONTH(Tracking[[#This Row],[Date]])+1, 1),
      Tracking[[#This Row],[Date]])</f>
        <v>45850</v>
      </c>
    </row>
    <row r="659" spans="3:9" hidden="1" outlineLevel="1" x14ac:dyDescent="0.2">
      <c r="C659" s="94">
        <v>45850</v>
      </c>
      <c r="D659" s="32" t="s">
        <v>47</v>
      </c>
      <c r="E659" s="32" t="s">
        <v>48</v>
      </c>
      <c r="F659" s="34">
        <v>33</v>
      </c>
      <c r="G659" s="35"/>
      <c r="H659" s="37" cm="1">
        <f t="array" ref="H659">IFERROR(SUMPRODUCT(Tracking[Amount], --(Tracking[Date]&lt;=Tracking[[#This Row],[Date]]), (Tracking[Type]&lt;&gt;"Income") * (-1) + (Tracking[Type]="Income")), "-")</f>
        <v>6159</v>
      </c>
      <c r="I659" s="95">
        <f>IF(AND(Tracking[[#This Row],[Type]]="Income", shift_late_income_status="Active", DAY(Tracking[[#This Row],[Date]])&gt;=shift_late_income_starting_day),
      DATE(YEAR(Tracking[[#This Row],[Date]]), MONTH(Tracking[[#This Row],[Date]])+1, 1),
      Tracking[[#This Row],[Date]])</f>
        <v>45850</v>
      </c>
    </row>
    <row r="660" spans="3:9" hidden="1" outlineLevel="1" x14ac:dyDescent="0.2">
      <c r="C660" s="94">
        <v>45851</v>
      </c>
      <c r="D660" s="32" t="s">
        <v>47</v>
      </c>
      <c r="E660" s="32" t="s">
        <v>49</v>
      </c>
      <c r="F660" s="34">
        <v>60</v>
      </c>
      <c r="G660" s="35" t="s">
        <v>486</v>
      </c>
      <c r="H660" s="37" cm="1">
        <f t="array" ref="H660">IFERROR(SUMPRODUCT(Tracking[Amount], --(Tracking[Date]&lt;=Tracking[[#This Row],[Date]]), (Tracking[Type]&lt;&gt;"Income") * (-1) + (Tracking[Type]="Income")), "-")</f>
        <v>6099</v>
      </c>
      <c r="I660" s="95">
        <f>IF(AND(Tracking[[#This Row],[Type]]="Income", shift_late_income_status="Active", DAY(Tracking[[#This Row],[Date]])&gt;=shift_late_income_starting_day),
      DATE(YEAR(Tracking[[#This Row],[Date]]), MONTH(Tracking[[#This Row],[Date]])+1, 1),
      Tracking[[#This Row],[Date]])</f>
        <v>45851</v>
      </c>
    </row>
    <row r="661" spans="3:9" hidden="1" outlineLevel="1" x14ac:dyDescent="0.2">
      <c r="C661" s="94">
        <v>45852</v>
      </c>
      <c r="D661" s="32" t="s">
        <v>40</v>
      </c>
      <c r="E661" s="32" t="s">
        <v>43</v>
      </c>
      <c r="F661" s="34">
        <v>250</v>
      </c>
      <c r="G661" s="35"/>
      <c r="H661" s="37" cm="1">
        <f t="array" ref="H661">IFERROR(SUMPRODUCT(Tracking[Amount], --(Tracking[Date]&lt;=Tracking[[#This Row],[Date]]), (Tracking[Type]&lt;&gt;"Income") * (-1) + (Tracking[Type]="Income")), "-")</f>
        <v>6018</v>
      </c>
      <c r="I661" s="95">
        <f>IF(AND(Tracking[[#This Row],[Type]]="Income", shift_late_income_status="Active", DAY(Tracking[[#This Row],[Date]])&gt;=shift_late_income_starting_day),
      DATE(YEAR(Tracking[[#This Row],[Date]]), MONTH(Tracking[[#This Row],[Date]])+1, 1),
      Tracking[[#This Row],[Date]])</f>
        <v>45852</v>
      </c>
    </row>
    <row r="662" spans="3:9" hidden="1" outlineLevel="1" x14ac:dyDescent="0.2">
      <c r="C662" s="94">
        <v>45852</v>
      </c>
      <c r="D662" s="32" t="s">
        <v>47</v>
      </c>
      <c r="E662" s="32" t="s">
        <v>48</v>
      </c>
      <c r="F662" s="34">
        <v>15</v>
      </c>
      <c r="G662" s="35"/>
      <c r="H662" s="37" cm="1">
        <f t="array" ref="H662">IFERROR(SUMPRODUCT(Tracking[Amount], --(Tracking[Date]&lt;=Tracking[[#This Row],[Date]]), (Tracking[Type]&lt;&gt;"Income") * (-1) + (Tracking[Type]="Income")), "-")</f>
        <v>6018</v>
      </c>
      <c r="I662" s="95">
        <f>IF(AND(Tracking[[#This Row],[Type]]="Income", shift_late_income_status="Active", DAY(Tracking[[#This Row],[Date]])&gt;=shift_late_income_starting_day),
      DATE(YEAR(Tracking[[#This Row],[Date]]), MONTH(Tracking[[#This Row],[Date]])+1, 1),
      Tracking[[#This Row],[Date]])</f>
        <v>45852</v>
      </c>
    </row>
    <row r="663" spans="3:9" hidden="1" outlineLevel="1" x14ac:dyDescent="0.2">
      <c r="C663" s="94">
        <v>45852</v>
      </c>
      <c r="D663" s="32" t="s">
        <v>47</v>
      </c>
      <c r="E663" s="32" t="s">
        <v>60</v>
      </c>
      <c r="F663" s="34">
        <v>289</v>
      </c>
      <c r="G663" s="35" t="s">
        <v>501</v>
      </c>
      <c r="H663" s="37" cm="1">
        <f t="array" ref="H663">IFERROR(SUMPRODUCT(Tracking[Amount], --(Tracking[Date]&lt;=Tracking[[#This Row],[Date]]), (Tracking[Type]&lt;&gt;"Income") * (-1) + (Tracking[Type]="Income")), "-")</f>
        <v>6018</v>
      </c>
      <c r="I663" s="95">
        <f>IF(AND(Tracking[[#This Row],[Type]]="Income", shift_late_income_status="Active", DAY(Tracking[[#This Row],[Date]])&gt;=shift_late_income_starting_day),
      DATE(YEAR(Tracking[[#This Row],[Date]]), MONTH(Tracking[[#This Row],[Date]])+1, 1),
      Tracking[[#This Row],[Date]])</f>
        <v>45852</v>
      </c>
    </row>
    <row r="664" spans="3:9" hidden="1" outlineLevel="1" x14ac:dyDescent="0.2">
      <c r="C664" s="94">
        <v>45852</v>
      </c>
      <c r="D664" s="32" t="s">
        <v>47</v>
      </c>
      <c r="E664" s="32" t="s">
        <v>60</v>
      </c>
      <c r="F664" s="34">
        <v>2</v>
      </c>
      <c r="G664" s="35" t="s">
        <v>232</v>
      </c>
      <c r="H664" s="37" cm="1">
        <f t="array" ref="H664">IFERROR(SUMPRODUCT(Tracking[Amount], --(Tracking[Date]&lt;=Tracking[[#This Row],[Date]]), (Tracking[Type]&lt;&gt;"Income") * (-1) + (Tracking[Type]="Income")), "-")</f>
        <v>6018</v>
      </c>
      <c r="I664" s="95">
        <f>IF(AND(Tracking[[#This Row],[Type]]="Income", shift_late_income_status="Active", DAY(Tracking[[#This Row],[Date]])&gt;=shift_late_income_starting_day),
      DATE(YEAR(Tracking[[#This Row],[Date]]), MONTH(Tracking[[#This Row],[Date]])+1, 1),
      Tracking[[#This Row],[Date]])</f>
        <v>45852</v>
      </c>
    </row>
    <row r="665" spans="3:9" hidden="1" outlineLevel="1" x14ac:dyDescent="0.2">
      <c r="C665" s="94">
        <v>45852</v>
      </c>
      <c r="D665" s="32" t="s">
        <v>47</v>
      </c>
      <c r="E665" s="32" t="s">
        <v>49</v>
      </c>
      <c r="F665" s="34">
        <v>25</v>
      </c>
      <c r="G665" s="35" t="s">
        <v>502</v>
      </c>
      <c r="H665" s="37" cm="1">
        <f t="array" ref="H665">IFERROR(SUMPRODUCT(Tracking[Amount], --(Tracking[Date]&lt;=Tracking[[#This Row],[Date]]), (Tracking[Type]&lt;&gt;"Income") * (-1) + (Tracking[Type]="Income")), "-")</f>
        <v>6018</v>
      </c>
      <c r="I665" s="95">
        <f>IF(AND(Tracking[[#This Row],[Type]]="Income", shift_late_income_status="Active", DAY(Tracking[[#This Row],[Date]])&gt;=shift_late_income_starting_day),
      DATE(YEAR(Tracking[[#This Row],[Date]]), MONTH(Tracking[[#This Row],[Date]])+1, 1),
      Tracking[[#This Row],[Date]])</f>
        <v>45852</v>
      </c>
    </row>
    <row r="666" spans="3:9" hidden="1" outlineLevel="1" x14ac:dyDescent="0.2">
      <c r="C666" s="94">
        <v>45853</v>
      </c>
      <c r="D666" s="32" t="s">
        <v>47</v>
      </c>
      <c r="E666" s="32" t="s">
        <v>56</v>
      </c>
      <c r="F666" s="34">
        <v>287</v>
      </c>
      <c r="G666" s="35" t="s">
        <v>245</v>
      </c>
      <c r="H666" s="37" cm="1">
        <f t="array" ref="H666">IFERROR(SUMPRODUCT(Tracking[Amount], --(Tracking[Date]&lt;=Tracking[[#This Row],[Date]]), (Tracking[Type]&lt;&gt;"Income") * (-1) + (Tracking[Type]="Income")), "-")</f>
        <v>5650</v>
      </c>
      <c r="I666" s="95">
        <f>IF(AND(Tracking[[#This Row],[Type]]="Income", shift_late_income_status="Active", DAY(Tracking[[#This Row],[Date]])&gt;=shift_late_income_starting_day),
      DATE(YEAR(Tracking[[#This Row],[Date]]), MONTH(Tracking[[#This Row],[Date]])+1, 1),
      Tracking[[#This Row],[Date]])</f>
        <v>45853</v>
      </c>
    </row>
    <row r="667" spans="3:9" hidden="1" outlineLevel="1" x14ac:dyDescent="0.2">
      <c r="C667" s="94">
        <v>45853</v>
      </c>
      <c r="D667" s="32" t="s">
        <v>47</v>
      </c>
      <c r="E667" s="32" t="s">
        <v>48</v>
      </c>
      <c r="F667" s="34">
        <v>22</v>
      </c>
      <c r="G667" s="35"/>
      <c r="H667" s="37" cm="1">
        <f t="array" ref="H667">IFERROR(SUMPRODUCT(Tracking[Amount], --(Tracking[Date]&lt;=Tracking[[#This Row],[Date]]), (Tracking[Type]&lt;&gt;"Income") * (-1) + (Tracking[Type]="Income")), "-")</f>
        <v>5650</v>
      </c>
      <c r="I667" s="95">
        <f>IF(AND(Tracking[[#This Row],[Type]]="Income", shift_late_income_status="Active", DAY(Tracking[[#This Row],[Date]])&gt;=shift_late_income_starting_day),
      DATE(YEAR(Tracking[[#This Row],[Date]]), MONTH(Tracking[[#This Row],[Date]])+1, 1),
      Tracking[[#This Row],[Date]])</f>
        <v>45853</v>
      </c>
    </row>
    <row r="668" spans="3:9" hidden="1" outlineLevel="1" x14ac:dyDescent="0.2">
      <c r="C668" s="94">
        <v>45853</v>
      </c>
      <c r="D668" s="32" t="s">
        <v>47</v>
      </c>
      <c r="E668" s="32" t="s">
        <v>44</v>
      </c>
      <c r="F668" s="34">
        <v>34</v>
      </c>
      <c r="G668" s="35" t="s">
        <v>418</v>
      </c>
      <c r="H668" s="37" cm="1">
        <f t="array" ref="H668">IFERROR(SUMPRODUCT(Tracking[Amount], --(Tracking[Date]&lt;=Tracking[[#This Row],[Date]]), (Tracking[Type]&lt;&gt;"Income") * (-1) + (Tracking[Type]="Income")), "-")</f>
        <v>5650</v>
      </c>
      <c r="I668" s="95">
        <f>IF(AND(Tracking[[#This Row],[Type]]="Income", shift_late_income_status="Active", DAY(Tracking[[#This Row],[Date]])&gt;=shift_late_income_starting_day),
      DATE(YEAR(Tracking[[#This Row],[Date]]), MONTH(Tracking[[#This Row],[Date]])+1, 1),
      Tracking[[#This Row],[Date]])</f>
        <v>45853</v>
      </c>
    </row>
    <row r="669" spans="3:9" hidden="1" outlineLevel="1" x14ac:dyDescent="0.2">
      <c r="C669" s="94">
        <v>45853</v>
      </c>
      <c r="D669" s="32" t="s">
        <v>47</v>
      </c>
      <c r="E669" s="32" t="s">
        <v>50</v>
      </c>
      <c r="F669" s="34">
        <v>25</v>
      </c>
      <c r="G669" s="35" t="s">
        <v>503</v>
      </c>
      <c r="H669" s="37" cm="1">
        <f t="array" ref="H669">IFERROR(SUMPRODUCT(Tracking[Amount], --(Tracking[Date]&lt;=Tracking[[#This Row],[Date]]), (Tracking[Type]&lt;&gt;"Income") * (-1) + (Tracking[Type]="Income")), "-")</f>
        <v>5650</v>
      </c>
      <c r="I669" s="95">
        <f>IF(AND(Tracking[[#This Row],[Type]]="Income", shift_late_income_status="Active", DAY(Tracking[[#This Row],[Date]])&gt;=shift_late_income_starting_day),
      DATE(YEAR(Tracking[[#This Row],[Date]]), MONTH(Tracking[[#This Row],[Date]])+1, 1),
      Tracking[[#This Row],[Date]])</f>
        <v>45853</v>
      </c>
    </row>
    <row r="670" spans="3:9" hidden="1" outlineLevel="1" x14ac:dyDescent="0.2">
      <c r="C670" s="94">
        <v>45854</v>
      </c>
      <c r="D670" s="32" t="s">
        <v>47</v>
      </c>
      <c r="E670" s="32" t="s">
        <v>49</v>
      </c>
      <c r="F670" s="34">
        <v>5</v>
      </c>
      <c r="G670" s="35" t="s">
        <v>504</v>
      </c>
      <c r="H670" s="37" cm="1">
        <f t="array" ref="H670">IFERROR(SUMPRODUCT(Tracking[Amount], --(Tracking[Date]&lt;=Tracking[[#This Row],[Date]]), (Tracking[Type]&lt;&gt;"Income") * (-1) + (Tracking[Type]="Income")), "-")</f>
        <v>5619</v>
      </c>
      <c r="I670" s="95">
        <f>IF(AND(Tracking[[#This Row],[Type]]="Income", shift_late_income_status="Active", DAY(Tracking[[#This Row],[Date]])&gt;=shift_late_income_starting_day),
      DATE(YEAR(Tracking[[#This Row],[Date]]), MONTH(Tracking[[#This Row],[Date]])+1, 1),
      Tracking[[#This Row],[Date]])</f>
        <v>45854</v>
      </c>
    </row>
    <row r="671" spans="3:9" hidden="1" outlineLevel="1" x14ac:dyDescent="0.2">
      <c r="C671" s="94">
        <v>45854</v>
      </c>
      <c r="D671" s="32" t="s">
        <v>47</v>
      </c>
      <c r="E671" s="32" t="s">
        <v>52</v>
      </c>
      <c r="F671" s="34">
        <v>26</v>
      </c>
      <c r="G671" s="35" t="s">
        <v>358</v>
      </c>
      <c r="H671" s="37" cm="1">
        <f t="array" ref="H671">IFERROR(SUMPRODUCT(Tracking[Amount], --(Tracking[Date]&lt;=Tracking[[#This Row],[Date]]), (Tracking[Type]&lt;&gt;"Income") * (-1) + (Tracking[Type]="Income")), "-")</f>
        <v>5619</v>
      </c>
      <c r="I671" s="95">
        <f>IF(AND(Tracking[[#This Row],[Type]]="Income", shift_late_income_status="Active", DAY(Tracking[[#This Row],[Date]])&gt;=shift_late_income_starting_day),
      DATE(YEAR(Tracking[[#This Row],[Date]]), MONTH(Tracking[[#This Row],[Date]])+1, 1),
      Tracking[[#This Row],[Date]])</f>
        <v>45854</v>
      </c>
    </row>
    <row r="672" spans="3:9" hidden="1" outlineLevel="1" x14ac:dyDescent="0.2">
      <c r="C672" s="94">
        <v>45855</v>
      </c>
      <c r="D672" s="32" t="s">
        <v>47</v>
      </c>
      <c r="E672" s="32" t="s">
        <v>48</v>
      </c>
      <c r="F672" s="34">
        <v>5</v>
      </c>
      <c r="G672" s="35"/>
      <c r="H672" s="37" cm="1">
        <f t="array" ref="H672">IFERROR(SUMPRODUCT(Tracking[Amount], --(Tracking[Date]&lt;=Tracking[[#This Row],[Date]]), (Tracking[Type]&lt;&gt;"Income") * (-1) + (Tracking[Type]="Income")), "-")</f>
        <v>5298</v>
      </c>
      <c r="I672" s="95">
        <f>IF(AND(Tracking[[#This Row],[Type]]="Income", shift_late_income_status="Active", DAY(Tracking[[#This Row],[Date]])&gt;=shift_late_income_starting_day),
      DATE(YEAR(Tracking[[#This Row],[Date]]), MONTH(Tracking[[#This Row],[Date]])+1, 1),
      Tracking[[#This Row],[Date]])</f>
        <v>45855</v>
      </c>
    </row>
    <row r="673" spans="3:9" hidden="1" outlineLevel="1" x14ac:dyDescent="0.2">
      <c r="C673" s="94">
        <v>45855</v>
      </c>
      <c r="D673" s="32" t="s">
        <v>47</v>
      </c>
      <c r="E673" s="32" t="s">
        <v>59</v>
      </c>
      <c r="F673" s="34">
        <v>21</v>
      </c>
      <c r="G673" s="35" t="s">
        <v>218</v>
      </c>
      <c r="H673" s="37" cm="1">
        <f t="array" ref="H673">IFERROR(SUMPRODUCT(Tracking[Amount], --(Tracking[Date]&lt;=Tracking[[#This Row],[Date]]), (Tracking[Type]&lt;&gt;"Income") * (-1) + (Tracking[Type]="Income")), "-")</f>
        <v>5298</v>
      </c>
      <c r="I673" s="95">
        <f>IF(AND(Tracking[[#This Row],[Type]]="Income", shift_late_income_status="Active", DAY(Tracking[[#This Row],[Date]])&gt;=shift_late_income_starting_day),
      DATE(YEAR(Tracking[[#This Row],[Date]]), MONTH(Tracking[[#This Row],[Date]])+1, 1),
      Tracking[[#This Row],[Date]])</f>
        <v>45855</v>
      </c>
    </row>
    <row r="674" spans="3:9" hidden="1" outlineLevel="1" x14ac:dyDescent="0.2">
      <c r="C674" s="94">
        <v>45855</v>
      </c>
      <c r="D674" s="32" t="s">
        <v>47</v>
      </c>
      <c r="E674" s="32" t="s">
        <v>56</v>
      </c>
      <c r="F674" s="34">
        <v>55</v>
      </c>
      <c r="G674" s="35" t="s">
        <v>505</v>
      </c>
      <c r="H674" s="37" cm="1">
        <f t="array" ref="H674">IFERROR(SUMPRODUCT(Tracking[Amount], --(Tracking[Date]&lt;=Tracking[[#This Row],[Date]]), (Tracking[Type]&lt;&gt;"Income") * (-1) + (Tracking[Type]="Income")), "-")</f>
        <v>5298</v>
      </c>
      <c r="I674" s="95">
        <f>IF(AND(Tracking[[#This Row],[Type]]="Income", shift_late_income_status="Active", DAY(Tracking[[#This Row],[Date]])&gt;=shift_late_income_starting_day),
      DATE(YEAR(Tracking[[#This Row],[Date]]), MONTH(Tracking[[#This Row],[Date]])+1, 1),
      Tracking[[#This Row],[Date]])</f>
        <v>45855</v>
      </c>
    </row>
    <row r="675" spans="3:9" hidden="1" outlineLevel="1" x14ac:dyDescent="0.2">
      <c r="C675" s="94">
        <v>45855</v>
      </c>
      <c r="D675" s="32" t="s">
        <v>47</v>
      </c>
      <c r="E675" s="32" t="s">
        <v>60</v>
      </c>
      <c r="F675" s="34">
        <v>57</v>
      </c>
      <c r="G675" s="35"/>
      <c r="H675" s="37" cm="1">
        <f t="array" ref="H675">IFERROR(SUMPRODUCT(Tracking[Amount], --(Tracking[Date]&lt;=Tracking[[#This Row],[Date]]), (Tracking[Type]&lt;&gt;"Income") * (-1) + (Tracking[Type]="Income")), "-")</f>
        <v>5298</v>
      </c>
      <c r="I675" s="95">
        <f>IF(AND(Tracking[[#This Row],[Type]]="Income", shift_late_income_status="Active", DAY(Tracking[[#This Row],[Date]])&gt;=shift_late_income_starting_day),
      DATE(YEAR(Tracking[[#This Row],[Date]]), MONTH(Tracking[[#This Row],[Date]])+1, 1),
      Tracking[[#This Row],[Date]])</f>
        <v>45855</v>
      </c>
    </row>
    <row r="676" spans="3:9" hidden="1" outlineLevel="1" x14ac:dyDescent="0.2">
      <c r="C676" s="94">
        <v>45855</v>
      </c>
      <c r="D676" s="32" t="s">
        <v>47</v>
      </c>
      <c r="E676" s="32" t="s">
        <v>54</v>
      </c>
      <c r="F676" s="34">
        <v>141</v>
      </c>
      <c r="G676" s="35" t="s">
        <v>506</v>
      </c>
      <c r="H676" s="37" cm="1">
        <f t="array" ref="H676">IFERROR(SUMPRODUCT(Tracking[Amount], --(Tracking[Date]&lt;=Tracking[[#This Row],[Date]]), (Tracking[Type]&lt;&gt;"Income") * (-1) + (Tracking[Type]="Income")), "-")</f>
        <v>5298</v>
      </c>
      <c r="I676" s="95">
        <f>IF(AND(Tracking[[#This Row],[Type]]="Income", shift_late_income_status="Active", DAY(Tracking[[#This Row],[Date]])&gt;=shift_late_income_starting_day),
      DATE(YEAR(Tracking[[#This Row],[Date]]), MONTH(Tracking[[#This Row],[Date]])+1, 1),
      Tracking[[#This Row],[Date]])</f>
        <v>45855</v>
      </c>
    </row>
    <row r="677" spans="3:9" hidden="1" outlineLevel="1" x14ac:dyDescent="0.2">
      <c r="C677" s="94">
        <v>45855</v>
      </c>
      <c r="D677" s="32" t="s">
        <v>47</v>
      </c>
      <c r="E677" s="32" t="s">
        <v>49</v>
      </c>
      <c r="F677" s="34">
        <v>42</v>
      </c>
      <c r="G677" s="35" t="s">
        <v>507</v>
      </c>
      <c r="H677" s="37" cm="1">
        <f t="array" ref="H677">IFERROR(SUMPRODUCT(Tracking[Amount], --(Tracking[Date]&lt;=Tracking[[#This Row],[Date]]), (Tracking[Type]&lt;&gt;"Income") * (-1) + (Tracking[Type]="Income")), "-")</f>
        <v>5298</v>
      </c>
      <c r="I677" s="95">
        <f>IF(AND(Tracking[[#This Row],[Type]]="Income", shift_late_income_status="Active", DAY(Tracking[[#This Row],[Date]])&gt;=shift_late_income_starting_day),
      DATE(YEAR(Tracking[[#This Row],[Date]]), MONTH(Tracking[[#This Row],[Date]])+1, 1),
      Tracking[[#This Row],[Date]])</f>
        <v>45855</v>
      </c>
    </row>
    <row r="678" spans="3:9" hidden="1" outlineLevel="1" x14ac:dyDescent="0.2">
      <c r="C678" s="94">
        <v>45856</v>
      </c>
      <c r="D678" s="32" t="s">
        <v>47</v>
      </c>
      <c r="E678" s="32" t="s">
        <v>50</v>
      </c>
      <c r="F678" s="34">
        <v>35</v>
      </c>
      <c r="G678" s="35"/>
      <c r="H678" s="37" cm="1">
        <f t="array" ref="H678">IFERROR(SUMPRODUCT(Tracking[Amount], --(Tracking[Date]&lt;=Tracking[[#This Row],[Date]]), (Tracking[Type]&lt;&gt;"Income") * (-1) + (Tracking[Type]="Income")), "-")</f>
        <v>5232</v>
      </c>
      <c r="I678" s="95">
        <f>IF(AND(Tracking[[#This Row],[Type]]="Income", shift_late_income_status="Active", DAY(Tracking[[#This Row],[Date]])&gt;=shift_late_income_starting_day),
      DATE(YEAR(Tracking[[#This Row],[Date]]), MONTH(Tracking[[#This Row],[Date]])+1, 1),
      Tracking[[#This Row],[Date]])</f>
        <v>45856</v>
      </c>
    </row>
    <row r="679" spans="3:9" hidden="1" outlineLevel="1" x14ac:dyDescent="0.2">
      <c r="C679" s="94">
        <v>45856</v>
      </c>
      <c r="D679" s="32" t="s">
        <v>47</v>
      </c>
      <c r="E679" s="32" t="s">
        <v>56</v>
      </c>
      <c r="F679" s="34">
        <v>25</v>
      </c>
      <c r="G679" s="35" t="s">
        <v>373</v>
      </c>
      <c r="H679" s="37" cm="1">
        <f t="array" ref="H679">IFERROR(SUMPRODUCT(Tracking[Amount], --(Tracking[Date]&lt;=Tracking[[#This Row],[Date]]), (Tracking[Type]&lt;&gt;"Income") * (-1) + (Tracking[Type]="Income")), "-")</f>
        <v>5232</v>
      </c>
      <c r="I679" s="95">
        <f>IF(AND(Tracking[[#This Row],[Type]]="Income", shift_late_income_status="Active", DAY(Tracking[[#This Row],[Date]])&gt;=shift_late_income_starting_day),
      DATE(YEAR(Tracking[[#This Row],[Date]]), MONTH(Tracking[[#This Row],[Date]])+1, 1),
      Tracking[[#This Row],[Date]])</f>
        <v>45856</v>
      </c>
    </row>
    <row r="680" spans="3:9" hidden="1" outlineLevel="1" x14ac:dyDescent="0.2">
      <c r="C680" s="94">
        <v>45856</v>
      </c>
      <c r="D680" s="32" t="s">
        <v>47</v>
      </c>
      <c r="E680" s="32" t="s">
        <v>48</v>
      </c>
      <c r="F680" s="34">
        <v>6</v>
      </c>
      <c r="G680" s="35"/>
      <c r="H680" s="37" cm="1">
        <f t="array" ref="H680">IFERROR(SUMPRODUCT(Tracking[Amount], --(Tracking[Date]&lt;=Tracking[[#This Row],[Date]]), (Tracking[Type]&lt;&gt;"Income") * (-1) + (Tracking[Type]="Income")), "-")</f>
        <v>5232</v>
      </c>
      <c r="I680" s="95">
        <f>IF(AND(Tracking[[#This Row],[Type]]="Income", shift_late_income_status="Active", DAY(Tracking[[#This Row],[Date]])&gt;=shift_late_income_starting_day),
      DATE(YEAR(Tracking[[#This Row],[Date]]), MONTH(Tracking[[#This Row],[Date]])+1, 1),
      Tracking[[#This Row],[Date]])</f>
        <v>45856</v>
      </c>
    </row>
    <row r="681" spans="3:9" hidden="1" outlineLevel="1" x14ac:dyDescent="0.2">
      <c r="C681" s="94">
        <v>45857</v>
      </c>
      <c r="D681" s="32" t="s">
        <v>47</v>
      </c>
      <c r="E681" s="32" t="s">
        <v>48</v>
      </c>
      <c r="F681" s="34">
        <v>24</v>
      </c>
      <c r="G681" s="35"/>
      <c r="H681" s="37" cm="1">
        <f t="array" ref="H681">IFERROR(SUMPRODUCT(Tracking[Amount], --(Tracking[Date]&lt;=Tracking[[#This Row],[Date]]), (Tracking[Type]&lt;&gt;"Income") * (-1) + (Tracking[Type]="Income")), "-")</f>
        <v>5192</v>
      </c>
      <c r="I681" s="95">
        <f>IF(AND(Tracking[[#This Row],[Type]]="Income", shift_late_income_status="Active", DAY(Tracking[[#This Row],[Date]])&gt;=shift_late_income_starting_day),
      DATE(YEAR(Tracking[[#This Row],[Date]]), MONTH(Tracking[[#This Row],[Date]])+1, 1),
      Tracking[[#This Row],[Date]])</f>
        <v>45857</v>
      </c>
    </row>
    <row r="682" spans="3:9" hidden="1" outlineLevel="1" x14ac:dyDescent="0.2">
      <c r="C682" s="94">
        <v>45857</v>
      </c>
      <c r="D682" s="32" t="s">
        <v>47</v>
      </c>
      <c r="E682" s="32" t="s">
        <v>50</v>
      </c>
      <c r="F682" s="34">
        <v>16</v>
      </c>
      <c r="G682" s="35"/>
      <c r="H682" s="37" cm="1">
        <f t="array" ref="H682">IFERROR(SUMPRODUCT(Tracking[Amount], --(Tracking[Date]&lt;=Tracking[[#This Row],[Date]]), (Tracking[Type]&lt;&gt;"Income") * (-1) + (Tracking[Type]="Income")), "-")</f>
        <v>5192</v>
      </c>
      <c r="I682" s="95">
        <f>IF(AND(Tracking[[#This Row],[Type]]="Income", shift_late_income_status="Active", DAY(Tracking[[#This Row],[Date]])&gt;=shift_late_income_starting_day),
      DATE(YEAR(Tracking[[#This Row],[Date]]), MONTH(Tracking[[#This Row],[Date]])+1, 1),
      Tracking[[#This Row],[Date]])</f>
        <v>45857</v>
      </c>
    </row>
    <row r="683" spans="3:9" hidden="1" outlineLevel="1" x14ac:dyDescent="0.2">
      <c r="C683" s="94">
        <v>45858</v>
      </c>
      <c r="D683" s="32" t="s">
        <v>47</v>
      </c>
      <c r="E683" s="32" t="s">
        <v>49</v>
      </c>
      <c r="F683" s="34">
        <v>31</v>
      </c>
      <c r="G683" s="35" t="s">
        <v>508</v>
      </c>
      <c r="H683" s="37" cm="1">
        <f t="array" ref="H683">IFERROR(SUMPRODUCT(Tracking[Amount], --(Tracking[Date]&lt;=Tracking[[#This Row],[Date]]), (Tracking[Type]&lt;&gt;"Income") * (-1) + (Tracking[Type]="Income")), "-")</f>
        <v>5023</v>
      </c>
      <c r="I683" s="95">
        <f>IF(AND(Tracking[[#This Row],[Type]]="Income", shift_late_income_status="Active", DAY(Tracking[[#This Row],[Date]])&gt;=shift_late_income_starting_day),
      DATE(YEAR(Tracking[[#This Row],[Date]]), MONTH(Tracking[[#This Row],[Date]])+1, 1),
      Tracking[[#This Row],[Date]])</f>
        <v>45858</v>
      </c>
    </row>
    <row r="684" spans="3:9" hidden="1" outlineLevel="1" x14ac:dyDescent="0.2">
      <c r="C684" s="94">
        <v>45858</v>
      </c>
      <c r="D684" s="32" t="s">
        <v>47</v>
      </c>
      <c r="E684" s="32" t="s">
        <v>52</v>
      </c>
      <c r="F684" s="34">
        <v>24</v>
      </c>
      <c r="G684" s="35" t="s">
        <v>509</v>
      </c>
      <c r="H684" s="37" cm="1">
        <f t="array" ref="H684">IFERROR(SUMPRODUCT(Tracking[Amount], --(Tracking[Date]&lt;=Tracking[[#This Row],[Date]]), (Tracking[Type]&lt;&gt;"Income") * (-1) + (Tracking[Type]="Income")), "-")</f>
        <v>5023</v>
      </c>
      <c r="I684" s="95">
        <f>IF(AND(Tracking[[#This Row],[Type]]="Income", shift_late_income_status="Active", DAY(Tracking[[#This Row],[Date]])&gt;=shift_late_income_starting_day),
      DATE(YEAR(Tracking[[#This Row],[Date]]), MONTH(Tracking[[#This Row],[Date]])+1, 1),
      Tracking[[#This Row],[Date]])</f>
        <v>45858</v>
      </c>
    </row>
    <row r="685" spans="3:9" hidden="1" outlineLevel="1" x14ac:dyDescent="0.2">
      <c r="C685" s="94">
        <v>45858</v>
      </c>
      <c r="D685" s="32" t="s">
        <v>47</v>
      </c>
      <c r="E685" s="32" t="s">
        <v>50</v>
      </c>
      <c r="F685" s="34">
        <v>25</v>
      </c>
      <c r="G685" s="35" t="s">
        <v>510</v>
      </c>
      <c r="H685" s="37" cm="1">
        <f t="array" ref="H685">IFERROR(SUMPRODUCT(Tracking[Amount], --(Tracking[Date]&lt;=Tracking[[#This Row],[Date]]), (Tracking[Type]&lt;&gt;"Income") * (-1) + (Tracking[Type]="Income")), "-")</f>
        <v>5023</v>
      </c>
      <c r="I685" s="95">
        <f>IF(AND(Tracking[[#This Row],[Type]]="Income", shift_late_income_status="Active", DAY(Tracking[[#This Row],[Date]])&gt;=shift_late_income_starting_day),
      DATE(YEAR(Tracking[[#This Row],[Date]]), MONTH(Tracking[[#This Row],[Date]])+1, 1),
      Tracking[[#This Row],[Date]])</f>
        <v>45858</v>
      </c>
    </row>
    <row r="686" spans="3:9" hidden="1" outlineLevel="1" x14ac:dyDescent="0.2">
      <c r="C686" s="94">
        <v>45858</v>
      </c>
      <c r="D686" s="32" t="s">
        <v>47</v>
      </c>
      <c r="E686" s="32" t="s">
        <v>235</v>
      </c>
      <c r="F686" s="34">
        <v>13</v>
      </c>
      <c r="G686" s="35" t="s">
        <v>511</v>
      </c>
      <c r="H686" s="37" cm="1">
        <f t="array" ref="H686">IFERROR(SUMPRODUCT(Tracking[Amount], --(Tracking[Date]&lt;=Tracking[[#This Row],[Date]]), (Tracking[Type]&lt;&gt;"Income") * (-1) + (Tracking[Type]="Income")), "-")</f>
        <v>5023</v>
      </c>
      <c r="I686" s="95">
        <f>IF(AND(Tracking[[#This Row],[Type]]="Income", shift_late_income_status="Active", DAY(Tracking[[#This Row],[Date]])&gt;=shift_late_income_starting_day),
      DATE(YEAR(Tracking[[#This Row],[Date]]), MONTH(Tracking[[#This Row],[Date]])+1, 1),
      Tracking[[#This Row],[Date]])</f>
        <v>45858</v>
      </c>
    </row>
    <row r="687" spans="3:9" hidden="1" outlineLevel="1" x14ac:dyDescent="0.2">
      <c r="C687" s="94">
        <v>45858</v>
      </c>
      <c r="D687" s="32" t="s">
        <v>47</v>
      </c>
      <c r="E687" s="32" t="s">
        <v>51</v>
      </c>
      <c r="F687" s="34">
        <v>27</v>
      </c>
      <c r="G687" s="35" t="s">
        <v>462</v>
      </c>
      <c r="H687" s="37" cm="1">
        <f t="array" ref="H687">IFERROR(SUMPRODUCT(Tracking[Amount], --(Tracking[Date]&lt;=Tracking[[#This Row],[Date]]), (Tracking[Type]&lt;&gt;"Income") * (-1) + (Tracking[Type]="Income")), "-")</f>
        <v>5023</v>
      </c>
      <c r="I687" s="95">
        <f>IF(AND(Tracking[[#This Row],[Type]]="Income", shift_late_income_status="Active", DAY(Tracking[[#This Row],[Date]])&gt;=shift_late_income_starting_day),
      DATE(YEAR(Tracking[[#This Row],[Date]]), MONTH(Tracking[[#This Row],[Date]])+1, 1),
      Tracking[[#This Row],[Date]])</f>
        <v>45858</v>
      </c>
    </row>
    <row r="688" spans="3:9" hidden="1" outlineLevel="1" x14ac:dyDescent="0.2">
      <c r="C688" s="94">
        <v>45858</v>
      </c>
      <c r="D688" s="32" t="s">
        <v>47</v>
      </c>
      <c r="E688" s="32" t="s">
        <v>49</v>
      </c>
      <c r="F688" s="34">
        <v>49</v>
      </c>
      <c r="G688" s="35" t="s">
        <v>475</v>
      </c>
      <c r="H688" s="37" cm="1">
        <f t="array" ref="H688">IFERROR(SUMPRODUCT(Tracking[Amount], --(Tracking[Date]&lt;=Tracking[[#This Row],[Date]]), (Tracking[Type]&lt;&gt;"Income") * (-1) + (Tracking[Type]="Income")), "-")</f>
        <v>5023</v>
      </c>
      <c r="I688" s="95">
        <f>IF(AND(Tracking[[#This Row],[Type]]="Income", shift_late_income_status="Active", DAY(Tracking[[#This Row],[Date]])&gt;=shift_late_income_starting_day),
      DATE(YEAR(Tracking[[#This Row],[Date]]), MONTH(Tracking[[#This Row],[Date]])+1, 1),
      Tracking[[#This Row],[Date]])</f>
        <v>45858</v>
      </c>
    </row>
    <row r="689" spans="3:9" hidden="1" outlineLevel="1" x14ac:dyDescent="0.2">
      <c r="C689" s="94">
        <v>45859</v>
      </c>
      <c r="D689" s="32" t="s">
        <v>47</v>
      </c>
      <c r="E689" s="32" t="s">
        <v>48</v>
      </c>
      <c r="F689" s="34">
        <v>7</v>
      </c>
      <c r="G689" s="35"/>
      <c r="H689" s="37" cm="1">
        <f t="array" ref="H689">IFERROR(SUMPRODUCT(Tracking[Amount], --(Tracking[Date]&lt;=Tracking[[#This Row],[Date]]), (Tracking[Type]&lt;&gt;"Income") * (-1) + (Tracking[Type]="Income")), "-")</f>
        <v>4797</v>
      </c>
      <c r="I689" s="95">
        <f>IF(AND(Tracking[[#This Row],[Type]]="Income", shift_late_income_status="Active", DAY(Tracking[[#This Row],[Date]])&gt;=shift_late_income_starting_day),
      DATE(YEAR(Tracking[[#This Row],[Date]]), MONTH(Tracking[[#This Row],[Date]])+1, 1),
      Tracking[[#This Row],[Date]])</f>
        <v>45859</v>
      </c>
    </row>
    <row r="690" spans="3:9" hidden="1" outlineLevel="1" x14ac:dyDescent="0.2">
      <c r="C690" s="94">
        <v>45859</v>
      </c>
      <c r="D690" s="32" t="s">
        <v>47</v>
      </c>
      <c r="E690" s="32" t="s">
        <v>60</v>
      </c>
      <c r="F690" s="34">
        <v>1</v>
      </c>
      <c r="G690" s="35" t="s">
        <v>232</v>
      </c>
      <c r="H690" s="37" cm="1">
        <f t="array" ref="H690">IFERROR(SUMPRODUCT(Tracking[Amount], --(Tracking[Date]&lt;=Tracking[[#This Row],[Date]]), (Tracking[Type]&lt;&gt;"Income") * (-1) + (Tracking[Type]="Income")), "-")</f>
        <v>4797</v>
      </c>
      <c r="I690" s="95">
        <f>IF(AND(Tracking[[#This Row],[Type]]="Income", shift_late_income_status="Active", DAY(Tracking[[#This Row],[Date]])&gt;=shift_late_income_starting_day),
      DATE(YEAR(Tracking[[#This Row],[Date]]), MONTH(Tracking[[#This Row],[Date]])+1, 1),
      Tracking[[#This Row],[Date]])</f>
        <v>45859</v>
      </c>
    </row>
    <row r="691" spans="3:9" hidden="1" outlineLevel="1" x14ac:dyDescent="0.2">
      <c r="C691" s="94">
        <v>45859</v>
      </c>
      <c r="D691" s="32" t="s">
        <v>47</v>
      </c>
      <c r="E691" s="32" t="s">
        <v>58</v>
      </c>
      <c r="F691" s="34">
        <v>125</v>
      </c>
      <c r="G691" s="35" t="s">
        <v>422</v>
      </c>
      <c r="H691" s="37" cm="1">
        <f t="array" ref="H691">IFERROR(SUMPRODUCT(Tracking[Amount], --(Tracking[Date]&lt;=Tracking[[#This Row],[Date]]), (Tracking[Type]&lt;&gt;"Income") * (-1) + (Tracking[Type]="Income")), "-")</f>
        <v>4797</v>
      </c>
      <c r="I691" s="95">
        <f>IF(AND(Tracking[[#This Row],[Type]]="Income", shift_late_income_status="Active", DAY(Tracking[[#This Row],[Date]])&gt;=shift_late_income_starting_day),
      DATE(YEAR(Tracking[[#This Row],[Date]]), MONTH(Tracking[[#This Row],[Date]])+1, 1),
      Tracking[[#This Row],[Date]])</f>
        <v>45859</v>
      </c>
    </row>
    <row r="692" spans="3:9" hidden="1" outlineLevel="1" x14ac:dyDescent="0.2">
      <c r="C692" s="94">
        <v>45850</v>
      </c>
      <c r="D692" s="32" t="s">
        <v>47</v>
      </c>
      <c r="E692" s="32" t="s">
        <v>44</v>
      </c>
      <c r="F692" s="34">
        <v>45</v>
      </c>
      <c r="G692" s="35" t="s">
        <v>512</v>
      </c>
      <c r="H692" s="37" cm="1">
        <f t="array" ref="H692">IFERROR(SUMPRODUCT(Tracking[Amount], --(Tracking[Date]&lt;=Tracking[[#This Row],[Date]]), (Tracking[Type]&lt;&gt;"Income") * (-1) + (Tracking[Type]="Income")), "-")</f>
        <v>6159</v>
      </c>
      <c r="I692" s="95">
        <f>IF(AND(Tracking[[#This Row],[Type]]="Income", shift_late_income_status="Active", DAY(Tracking[[#This Row],[Date]])&gt;=shift_late_income_starting_day),
      DATE(YEAR(Tracking[[#This Row],[Date]]), MONTH(Tracking[[#This Row],[Date]])+1, 1),
      Tracking[[#This Row],[Date]])</f>
        <v>45850</v>
      </c>
    </row>
    <row r="693" spans="3:9" hidden="1" outlineLevel="1" x14ac:dyDescent="0.2">
      <c r="C693" s="94">
        <v>45859</v>
      </c>
      <c r="D693" s="32" t="s">
        <v>47</v>
      </c>
      <c r="E693" s="32" t="s">
        <v>52</v>
      </c>
      <c r="F693" s="34">
        <v>55</v>
      </c>
      <c r="G693" s="35" t="s">
        <v>513</v>
      </c>
      <c r="H693" s="37" cm="1">
        <f t="array" ref="H693">IFERROR(SUMPRODUCT(Tracking[Amount], --(Tracking[Date]&lt;=Tracking[[#This Row],[Date]]), (Tracking[Type]&lt;&gt;"Income") * (-1) + (Tracking[Type]="Income")), "-")</f>
        <v>4797</v>
      </c>
      <c r="I693" s="95">
        <f>IF(AND(Tracking[[#This Row],[Type]]="Income", shift_late_income_status="Active", DAY(Tracking[[#This Row],[Date]])&gt;=shift_late_income_starting_day),
      DATE(YEAR(Tracking[[#This Row],[Date]]), MONTH(Tracking[[#This Row],[Date]])+1, 1),
      Tracking[[#This Row],[Date]])</f>
        <v>45859</v>
      </c>
    </row>
    <row r="694" spans="3:9" hidden="1" outlineLevel="1" x14ac:dyDescent="0.2">
      <c r="C694" s="94">
        <v>45859</v>
      </c>
      <c r="D694" s="32" t="s">
        <v>47</v>
      </c>
      <c r="E694" s="32" t="s">
        <v>60</v>
      </c>
      <c r="F694" s="34">
        <v>9</v>
      </c>
      <c r="G694" s="35" t="s">
        <v>338</v>
      </c>
      <c r="H694" s="37" cm="1">
        <f t="array" ref="H694">IFERROR(SUMPRODUCT(Tracking[Amount], --(Tracking[Date]&lt;=Tracking[[#This Row],[Date]]), (Tracking[Type]&lt;&gt;"Income") * (-1) + (Tracking[Type]="Income")), "-")</f>
        <v>4797</v>
      </c>
      <c r="I694" s="95">
        <f>IF(AND(Tracking[[#This Row],[Type]]="Income", shift_late_income_status="Active", DAY(Tracking[[#This Row],[Date]])&gt;=shift_late_income_starting_day),
      DATE(YEAR(Tracking[[#This Row],[Date]]), MONTH(Tracking[[#This Row],[Date]])+1, 1),
      Tracking[[#This Row],[Date]])</f>
        <v>45859</v>
      </c>
    </row>
    <row r="695" spans="3:9" hidden="1" outlineLevel="1" x14ac:dyDescent="0.2">
      <c r="C695" s="94">
        <v>45859</v>
      </c>
      <c r="D695" s="32" t="s">
        <v>47</v>
      </c>
      <c r="E695" s="32" t="s">
        <v>48</v>
      </c>
      <c r="F695" s="34">
        <v>29</v>
      </c>
      <c r="G695" s="35"/>
      <c r="H695" s="37" cm="1">
        <f t="array" ref="H695">IFERROR(SUMPRODUCT(Tracking[Amount], --(Tracking[Date]&lt;=Tracking[[#This Row],[Date]]), (Tracking[Type]&lt;&gt;"Income") * (-1) + (Tracking[Type]="Income")), "-")</f>
        <v>4797</v>
      </c>
      <c r="I695" s="95">
        <f>IF(AND(Tracking[[#This Row],[Type]]="Income", shift_late_income_status="Active", DAY(Tracking[[#This Row],[Date]])&gt;=shift_late_income_starting_day),
      DATE(YEAR(Tracking[[#This Row],[Date]]), MONTH(Tracking[[#This Row],[Date]])+1, 1),
      Tracking[[#This Row],[Date]])</f>
        <v>45859</v>
      </c>
    </row>
    <row r="696" spans="3:9" hidden="1" outlineLevel="1" x14ac:dyDescent="0.2">
      <c r="C696" s="94">
        <v>45860</v>
      </c>
      <c r="D696" s="32" t="s">
        <v>47</v>
      </c>
      <c r="E696" s="32" t="s">
        <v>48</v>
      </c>
      <c r="F696" s="34">
        <v>2</v>
      </c>
      <c r="G696" s="35"/>
      <c r="H696" s="37" cm="1">
        <f t="array" ref="H696">IFERROR(SUMPRODUCT(Tracking[Amount], --(Tracking[Date]&lt;=Tracking[[#This Row],[Date]]), (Tracking[Type]&lt;&gt;"Income") * (-1) + (Tracking[Type]="Income")), "-")</f>
        <v>4564</v>
      </c>
      <c r="I696" s="95">
        <f>IF(AND(Tracking[[#This Row],[Type]]="Income", shift_late_income_status="Active", DAY(Tracking[[#This Row],[Date]])&gt;=shift_late_income_starting_day),
      DATE(YEAR(Tracking[[#This Row],[Date]]), MONTH(Tracking[[#This Row],[Date]])+1, 1),
      Tracking[[#This Row],[Date]])</f>
        <v>45860</v>
      </c>
    </row>
    <row r="697" spans="3:9" hidden="1" outlineLevel="1" x14ac:dyDescent="0.2">
      <c r="C697" s="94">
        <v>45860</v>
      </c>
      <c r="D697" s="32" t="s">
        <v>47</v>
      </c>
      <c r="E697" s="32" t="s">
        <v>44</v>
      </c>
      <c r="F697" s="34">
        <v>9</v>
      </c>
      <c r="G697" s="35" t="s">
        <v>514</v>
      </c>
      <c r="H697" s="37" cm="1">
        <f t="array" ref="H697">IFERROR(SUMPRODUCT(Tracking[Amount], --(Tracking[Date]&lt;=Tracking[[#This Row],[Date]]), (Tracking[Type]&lt;&gt;"Income") * (-1) + (Tracking[Type]="Income")), "-")</f>
        <v>4564</v>
      </c>
      <c r="I697" s="95">
        <f>IF(AND(Tracking[[#This Row],[Type]]="Income", shift_late_income_status="Active", DAY(Tracking[[#This Row],[Date]])&gt;=shift_late_income_starting_day),
      DATE(YEAR(Tracking[[#This Row],[Date]]), MONTH(Tracking[[#This Row],[Date]])+1, 1),
      Tracking[[#This Row],[Date]])</f>
        <v>45860</v>
      </c>
    </row>
    <row r="698" spans="3:9" hidden="1" outlineLevel="1" x14ac:dyDescent="0.2">
      <c r="C698" s="94">
        <v>45860</v>
      </c>
      <c r="D698" s="32" t="s">
        <v>47</v>
      </c>
      <c r="E698" s="32" t="s">
        <v>52</v>
      </c>
      <c r="F698" s="34">
        <v>70</v>
      </c>
      <c r="G698" s="35" t="s">
        <v>415</v>
      </c>
      <c r="H698" s="37" cm="1">
        <f t="array" ref="H698">IFERROR(SUMPRODUCT(Tracking[Amount], --(Tracking[Date]&lt;=Tracking[[#This Row],[Date]]), (Tracking[Type]&lt;&gt;"Income") * (-1) + (Tracking[Type]="Income")), "-")</f>
        <v>4564</v>
      </c>
      <c r="I698" s="95">
        <f>IF(AND(Tracking[[#This Row],[Type]]="Income", shift_late_income_status="Active", DAY(Tracking[[#This Row],[Date]])&gt;=shift_late_income_starting_day),
      DATE(YEAR(Tracking[[#This Row],[Date]]), MONTH(Tracking[[#This Row],[Date]])+1, 1),
      Tracking[[#This Row],[Date]])</f>
        <v>45860</v>
      </c>
    </row>
    <row r="699" spans="3:9" hidden="1" outlineLevel="1" x14ac:dyDescent="0.2">
      <c r="C699" s="94">
        <v>45860</v>
      </c>
      <c r="D699" s="32" t="s">
        <v>47</v>
      </c>
      <c r="E699" s="32" t="s">
        <v>60</v>
      </c>
      <c r="F699" s="34">
        <v>7</v>
      </c>
      <c r="G699" s="35" t="s">
        <v>338</v>
      </c>
      <c r="H699" s="37" cm="1">
        <f t="array" ref="H699">IFERROR(SUMPRODUCT(Tracking[Amount], --(Tracking[Date]&lt;=Tracking[[#This Row],[Date]]), (Tracking[Type]&lt;&gt;"Income") * (-1) + (Tracking[Type]="Income")), "-")</f>
        <v>4564</v>
      </c>
      <c r="I699" s="95">
        <f>IF(AND(Tracking[[#This Row],[Type]]="Income", shift_late_income_status="Active", DAY(Tracking[[#This Row],[Date]])&gt;=shift_late_income_starting_day),
      DATE(YEAR(Tracking[[#This Row],[Date]]), MONTH(Tracking[[#This Row],[Date]])+1, 1),
      Tracking[[#This Row],[Date]])</f>
        <v>45860</v>
      </c>
    </row>
    <row r="700" spans="3:9" hidden="1" outlineLevel="1" x14ac:dyDescent="0.2">
      <c r="C700" s="94">
        <v>45860</v>
      </c>
      <c r="D700" s="32" t="s">
        <v>47</v>
      </c>
      <c r="E700" s="32" t="s">
        <v>44</v>
      </c>
      <c r="F700" s="34">
        <v>145</v>
      </c>
      <c r="G700" s="35" t="s">
        <v>515</v>
      </c>
      <c r="H700" s="37" cm="1">
        <f t="array" ref="H700">IFERROR(SUMPRODUCT(Tracking[Amount], --(Tracking[Date]&lt;=Tracking[[#This Row],[Date]]), (Tracking[Type]&lt;&gt;"Income") * (-1) + (Tracking[Type]="Income")), "-")</f>
        <v>4564</v>
      </c>
      <c r="I700" s="95">
        <f>IF(AND(Tracking[[#This Row],[Type]]="Income", shift_late_income_status="Active", DAY(Tracking[[#This Row],[Date]])&gt;=shift_late_income_starting_day),
      DATE(YEAR(Tracking[[#This Row],[Date]]), MONTH(Tracking[[#This Row],[Date]])+1, 1),
      Tracking[[#This Row],[Date]])</f>
        <v>45860</v>
      </c>
    </row>
    <row r="701" spans="3:9" hidden="1" outlineLevel="1" x14ac:dyDescent="0.2">
      <c r="C701" s="94">
        <v>45861</v>
      </c>
      <c r="D701" s="32" t="s">
        <v>47</v>
      </c>
      <c r="E701" s="32" t="s">
        <v>52</v>
      </c>
      <c r="F701" s="34">
        <v>10</v>
      </c>
      <c r="G701" s="35" t="s">
        <v>358</v>
      </c>
      <c r="H701" s="37" cm="1">
        <f t="array" ref="H701">IFERROR(SUMPRODUCT(Tracking[Amount], --(Tracking[Date]&lt;=Tracking[[#This Row],[Date]]), (Tracking[Type]&lt;&gt;"Income") * (-1) + (Tracking[Type]="Income")), "-")</f>
        <v>4554</v>
      </c>
      <c r="I701" s="95">
        <f>IF(AND(Tracking[[#This Row],[Type]]="Income", shift_late_income_status="Active", DAY(Tracking[[#This Row],[Date]])&gt;=shift_late_income_starting_day),
      DATE(YEAR(Tracking[[#This Row],[Date]]), MONTH(Tracking[[#This Row],[Date]])+1, 1),
      Tracking[[#This Row],[Date]])</f>
        <v>45861</v>
      </c>
    </row>
    <row r="702" spans="3:9" hidden="1" outlineLevel="1" x14ac:dyDescent="0.2">
      <c r="C702" s="94">
        <v>45862</v>
      </c>
      <c r="D702" s="32" t="s">
        <v>47</v>
      </c>
      <c r="E702" s="32" t="s">
        <v>60</v>
      </c>
      <c r="F702" s="34">
        <v>11</v>
      </c>
      <c r="G702" s="35" t="s">
        <v>338</v>
      </c>
      <c r="H702" s="37" cm="1">
        <f t="array" ref="H702">IFERROR(SUMPRODUCT(Tracking[Amount], --(Tracking[Date]&lt;=Tracking[[#This Row],[Date]]), (Tracking[Type]&lt;&gt;"Income") * (-1) + (Tracking[Type]="Income")), "-")</f>
        <v>4444</v>
      </c>
      <c r="I702" s="95">
        <f>IF(AND(Tracking[[#This Row],[Type]]="Income", shift_late_income_status="Active", DAY(Tracking[[#This Row],[Date]])&gt;=shift_late_income_starting_day),
      DATE(YEAR(Tracking[[#This Row],[Date]]), MONTH(Tracking[[#This Row],[Date]])+1, 1),
      Tracking[[#This Row],[Date]])</f>
        <v>45862</v>
      </c>
    </row>
    <row r="703" spans="3:9" hidden="1" outlineLevel="1" x14ac:dyDescent="0.2">
      <c r="C703" s="94">
        <v>45862</v>
      </c>
      <c r="D703" s="32" t="s">
        <v>47</v>
      </c>
      <c r="E703" s="32" t="s">
        <v>58</v>
      </c>
      <c r="F703" s="34">
        <v>83</v>
      </c>
      <c r="G703" s="35" t="s">
        <v>435</v>
      </c>
      <c r="H703" s="37" cm="1">
        <f t="array" ref="H703">IFERROR(SUMPRODUCT(Tracking[Amount], --(Tracking[Date]&lt;=Tracking[[#This Row],[Date]]), (Tracking[Type]&lt;&gt;"Income") * (-1) + (Tracking[Type]="Income")), "-")</f>
        <v>4444</v>
      </c>
      <c r="I703" s="95">
        <f>IF(AND(Tracking[[#This Row],[Type]]="Income", shift_late_income_status="Active", DAY(Tracking[[#This Row],[Date]])&gt;=shift_late_income_starting_day),
      DATE(YEAR(Tracking[[#This Row],[Date]]), MONTH(Tracking[[#This Row],[Date]])+1, 1),
      Tracking[[#This Row],[Date]])</f>
        <v>45862</v>
      </c>
    </row>
    <row r="704" spans="3:9" hidden="1" outlineLevel="1" x14ac:dyDescent="0.2">
      <c r="C704" s="94">
        <v>45863</v>
      </c>
      <c r="D704" s="32" t="s">
        <v>47</v>
      </c>
      <c r="E704" s="32" t="s">
        <v>49</v>
      </c>
      <c r="F704" s="34">
        <v>85</v>
      </c>
      <c r="G704" s="35" t="s">
        <v>516</v>
      </c>
      <c r="H704" s="37" cm="1">
        <f t="array" ref="H704">IFERROR(SUMPRODUCT(Tracking[Amount], --(Tracking[Date]&lt;=Tracking[[#This Row],[Date]]), (Tracking[Type]&lt;&gt;"Income") * (-1) + (Tracking[Type]="Income")), "-")</f>
        <v>4230</v>
      </c>
      <c r="I704" s="95">
        <f>IF(AND(Tracking[[#This Row],[Type]]="Income", shift_late_income_status="Active", DAY(Tracking[[#This Row],[Date]])&gt;=shift_late_income_starting_day),
      DATE(YEAR(Tracking[[#This Row],[Date]]), MONTH(Tracking[[#This Row],[Date]])+1, 1),
      Tracking[[#This Row],[Date]])</f>
        <v>45863</v>
      </c>
    </row>
    <row r="705" spans="3:9" hidden="1" outlineLevel="1" x14ac:dyDescent="0.2">
      <c r="C705" s="94">
        <v>45863</v>
      </c>
      <c r="D705" s="32" t="s">
        <v>47</v>
      </c>
      <c r="E705" s="32" t="s">
        <v>49</v>
      </c>
      <c r="F705" s="34">
        <v>51</v>
      </c>
      <c r="G705" s="35" t="s">
        <v>517</v>
      </c>
      <c r="H705" s="37" cm="1">
        <f t="array" ref="H705">IFERROR(SUMPRODUCT(Tracking[Amount], --(Tracking[Date]&lt;=Tracking[[#This Row],[Date]]), (Tracking[Type]&lt;&gt;"Income") * (-1) + (Tracking[Type]="Income")), "-")</f>
        <v>4230</v>
      </c>
      <c r="I705" s="95">
        <f>IF(AND(Tracking[[#This Row],[Type]]="Income", shift_late_income_status="Active", DAY(Tracking[[#This Row],[Date]])&gt;=shift_late_income_starting_day),
      DATE(YEAR(Tracking[[#This Row],[Date]]), MONTH(Tracking[[#This Row],[Date]])+1, 1),
      Tracking[[#This Row],[Date]])</f>
        <v>45863</v>
      </c>
    </row>
    <row r="706" spans="3:9" hidden="1" outlineLevel="1" x14ac:dyDescent="0.2">
      <c r="C706" s="94">
        <v>45864</v>
      </c>
      <c r="D706" s="32" t="s">
        <v>47</v>
      </c>
      <c r="E706" s="32" t="s">
        <v>59</v>
      </c>
      <c r="F706" s="34">
        <v>16</v>
      </c>
      <c r="G706" s="35" t="s">
        <v>440</v>
      </c>
      <c r="H706" s="37" cm="1">
        <f t="array" ref="H706">IFERROR(SUMPRODUCT(Tracking[Amount], --(Tracking[Date]&lt;=Tracking[[#This Row],[Date]]), (Tracking[Type]&lt;&gt;"Income") * (-1) + (Tracking[Type]="Income")), "-")</f>
        <v>4153</v>
      </c>
      <c r="I706" s="95">
        <f>IF(AND(Tracking[[#This Row],[Type]]="Income", shift_late_income_status="Active", DAY(Tracking[[#This Row],[Date]])&gt;=shift_late_income_starting_day),
      DATE(YEAR(Tracking[[#This Row],[Date]]), MONTH(Tracking[[#This Row],[Date]])+1, 1),
      Tracking[[#This Row],[Date]])</f>
        <v>45864</v>
      </c>
    </row>
    <row r="707" spans="3:9" hidden="1" outlineLevel="1" x14ac:dyDescent="0.2">
      <c r="C707" s="94">
        <v>45864</v>
      </c>
      <c r="D707" s="32" t="s">
        <v>47</v>
      </c>
      <c r="E707" s="32" t="s">
        <v>49</v>
      </c>
      <c r="F707" s="34">
        <v>51</v>
      </c>
      <c r="G707" s="35" t="s">
        <v>494</v>
      </c>
      <c r="H707" s="37" cm="1">
        <f t="array" ref="H707">IFERROR(SUMPRODUCT(Tracking[Amount], --(Tracking[Date]&lt;=Tracking[[#This Row],[Date]]), (Tracking[Type]&lt;&gt;"Income") * (-1) + (Tracking[Type]="Income")), "-")</f>
        <v>4153</v>
      </c>
      <c r="I707" s="95">
        <f>IF(AND(Tracking[[#This Row],[Type]]="Income", shift_late_income_status="Active", DAY(Tracking[[#This Row],[Date]])&gt;=shift_late_income_starting_day),
      DATE(YEAR(Tracking[[#This Row],[Date]]), MONTH(Tracking[[#This Row],[Date]])+1, 1),
      Tracking[[#This Row],[Date]])</f>
        <v>45864</v>
      </c>
    </row>
    <row r="708" spans="3:9" hidden="1" outlineLevel="1" x14ac:dyDescent="0.2">
      <c r="C708" s="94">
        <v>45864</v>
      </c>
      <c r="D708" s="32" t="s">
        <v>47</v>
      </c>
      <c r="E708" s="32" t="s">
        <v>48</v>
      </c>
      <c r="F708" s="34">
        <v>10</v>
      </c>
      <c r="G708" s="35"/>
      <c r="H708" s="37" cm="1">
        <f t="array" ref="H708">IFERROR(SUMPRODUCT(Tracking[Amount], --(Tracking[Date]&lt;=Tracking[[#This Row],[Date]]), (Tracking[Type]&lt;&gt;"Income") * (-1) + (Tracking[Type]="Income")), "-")</f>
        <v>4153</v>
      </c>
      <c r="I708" s="95">
        <f>IF(AND(Tracking[[#This Row],[Type]]="Income", shift_late_income_status="Active", DAY(Tracking[[#This Row],[Date]])&gt;=shift_late_income_starting_day),
      DATE(YEAR(Tracking[[#This Row],[Date]]), MONTH(Tracking[[#This Row],[Date]])+1, 1),
      Tracking[[#This Row],[Date]])</f>
        <v>45864</v>
      </c>
    </row>
    <row r="709" spans="3:9" hidden="1" outlineLevel="1" x14ac:dyDescent="0.2">
      <c r="C709" s="94">
        <v>45865</v>
      </c>
      <c r="D709" s="32" t="s">
        <v>47</v>
      </c>
      <c r="E709" s="32" t="s">
        <v>57</v>
      </c>
      <c r="F709" s="34">
        <v>3215</v>
      </c>
      <c r="G709" s="35"/>
      <c r="H709" s="37" cm="1">
        <f t="array" ref="H709">IFERROR(SUMPRODUCT(Tracking[Amount], --(Tracking[Date]&lt;=Tracking[[#This Row],[Date]]), (Tracking[Type]&lt;&gt;"Income") * (-1) + (Tracking[Type]="Income")), "-")</f>
        <v>684</v>
      </c>
      <c r="I709" s="95">
        <f>IF(AND(Tracking[[#This Row],[Type]]="Income", shift_late_income_status="Active", DAY(Tracking[[#This Row],[Date]])&gt;=shift_late_income_starting_day),
      DATE(YEAR(Tracking[[#This Row],[Date]]), MONTH(Tracking[[#This Row],[Date]])+1, 1),
      Tracking[[#This Row],[Date]])</f>
        <v>45865</v>
      </c>
    </row>
    <row r="710" spans="3:9" hidden="1" outlineLevel="1" x14ac:dyDescent="0.2">
      <c r="C710" s="94">
        <v>45865</v>
      </c>
      <c r="D710" s="32" t="s">
        <v>47</v>
      </c>
      <c r="E710" s="32" t="s">
        <v>48</v>
      </c>
      <c r="F710" s="34">
        <v>16</v>
      </c>
      <c r="G710" s="35"/>
      <c r="H710" s="37" cm="1">
        <f t="array" ref="H710">IFERROR(SUMPRODUCT(Tracking[Amount], --(Tracking[Date]&lt;=Tracking[[#This Row],[Date]]), (Tracking[Type]&lt;&gt;"Income") * (-1) + (Tracking[Type]="Income")), "-")</f>
        <v>684</v>
      </c>
      <c r="I710" s="95">
        <f>IF(AND(Tracking[[#This Row],[Type]]="Income", shift_late_income_status="Active", DAY(Tracking[[#This Row],[Date]])&gt;=shift_late_income_starting_day),
      DATE(YEAR(Tracking[[#This Row],[Date]]), MONTH(Tracking[[#This Row],[Date]])+1, 1),
      Tracking[[#This Row],[Date]])</f>
        <v>45865</v>
      </c>
    </row>
    <row r="711" spans="3:9" hidden="1" outlineLevel="1" x14ac:dyDescent="0.2">
      <c r="C711" s="94">
        <v>45865</v>
      </c>
      <c r="D711" s="32" t="s">
        <v>47</v>
      </c>
      <c r="E711" s="32" t="s">
        <v>48</v>
      </c>
      <c r="F711" s="34">
        <v>75</v>
      </c>
      <c r="G711" s="35" t="s">
        <v>448</v>
      </c>
      <c r="H711" s="37" cm="1">
        <f t="array" ref="H711">IFERROR(SUMPRODUCT(Tracking[Amount], --(Tracking[Date]&lt;=Tracking[[#This Row],[Date]]), (Tracking[Type]&lt;&gt;"Income") * (-1) + (Tracking[Type]="Income")), "-")</f>
        <v>684</v>
      </c>
      <c r="I711" s="95">
        <f>IF(AND(Tracking[[#This Row],[Type]]="Income", shift_late_income_status="Active", DAY(Tracking[[#This Row],[Date]])&gt;=shift_late_income_starting_day),
      DATE(YEAR(Tracking[[#This Row],[Date]]), MONTH(Tracking[[#This Row],[Date]])+1, 1),
      Tracking[[#This Row],[Date]])</f>
        <v>45865</v>
      </c>
    </row>
    <row r="712" spans="3:9" hidden="1" outlineLevel="1" x14ac:dyDescent="0.2">
      <c r="C712" s="94">
        <v>45865</v>
      </c>
      <c r="D712" s="32" t="s">
        <v>47</v>
      </c>
      <c r="E712" s="32" t="s">
        <v>51</v>
      </c>
      <c r="F712" s="34">
        <v>44</v>
      </c>
      <c r="G712" s="35" t="s">
        <v>462</v>
      </c>
      <c r="H712" s="37" cm="1">
        <f t="array" ref="H712">IFERROR(SUMPRODUCT(Tracking[Amount], --(Tracking[Date]&lt;=Tracking[[#This Row],[Date]]), (Tracking[Type]&lt;&gt;"Income") * (-1) + (Tracking[Type]="Income")), "-")</f>
        <v>684</v>
      </c>
      <c r="I712" s="95">
        <f>IF(AND(Tracking[[#This Row],[Type]]="Income", shift_late_income_status="Active", DAY(Tracking[[#This Row],[Date]])&gt;=shift_late_income_starting_day),
      DATE(YEAR(Tracking[[#This Row],[Date]]), MONTH(Tracking[[#This Row],[Date]])+1, 1),
      Tracking[[#This Row],[Date]])</f>
        <v>45865</v>
      </c>
    </row>
    <row r="713" spans="3:9" hidden="1" outlineLevel="1" x14ac:dyDescent="0.2">
      <c r="C713" s="94">
        <v>45865</v>
      </c>
      <c r="D713" s="32" t="s">
        <v>47</v>
      </c>
      <c r="E713" s="32" t="s">
        <v>44</v>
      </c>
      <c r="F713" s="34">
        <v>14</v>
      </c>
      <c r="G713" s="35" t="s">
        <v>432</v>
      </c>
      <c r="H713" s="37" cm="1">
        <f t="array" ref="H713">IFERROR(SUMPRODUCT(Tracking[Amount], --(Tracking[Date]&lt;=Tracking[[#This Row],[Date]]), (Tracking[Type]&lt;&gt;"Income") * (-1) + (Tracking[Type]="Income")), "-")</f>
        <v>684</v>
      </c>
      <c r="I713" s="95">
        <f>IF(AND(Tracking[[#This Row],[Type]]="Income", shift_late_income_status="Active", DAY(Tracking[[#This Row],[Date]])&gt;=shift_late_income_starting_day),
      DATE(YEAR(Tracking[[#This Row],[Date]]), MONTH(Tracking[[#This Row],[Date]])+1, 1),
      Tracking[[#This Row],[Date]])</f>
        <v>45865</v>
      </c>
    </row>
    <row r="714" spans="3:9" hidden="1" outlineLevel="1" x14ac:dyDescent="0.2">
      <c r="C714" s="94">
        <v>45862</v>
      </c>
      <c r="D714" s="32" t="s">
        <v>47</v>
      </c>
      <c r="E714" s="32" t="s">
        <v>59</v>
      </c>
      <c r="F714" s="34">
        <v>16</v>
      </c>
      <c r="G714" s="35" t="s">
        <v>271</v>
      </c>
      <c r="H714" s="37" cm="1">
        <f t="array" ref="H714">IFERROR(SUMPRODUCT(Tracking[Amount], --(Tracking[Date]&lt;=Tracking[[#This Row],[Date]]), (Tracking[Type]&lt;&gt;"Income") * (-1) + (Tracking[Type]="Income")), "-")</f>
        <v>4444</v>
      </c>
      <c r="I714" s="95">
        <f>IF(AND(Tracking[[#This Row],[Type]]="Income", shift_late_income_status="Active", DAY(Tracking[[#This Row],[Date]])&gt;=shift_late_income_starting_day),
      DATE(YEAR(Tracking[[#This Row],[Date]]), MONTH(Tracking[[#This Row],[Date]])+1, 1),
      Tracking[[#This Row],[Date]])</f>
        <v>45862</v>
      </c>
    </row>
    <row r="715" spans="3:9" hidden="1" outlineLevel="1" x14ac:dyDescent="0.2">
      <c r="C715" s="94">
        <v>45863</v>
      </c>
      <c r="D715" s="32" t="s">
        <v>62</v>
      </c>
      <c r="E715" s="32" t="s">
        <v>63</v>
      </c>
      <c r="F715" s="34">
        <v>78</v>
      </c>
      <c r="G715" s="35"/>
      <c r="H715" s="37" cm="1">
        <f t="array" ref="H715">IFERROR(SUMPRODUCT(Tracking[Amount], --(Tracking[Date]&lt;=Tracking[[#This Row],[Date]]), (Tracking[Type]&lt;&gt;"Income") * (-1) + (Tracking[Type]="Income")), "-")</f>
        <v>4230</v>
      </c>
      <c r="I715" s="95">
        <f>IF(AND(Tracking[[#This Row],[Type]]="Income", shift_late_income_status="Active", DAY(Tracking[[#This Row],[Date]])&gt;=shift_late_income_starting_day),
      DATE(YEAR(Tracking[[#This Row],[Date]]), MONTH(Tracking[[#This Row],[Date]])+1, 1),
      Tracking[[#This Row],[Date]])</f>
        <v>45863</v>
      </c>
    </row>
    <row r="716" spans="3:9" hidden="1" outlineLevel="1" x14ac:dyDescent="0.2">
      <c r="C716" s="94">
        <v>45865</v>
      </c>
      <c r="D716" s="32" t="s">
        <v>47</v>
      </c>
      <c r="E716" s="32" t="s">
        <v>58</v>
      </c>
      <c r="F716" s="34">
        <v>44</v>
      </c>
      <c r="G716" s="35" t="s">
        <v>487</v>
      </c>
      <c r="H716" s="37" cm="1">
        <f t="array" ref="H716">IFERROR(SUMPRODUCT(Tracking[Amount], --(Tracking[Date]&lt;=Tracking[[#This Row],[Date]]), (Tracking[Type]&lt;&gt;"Income") * (-1) + (Tracking[Type]="Income")), "-")</f>
        <v>684</v>
      </c>
      <c r="I716" s="95">
        <f>IF(AND(Tracking[[#This Row],[Type]]="Income", shift_late_income_status="Active", DAY(Tracking[[#This Row],[Date]])&gt;=shift_late_income_starting_day),
      DATE(YEAR(Tracking[[#This Row],[Date]]), MONTH(Tracking[[#This Row],[Date]])+1, 1),
      Tracking[[#This Row],[Date]])</f>
        <v>45865</v>
      </c>
    </row>
    <row r="717" spans="3:9" hidden="1" outlineLevel="1" x14ac:dyDescent="0.2">
      <c r="C717" s="94">
        <v>45865</v>
      </c>
      <c r="D717" s="32" t="s">
        <v>47</v>
      </c>
      <c r="E717" s="32" t="s">
        <v>52</v>
      </c>
      <c r="F717" s="34">
        <v>44</v>
      </c>
      <c r="G717" s="35" t="s">
        <v>358</v>
      </c>
      <c r="H717" s="37" cm="1">
        <f t="array" ref="H717">IFERROR(SUMPRODUCT(Tracking[Amount], --(Tracking[Date]&lt;=Tracking[[#This Row],[Date]]), (Tracking[Type]&lt;&gt;"Income") * (-1) + (Tracking[Type]="Income")), "-")</f>
        <v>684</v>
      </c>
      <c r="I717" s="95">
        <f>IF(AND(Tracking[[#This Row],[Type]]="Income", shift_late_income_status="Active", DAY(Tracking[[#This Row],[Date]])&gt;=shift_late_income_starting_day),
      DATE(YEAR(Tracking[[#This Row],[Date]]), MONTH(Tracking[[#This Row],[Date]])+1, 1),
      Tracking[[#This Row],[Date]])</f>
        <v>45865</v>
      </c>
    </row>
    <row r="718" spans="3:9" hidden="1" outlineLevel="1" x14ac:dyDescent="0.2">
      <c r="C718" s="94">
        <v>45865</v>
      </c>
      <c r="D718" s="32" t="s">
        <v>47</v>
      </c>
      <c r="E718" s="32" t="s">
        <v>48</v>
      </c>
      <c r="F718" s="34">
        <v>17</v>
      </c>
      <c r="G718" s="35"/>
      <c r="H718" s="37" cm="1">
        <f t="array" ref="H718">IFERROR(SUMPRODUCT(Tracking[Amount], --(Tracking[Date]&lt;=Tracking[[#This Row],[Date]]), (Tracking[Type]&lt;&gt;"Income") * (-1) + (Tracking[Type]="Income")), "-")</f>
        <v>684</v>
      </c>
      <c r="I718" s="95">
        <f>IF(AND(Tracking[[#This Row],[Type]]="Income", shift_late_income_status="Active", DAY(Tracking[[#This Row],[Date]])&gt;=shift_late_income_starting_day),
      DATE(YEAR(Tracking[[#This Row],[Date]]), MONTH(Tracking[[#This Row],[Date]])+1, 1),
      Tracking[[#This Row],[Date]])</f>
        <v>45865</v>
      </c>
    </row>
    <row r="719" spans="3:9" hidden="1" outlineLevel="1" x14ac:dyDescent="0.2">
      <c r="C719" s="94">
        <v>45866</v>
      </c>
      <c r="D719" s="32" t="s">
        <v>47</v>
      </c>
      <c r="E719" s="32" t="s">
        <v>49</v>
      </c>
      <c r="F719" s="34">
        <v>17</v>
      </c>
      <c r="G719" s="35" t="s">
        <v>491</v>
      </c>
      <c r="H719" s="37" cm="1">
        <f t="array" ref="H719">IFERROR(SUMPRODUCT(Tracking[Amount], --(Tracking[Date]&lt;=Tracking[[#This Row],[Date]]), (Tracking[Type]&lt;&gt;"Income") * (-1) + (Tracking[Type]="Income")), "-")</f>
        <v>667</v>
      </c>
      <c r="I719" s="95">
        <f>IF(AND(Tracking[[#This Row],[Type]]="Income", shift_late_income_status="Active", DAY(Tracking[[#This Row],[Date]])&gt;=shift_late_income_starting_day),
      DATE(YEAR(Tracking[[#This Row],[Date]]), MONTH(Tracking[[#This Row],[Date]])+1, 1),
      Tracking[[#This Row],[Date]])</f>
        <v>45866</v>
      </c>
    </row>
    <row r="720" spans="3:9" hidden="1" outlineLevel="1" x14ac:dyDescent="0.2">
      <c r="C720" s="94">
        <v>45867</v>
      </c>
      <c r="D720" s="32" t="s">
        <v>47</v>
      </c>
      <c r="E720" s="32" t="s">
        <v>51</v>
      </c>
      <c r="F720" s="34">
        <v>37</v>
      </c>
      <c r="G720" s="35" t="s">
        <v>518</v>
      </c>
      <c r="H720" s="37" cm="1">
        <f t="array" ref="H720">IFERROR(SUMPRODUCT(Tracking[Amount], --(Tracking[Date]&lt;=Tracking[[#This Row],[Date]]), (Tracking[Type]&lt;&gt;"Income") * (-1) + (Tracking[Type]="Income")), "-")</f>
        <v>630</v>
      </c>
      <c r="I720" s="95">
        <f>IF(AND(Tracking[[#This Row],[Type]]="Income", shift_late_income_status="Active", DAY(Tracking[[#This Row],[Date]])&gt;=shift_late_income_starting_day),
      DATE(YEAR(Tracking[[#This Row],[Date]]), MONTH(Tracking[[#This Row],[Date]])+1, 1),
      Tracking[[#This Row],[Date]])</f>
        <v>45867</v>
      </c>
    </row>
    <row r="721" spans="3:9" hidden="1" outlineLevel="1" x14ac:dyDescent="0.2">
      <c r="C721" s="94">
        <v>45868</v>
      </c>
      <c r="D721" s="32" t="s">
        <v>47</v>
      </c>
      <c r="E721" s="32" t="s">
        <v>44</v>
      </c>
      <c r="F721" s="34">
        <v>40</v>
      </c>
      <c r="G721" s="35" t="s">
        <v>519</v>
      </c>
      <c r="H721" s="37" cm="1">
        <f t="array" ref="H721">IFERROR(SUMPRODUCT(Tracking[Amount], --(Tracking[Date]&lt;=Tracking[[#This Row],[Date]]), (Tracking[Type]&lt;&gt;"Income") * (-1) + (Tracking[Type]="Income")), "-")</f>
        <v>350</v>
      </c>
      <c r="I721" s="95">
        <f>IF(AND(Tracking[[#This Row],[Type]]="Income", shift_late_income_status="Active", DAY(Tracking[[#This Row],[Date]])&gt;=shift_late_income_starting_day),
      DATE(YEAR(Tracking[[#This Row],[Date]]), MONTH(Tracking[[#This Row],[Date]])+1, 1),
      Tracking[[#This Row],[Date]])</f>
        <v>45868</v>
      </c>
    </row>
    <row r="722" spans="3:9" hidden="1" outlineLevel="1" x14ac:dyDescent="0.2">
      <c r="C722" s="94">
        <v>45868</v>
      </c>
      <c r="D722" s="32" t="s">
        <v>47</v>
      </c>
      <c r="E722" s="32" t="s">
        <v>48</v>
      </c>
      <c r="F722" s="34">
        <v>20</v>
      </c>
      <c r="G722" s="35"/>
      <c r="H722" s="37" cm="1">
        <f t="array" ref="H722">IFERROR(SUMPRODUCT(Tracking[Amount], --(Tracking[Date]&lt;=Tracking[[#This Row],[Date]]), (Tracking[Type]&lt;&gt;"Income") * (-1) + (Tracking[Type]="Income")), "-")</f>
        <v>350</v>
      </c>
      <c r="I722" s="95">
        <f>IF(AND(Tracking[[#This Row],[Type]]="Income", shift_late_income_status="Active", DAY(Tracking[[#This Row],[Date]])&gt;=shift_late_income_starting_day),
      DATE(YEAR(Tracking[[#This Row],[Date]]), MONTH(Tracking[[#This Row],[Date]])+1, 1),
      Tracking[[#This Row],[Date]])</f>
        <v>45868</v>
      </c>
    </row>
    <row r="723" spans="3:9" hidden="1" outlineLevel="1" x14ac:dyDescent="0.2">
      <c r="C723" s="94">
        <v>45868</v>
      </c>
      <c r="D723" s="32" t="s">
        <v>47</v>
      </c>
      <c r="E723" s="32" t="s">
        <v>235</v>
      </c>
      <c r="F723" s="34">
        <v>38</v>
      </c>
      <c r="G723" s="35" t="s">
        <v>231</v>
      </c>
      <c r="H723" s="37" cm="1">
        <f t="array" ref="H723">IFERROR(SUMPRODUCT(Tracking[Amount], --(Tracking[Date]&lt;=Tracking[[#This Row],[Date]]), (Tracking[Type]&lt;&gt;"Income") * (-1) + (Tracking[Type]="Income")), "-")</f>
        <v>350</v>
      </c>
      <c r="I723" s="95">
        <f>IF(AND(Tracking[[#This Row],[Type]]="Income", shift_late_income_status="Active", DAY(Tracking[[#This Row],[Date]])&gt;=shift_late_income_starting_day),
      DATE(YEAR(Tracking[[#This Row],[Date]]), MONTH(Tracking[[#This Row],[Date]])+1, 1),
      Tracking[[#This Row],[Date]])</f>
        <v>45868</v>
      </c>
    </row>
    <row r="724" spans="3:9" hidden="1" outlineLevel="1" x14ac:dyDescent="0.2">
      <c r="C724" s="94">
        <v>45868</v>
      </c>
      <c r="D724" s="32" t="s">
        <v>47</v>
      </c>
      <c r="E724" s="32" t="s">
        <v>44</v>
      </c>
      <c r="F724" s="34">
        <v>10</v>
      </c>
      <c r="G724" s="35" t="s">
        <v>520</v>
      </c>
      <c r="H724" s="37" cm="1">
        <f t="array" ref="H724">IFERROR(SUMPRODUCT(Tracking[Amount], --(Tracking[Date]&lt;=Tracking[[#This Row],[Date]]), (Tracking[Type]&lt;&gt;"Income") * (-1) + (Tracking[Type]="Income")), "-")</f>
        <v>350</v>
      </c>
      <c r="I724" s="95">
        <f>IF(AND(Tracking[[#This Row],[Type]]="Income", shift_late_income_status="Active", DAY(Tracking[[#This Row],[Date]])&gt;=shift_late_income_starting_day),
      DATE(YEAR(Tracking[[#This Row],[Date]]), MONTH(Tracking[[#This Row],[Date]])+1, 1),
      Tracking[[#This Row],[Date]])</f>
        <v>45868</v>
      </c>
    </row>
    <row r="725" spans="3:9" hidden="1" outlineLevel="1" x14ac:dyDescent="0.2">
      <c r="C725" s="94">
        <v>45868</v>
      </c>
      <c r="D725" s="32" t="s">
        <v>47</v>
      </c>
      <c r="E725" s="32" t="s">
        <v>56</v>
      </c>
      <c r="F725" s="34">
        <v>172</v>
      </c>
      <c r="G725" s="35" t="s">
        <v>245</v>
      </c>
      <c r="H725" s="37" cm="1">
        <f t="array" ref="H725">IFERROR(SUMPRODUCT(Tracking[Amount], --(Tracking[Date]&lt;=Tracking[[#This Row],[Date]]), (Tracking[Type]&lt;&gt;"Income") * (-1) + (Tracking[Type]="Income")), "-")</f>
        <v>350</v>
      </c>
      <c r="I725" s="95">
        <f>IF(AND(Tracking[[#This Row],[Type]]="Income", shift_late_income_status="Active", DAY(Tracking[[#This Row],[Date]])&gt;=shift_late_income_starting_day),
      DATE(YEAR(Tracking[[#This Row],[Date]]), MONTH(Tracking[[#This Row],[Date]])+1, 1),
      Tracking[[#This Row],[Date]])</f>
        <v>45868</v>
      </c>
    </row>
    <row r="726" spans="3:9" hidden="1" outlineLevel="1" x14ac:dyDescent="0.2">
      <c r="C726" s="94">
        <v>45869</v>
      </c>
      <c r="D726" s="32" t="s">
        <v>47</v>
      </c>
      <c r="E726" s="32" t="s">
        <v>50</v>
      </c>
      <c r="F726" s="34">
        <v>40</v>
      </c>
      <c r="G726" s="35"/>
      <c r="H726" s="37" cm="1">
        <f t="array" ref="H726">IFERROR(SUMPRODUCT(Tracking[Amount], --(Tracking[Date]&lt;=Tracking[[#This Row],[Date]]), (Tracking[Type]&lt;&gt;"Income") * (-1) + (Tracking[Type]="Income")), "-")</f>
        <v>258</v>
      </c>
      <c r="I726" s="95">
        <f>IF(AND(Tracking[[#This Row],[Type]]="Income", shift_late_income_status="Active", DAY(Tracking[[#This Row],[Date]])&gt;=shift_late_income_starting_day),
      DATE(YEAR(Tracking[[#This Row],[Date]]), MONTH(Tracking[[#This Row],[Date]])+1, 1),
      Tracking[[#This Row],[Date]])</f>
        <v>45869</v>
      </c>
    </row>
    <row r="727" spans="3:9" hidden="1" outlineLevel="1" x14ac:dyDescent="0.2">
      <c r="C727" s="94">
        <v>45869</v>
      </c>
      <c r="D727" s="32" t="s">
        <v>47</v>
      </c>
      <c r="E727" s="32" t="s">
        <v>48</v>
      </c>
      <c r="F727" s="34">
        <v>52</v>
      </c>
      <c r="G727" s="35"/>
      <c r="H727" s="37" cm="1">
        <f t="array" ref="H727">IFERROR(SUMPRODUCT(Tracking[Amount], --(Tracking[Date]&lt;=Tracking[[#This Row],[Date]]), (Tracking[Type]&lt;&gt;"Income") * (-1) + (Tracking[Type]="Income")), "-")</f>
        <v>258</v>
      </c>
      <c r="I727" s="95">
        <f>IF(AND(Tracking[[#This Row],[Type]]="Income", shift_late_income_status="Active", DAY(Tracking[[#This Row],[Date]])&gt;=shift_late_income_starting_day),
      DATE(YEAR(Tracking[[#This Row],[Date]]), MONTH(Tracking[[#This Row],[Date]])+1, 1),
      Tracking[[#This Row],[Date]])</f>
        <v>45869</v>
      </c>
    </row>
    <row r="728" spans="3:9" collapsed="1" x14ac:dyDescent="0.2">
      <c r="C728" s="94">
        <v>45870</v>
      </c>
      <c r="D728" s="32" t="s">
        <v>40</v>
      </c>
      <c r="E728" s="32" t="s">
        <v>41</v>
      </c>
      <c r="F728" s="34">
        <v>7700</v>
      </c>
      <c r="G728" s="35"/>
      <c r="H728" s="37" cm="1">
        <f t="array" ref="H728">IFERROR(SUMPRODUCT(Tracking[Amount], --(Tracking[Date]&lt;=Tracking[[#This Row],[Date]]), (Tracking[Type]&lt;&gt;"Income") * (-1) + (Tracking[Type]="Income")), "-")</f>
        <v>7774</v>
      </c>
      <c r="I728" s="95">
        <f>IF(AND(Tracking[[#This Row],[Type]]="Income", shift_late_income_status="Active", DAY(Tracking[[#This Row],[Date]])&gt;=shift_late_income_starting_day),
      DATE(YEAR(Tracking[[#This Row],[Date]]), MONTH(Tracking[[#This Row],[Date]])+1, 1),
      Tracking[[#This Row],[Date]])</f>
        <v>45870</v>
      </c>
    </row>
    <row r="729" spans="3:9" hidden="1" outlineLevel="1" x14ac:dyDescent="0.2">
      <c r="C729" s="94">
        <v>45870</v>
      </c>
      <c r="D729" s="32" t="s">
        <v>47</v>
      </c>
      <c r="E729" s="32" t="s">
        <v>59</v>
      </c>
      <c r="F729" s="34">
        <v>60</v>
      </c>
      <c r="G729" s="35" t="s">
        <v>333</v>
      </c>
      <c r="H729" s="37" cm="1">
        <f t="array" ref="H729">IFERROR(SUMPRODUCT(Tracking[Amount], --(Tracking[Date]&lt;=Tracking[[#This Row],[Date]]), (Tracking[Type]&lt;&gt;"Income") * (-1) + (Tracking[Type]="Income")), "-")</f>
        <v>7774</v>
      </c>
      <c r="I729" s="95">
        <f>IF(AND(Tracking[[#This Row],[Type]]="Income", shift_late_income_status="Active", DAY(Tracking[[#This Row],[Date]])&gt;=shift_late_income_starting_day),
      DATE(YEAR(Tracking[[#This Row],[Date]]), MONTH(Tracking[[#This Row],[Date]])+1, 1),
      Tracking[[#This Row],[Date]])</f>
        <v>45870</v>
      </c>
    </row>
    <row r="730" spans="3:9" hidden="1" outlineLevel="1" x14ac:dyDescent="0.2">
      <c r="C730" s="94">
        <v>45870</v>
      </c>
      <c r="D730" s="32" t="s">
        <v>47</v>
      </c>
      <c r="E730" s="32" t="s">
        <v>49</v>
      </c>
      <c r="F730" s="34">
        <v>18</v>
      </c>
      <c r="G730" s="35" t="s">
        <v>334</v>
      </c>
      <c r="H730" s="37" cm="1">
        <f t="array" ref="H730">IFERROR(SUMPRODUCT(Tracking[Amount], --(Tracking[Date]&lt;=Tracking[[#This Row],[Date]]), (Tracking[Type]&lt;&gt;"Income") * (-1) + (Tracking[Type]="Income")), "-")</f>
        <v>7774</v>
      </c>
      <c r="I730" s="95">
        <f>IF(AND(Tracking[[#This Row],[Type]]="Income", shift_late_income_status="Active", DAY(Tracking[[#This Row],[Date]])&gt;=shift_late_income_starting_day),
      DATE(YEAR(Tracking[[#This Row],[Date]]), MONTH(Tracking[[#This Row],[Date]])+1, 1),
      Tracking[[#This Row],[Date]])</f>
        <v>45870</v>
      </c>
    </row>
    <row r="731" spans="3:9" hidden="1" outlineLevel="1" x14ac:dyDescent="0.2">
      <c r="C731" s="94">
        <v>45870</v>
      </c>
      <c r="D731" s="32" t="s">
        <v>47</v>
      </c>
      <c r="E731" s="32" t="s">
        <v>49</v>
      </c>
      <c r="F731" s="34">
        <v>106</v>
      </c>
      <c r="G731" s="35" t="s">
        <v>521</v>
      </c>
      <c r="H731" s="37" cm="1">
        <f t="array" ref="H731">IFERROR(SUMPRODUCT(Tracking[Amount], --(Tracking[Date]&lt;=Tracking[[#This Row],[Date]]), (Tracking[Type]&lt;&gt;"Income") * (-1) + (Tracking[Type]="Income")), "-")</f>
        <v>7774</v>
      </c>
      <c r="I731" s="95">
        <f>IF(AND(Tracking[[#This Row],[Type]]="Income", shift_late_income_status="Active", DAY(Tracking[[#This Row],[Date]])&gt;=shift_late_income_starting_day),
      DATE(YEAR(Tracking[[#This Row],[Date]]), MONTH(Tracking[[#This Row],[Date]])+1, 1),
      Tracking[[#This Row],[Date]])</f>
        <v>45870</v>
      </c>
    </row>
    <row r="732" spans="3:9" hidden="1" outlineLevel="1" x14ac:dyDescent="0.2">
      <c r="C732" s="94">
        <v>45871</v>
      </c>
      <c r="D732" s="32" t="s">
        <v>47</v>
      </c>
      <c r="E732" s="32" t="s">
        <v>49</v>
      </c>
      <c r="F732" s="34">
        <v>67</v>
      </c>
      <c r="G732" s="35"/>
      <c r="H732" s="37" cm="1">
        <f t="array" ref="H732">IFERROR(SUMPRODUCT(Tracking[Amount], --(Tracking[Date]&lt;=Tracking[[#This Row],[Date]]), (Tracking[Type]&lt;&gt;"Income") * (-1) + (Tracking[Type]="Income")), "-")</f>
        <v>7685</v>
      </c>
      <c r="I732" s="95">
        <f>IF(AND(Tracking[[#This Row],[Type]]="Income", shift_late_income_status="Active", DAY(Tracking[[#This Row],[Date]])&gt;=shift_late_income_starting_day),
      DATE(YEAR(Tracking[[#This Row],[Date]]), MONTH(Tracking[[#This Row],[Date]])+1, 1),
      Tracking[[#This Row],[Date]])</f>
        <v>45871</v>
      </c>
    </row>
    <row r="733" spans="3:9" hidden="1" outlineLevel="1" x14ac:dyDescent="0.2">
      <c r="C733" s="94">
        <v>45871</v>
      </c>
      <c r="D733" s="32" t="s">
        <v>47</v>
      </c>
      <c r="E733" s="32" t="s">
        <v>52</v>
      </c>
      <c r="F733" s="34">
        <v>8</v>
      </c>
      <c r="G733" s="35" t="s">
        <v>358</v>
      </c>
      <c r="H733" s="37" cm="1">
        <f t="array" ref="H733">IFERROR(SUMPRODUCT(Tracking[Amount], --(Tracking[Date]&lt;=Tracking[[#This Row],[Date]]), (Tracking[Type]&lt;&gt;"Income") * (-1) + (Tracking[Type]="Income")), "-")</f>
        <v>7685</v>
      </c>
      <c r="I733" s="95">
        <f>IF(AND(Tracking[[#This Row],[Type]]="Income", shift_late_income_status="Active", DAY(Tracking[[#This Row],[Date]])&gt;=shift_late_income_starting_day),
      DATE(YEAR(Tracking[[#This Row],[Date]]), MONTH(Tracking[[#This Row],[Date]])+1, 1),
      Tracking[[#This Row],[Date]])</f>
        <v>45871</v>
      </c>
    </row>
    <row r="734" spans="3:9" hidden="1" outlineLevel="1" x14ac:dyDescent="0.2">
      <c r="C734" s="94">
        <v>45872</v>
      </c>
      <c r="D734" s="32" t="s">
        <v>47</v>
      </c>
      <c r="E734" s="32" t="s">
        <v>48</v>
      </c>
      <c r="F734" s="34">
        <v>52</v>
      </c>
      <c r="G734" s="35"/>
      <c r="H734" s="37" cm="1">
        <f t="array" ref="H734">IFERROR(SUMPRODUCT(Tracking[Amount], --(Tracking[Date]&lt;=Tracking[[#This Row],[Date]]), (Tracking[Type]&lt;&gt;"Income") * (-1) + (Tracking[Type]="Income")), "-")</f>
        <v>7633</v>
      </c>
      <c r="I734" s="95">
        <f>IF(AND(Tracking[[#This Row],[Type]]="Income", shift_late_income_status="Active", DAY(Tracking[[#This Row],[Date]])&gt;=shift_late_income_starting_day),
      DATE(YEAR(Tracking[[#This Row],[Date]]), MONTH(Tracking[[#This Row],[Date]])+1, 1),
      Tracking[[#This Row],[Date]])</f>
        <v>45872</v>
      </c>
    </row>
    <row r="735" spans="3:9" hidden="1" outlineLevel="1" x14ac:dyDescent="0.2">
      <c r="C735" s="94">
        <v>45873</v>
      </c>
      <c r="D735" s="32" t="s">
        <v>47</v>
      </c>
      <c r="E735" s="32" t="s">
        <v>49</v>
      </c>
      <c r="F735" s="34">
        <v>10</v>
      </c>
      <c r="G735" s="35" t="s">
        <v>522</v>
      </c>
      <c r="H735" s="37" cm="1">
        <f t="array" ref="H735">IFERROR(SUMPRODUCT(Tracking[Amount], --(Tracking[Date]&lt;=Tracking[[#This Row],[Date]]), (Tracking[Type]&lt;&gt;"Income") * (-1) + (Tracking[Type]="Income")), "-")</f>
        <v>7580</v>
      </c>
      <c r="I735" s="95">
        <f>IF(AND(Tracking[[#This Row],[Type]]="Income", shift_late_income_status="Active", DAY(Tracking[[#This Row],[Date]])&gt;=shift_late_income_starting_day),
      DATE(YEAR(Tracking[[#This Row],[Date]]), MONTH(Tracking[[#This Row],[Date]])+1, 1),
      Tracking[[#This Row],[Date]])</f>
        <v>45873</v>
      </c>
    </row>
    <row r="736" spans="3:9" hidden="1" outlineLevel="1" x14ac:dyDescent="0.2">
      <c r="C736" s="94">
        <v>45873</v>
      </c>
      <c r="D736" s="32" t="s">
        <v>47</v>
      </c>
      <c r="E736" s="32" t="s">
        <v>44</v>
      </c>
      <c r="F736" s="34">
        <v>43</v>
      </c>
      <c r="G736" s="35" t="s">
        <v>523</v>
      </c>
      <c r="H736" s="37" cm="1">
        <f t="array" ref="H736">IFERROR(SUMPRODUCT(Tracking[Amount], --(Tracking[Date]&lt;=Tracking[[#This Row],[Date]]), (Tracking[Type]&lt;&gt;"Income") * (-1) + (Tracking[Type]="Income")), "-")</f>
        <v>7580</v>
      </c>
      <c r="I736" s="95">
        <f>IF(AND(Tracking[[#This Row],[Type]]="Income", shift_late_income_status="Active", DAY(Tracking[[#This Row],[Date]])&gt;=shift_late_income_starting_day),
      DATE(YEAR(Tracking[[#This Row],[Date]]), MONTH(Tracking[[#This Row],[Date]])+1, 1),
      Tracking[[#This Row],[Date]])</f>
        <v>45873</v>
      </c>
    </row>
    <row r="737" spans="3:9" hidden="1" outlineLevel="1" x14ac:dyDescent="0.2">
      <c r="C737" s="94">
        <v>45874</v>
      </c>
      <c r="D737" s="32" t="s">
        <v>47</v>
      </c>
      <c r="E737" s="32" t="s">
        <v>51</v>
      </c>
      <c r="F737" s="34">
        <v>46</v>
      </c>
      <c r="G737" s="35"/>
      <c r="H737" s="37" cm="1">
        <f t="array" ref="H737">IFERROR(SUMPRODUCT(Tracking[Amount], --(Tracking[Date]&lt;=Tracking[[#This Row],[Date]]), (Tracking[Type]&lt;&gt;"Income") * (-1) + (Tracking[Type]="Income")), "-")</f>
        <v>7534</v>
      </c>
      <c r="I737" s="95">
        <f>IF(AND(Tracking[[#This Row],[Type]]="Income", shift_late_income_status="Active", DAY(Tracking[[#This Row],[Date]])&gt;=shift_late_income_starting_day),
      DATE(YEAR(Tracking[[#This Row],[Date]]), MONTH(Tracking[[#This Row],[Date]])+1, 1),
      Tracking[[#This Row],[Date]])</f>
        <v>45874</v>
      </c>
    </row>
    <row r="738" spans="3:9" hidden="1" outlineLevel="1" x14ac:dyDescent="0.2">
      <c r="C738" s="94">
        <v>45875</v>
      </c>
      <c r="D738" s="32" t="s">
        <v>47</v>
      </c>
      <c r="E738" s="32" t="s">
        <v>60</v>
      </c>
      <c r="F738" s="34">
        <v>18</v>
      </c>
      <c r="G738" s="35" t="s">
        <v>338</v>
      </c>
      <c r="H738" s="37" cm="1">
        <f t="array" ref="H738">IFERROR(SUMPRODUCT(Tracking[Amount], --(Tracking[Date]&lt;=Tracking[[#This Row],[Date]]), (Tracking[Type]&lt;&gt;"Income") * (-1) + (Tracking[Type]="Income")), "-")</f>
        <v>7487</v>
      </c>
      <c r="I738" s="95">
        <f>IF(AND(Tracking[[#This Row],[Type]]="Income", shift_late_income_status="Active", DAY(Tracking[[#This Row],[Date]])&gt;=shift_late_income_starting_day),
      DATE(YEAR(Tracking[[#This Row],[Date]]), MONTH(Tracking[[#This Row],[Date]])+1, 1),
      Tracking[[#This Row],[Date]])</f>
        <v>45875</v>
      </c>
    </row>
    <row r="739" spans="3:9" hidden="1" outlineLevel="1" x14ac:dyDescent="0.2">
      <c r="C739" s="94">
        <v>45875</v>
      </c>
      <c r="D739" s="32" t="s">
        <v>47</v>
      </c>
      <c r="E739" s="32" t="s">
        <v>50</v>
      </c>
      <c r="F739" s="34">
        <v>23</v>
      </c>
      <c r="G739" s="35"/>
      <c r="H739" s="37" cm="1">
        <f t="array" ref="H739">IFERROR(SUMPRODUCT(Tracking[Amount], --(Tracking[Date]&lt;=Tracking[[#This Row],[Date]]), (Tracking[Type]&lt;&gt;"Income") * (-1) + (Tracking[Type]="Income")), "-")</f>
        <v>7487</v>
      </c>
      <c r="I739" s="95">
        <f>IF(AND(Tracking[[#This Row],[Type]]="Income", shift_late_income_status="Active", DAY(Tracking[[#This Row],[Date]])&gt;=shift_late_income_starting_day),
      DATE(YEAR(Tracking[[#This Row],[Date]]), MONTH(Tracking[[#This Row],[Date]])+1, 1),
      Tracking[[#This Row],[Date]])</f>
        <v>45875</v>
      </c>
    </row>
    <row r="740" spans="3:9" hidden="1" outlineLevel="1" x14ac:dyDescent="0.2">
      <c r="C740" s="94">
        <v>45875</v>
      </c>
      <c r="D740" s="32" t="s">
        <v>47</v>
      </c>
      <c r="E740" s="32" t="s">
        <v>48</v>
      </c>
      <c r="F740" s="34">
        <v>6</v>
      </c>
      <c r="G740" s="35"/>
      <c r="H740" s="37" cm="1">
        <f t="array" ref="H740">IFERROR(SUMPRODUCT(Tracking[Amount], --(Tracking[Date]&lt;=Tracking[[#This Row],[Date]]), (Tracking[Type]&lt;&gt;"Income") * (-1) + (Tracking[Type]="Income")), "-")</f>
        <v>7487</v>
      </c>
      <c r="I740" s="95">
        <f>IF(AND(Tracking[[#This Row],[Type]]="Income", shift_late_income_status="Active", DAY(Tracking[[#This Row],[Date]])&gt;=shift_late_income_starting_day),
      DATE(YEAR(Tracking[[#This Row],[Date]]), MONTH(Tracking[[#This Row],[Date]])+1, 1),
      Tracking[[#This Row],[Date]])</f>
        <v>45875</v>
      </c>
    </row>
    <row r="741" spans="3:9" hidden="1" outlineLevel="1" x14ac:dyDescent="0.2">
      <c r="C741" s="94">
        <v>45876</v>
      </c>
      <c r="D741" s="32" t="s">
        <v>47</v>
      </c>
      <c r="E741" s="32" t="s">
        <v>48</v>
      </c>
      <c r="F741" s="34">
        <v>28</v>
      </c>
      <c r="G741" s="35"/>
      <c r="H741" s="37" cm="1">
        <f t="array" ref="H741">IFERROR(SUMPRODUCT(Tracking[Amount], --(Tracking[Date]&lt;=Tracking[[#This Row],[Date]]), (Tracking[Type]&lt;&gt;"Income") * (-1) + (Tracking[Type]="Income")), "-")</f>
        <v>7285</v>
      </c>
      <c r="I741" s="95">
        <f>IF(AND(Tracking[[#This Row],[Type]]="Income", shift_late_income_status="Active", DAY(Tracking[[#This Row],[Date]])&gt;=shift_late_income_starting_day),
      DATE(YEAR(Tracking[[#This Row],[Date]]), MONTH(Tracking[[#This Row],[Date]])+1, 1),
      Tracking[[#This Row],[Date]])</f>
        <v>45876</v>
      </c>
    </row>
    <row r="742" spans="3:9" hidden="1" outlineLevel="1" x14ac:dyDescent="0.2">
      <c r="C742" s="94">
        <v>45876</v>
      </c>
      <c r="D742" s="32" t="s">
        <v>47</v>
      </c>
      <c r="E742" s="32" t="s">
        <v>44</v>
      </c>
      <c r="F742" s="34">
        <v>174</v>
      </c>
      <c r="G742" s="35" t="s">
        <v>524</v>
      </c>
      <c r="H742" s="37" cm="1">
        <f t="array" ref="H742">IFERROR(SUMPRODUCT(Tracking[Amount], --(Tracking[Date]&lt;=Tracking[[#This Row],[Date]]), (Tracking[Type]&lt;&gt;"Income") * (-1) + (Tracking[Type]="Income")), "-")</f>
        <v>7285</v>
      </c>
      <c r="I742" s="95">
        <f>IF(AND(Tracking[[#This Row],[Type]]="Income", shift_late_income_status="Active", DAY(Tracking[[#This Row],[Date]])&gt;=shift_late_income_starting_day),
      DATE(YEAR(Tracking[[#This Row],[Date]]), MONTH(Tracking[[#This Row],[Date]])+1, 1),
      Tracking[[#This Row],[Date]])</f>
        <v>45876</v>
      </c>
    </row>
    <row r="743" spans="3:9" hidden="1" outlineLevel="1" x14ac:dyDescent="0.2">
      <c r="C743" s="94">
        <v>45877</v>
      </c>
      <c r="D743" s="32" t="s">
        <v>47</v>
      </c>
      <c r="E743" s="32" t="s">
        <v>48</v>
      </c>
      <c r="F743" s="34">
        <v>15</v>
      </c>
      <c r="G743" s="35"/>
      <c r="H743" s="37" cm="1">
        <f t="array" ref="H743">IFERROR(SUMPRODUCT(Tracking[Amount], --(Tracking[Date]&lt;=Tracking[[#This Row],[Date]]), (Tracking[Type]&lt;&gt;"Income") * (-1) + (Tracking[Type]="Income")), "-")</f>
        <v>7270</v>
      </c>
      <c r="I743" s="95">
        <f>IF(AND(Tracking[[#This Row],[Type]]="Income", shift_late_income_status="Active", DAY(Tracking[[#This Row],[Date]])&gt;=shift_late_income_starting_day),
      DATE(YEAR(Tracking[[#This Row],[Date]]), MONTH(Tracking[[#This Row],[Date]])+1, 1),
      Tracking[[#This Row],[Date]])</f>
        <v>45877</v>
      </c>
    </row>
    <row r="744" spans="3:9" hidden="1" outlineLevel="1" x14ac:dyDescent="0.2">
      <c r="C744" s="94">
        <v>45878</v>
      </c>
      <c r="D744" s="32" t="s">
        <v>47</v>
      </c>
      <c r="E744" s="32" t="s">
        <v>44</v>
      </c>
      <c r="F744" s="34">
        <v>10</v>
      </c>
      <c r="G744" s="35" t="s">
        <v>525</v>
      </c>
      <c r="H744" s="37" cm="1">
        <f t="array" ref="H744">IFERROR(SUMPRODUCT(Tracking[Amount], --(Tracking[Date]&lt;=Tracking[[#This Row],[Date]]), (Tracking[Type]&lt;&gt;"Income") * (-1) + (Tracking[Type]="Income")), "-")</f>
        <v>7133</v>
      </c>
      <c r="I744" s="95">
        <f>IF(AND(Tracking[[#This Row],[Type]]="Income", shift_late_income_status="Active", DAY(Tracking[[#This Row],[Date]])&gt;=shift_late_income_starting_day),
      DATE(YEAR(Tracking[[#This Row],[Date]]), MONTH(Tracking[[#This Row],[Date]])+1, 1),
      Tracking[[#This Row],[Date]])</f>
        <v>45878</v>
      </c>
    </row>
    <row r="745" spans="3:9" hidden="1" outlineLevel="1" x14ac:dyDescent="0.2">
      <c r="C745" s="94">
        <v>45878</v>
      </c>
      <c r="D745" s="32" t="s">
        <v>47</v>
      </c>
      <c r="E745" s="32" t="s">
        <v>60</v>
      </c>
      <c r="F745" s="34">
        <v>9</v>
      </c>
      <c r="G745" s="35" t="s">
        <v>526</v>
      </c>
      <c r="H745" s="37" cm="1">
        <f t="array" ref="H745">IFERROR(SUMPRODUCT(Tracking[Amount], --(Tracking[Date]&lt;=Tracking[[#This Row],[Date]]), (Tracking[Type]&lt;&gt;"Income") * (-1) + (Tracking[Type]="Income")), "-")</f>
        <v>7133</v>
      </c>
      <c r="I745" s="95">
        <f>IF(AND(Tracking[[#This Row],[Type]]="Income", shift_late_income_status="Active", DAY(Tracking[[#This Row],[Date]])&gt;=shift_late_income_starting_day),
      DATE(YEAR(Tracking[[#This Row],[Date]]), MONTH(Tracking[[#This Row],[Date]])+1, 1),
      Tracking[[#This Row],[Date]])</f>
        <v>45878</v>
      </c>
    </row>
    <row r="746" spans="3:9" hidden="1" outlineLevel="1" x14ac:dyDescent="0.2">
      <c r="C746" s="94">
        <v>45878</v>
      </c>
      <c r="D746" s="32" t="s">
        <v>47</v>
      </c>
      <c r="E746" s="32" t="s">
        <v>49</v>
      </c>
      <c r="F746" s="34">
        <v>70</v>
      </c>
      <c r="G746" s="35" t="s">
        <v>527</v>
      </c>
      <c r="H746" s="37" cm="1">
        <f t="array" ref="H746">IFERROR(SUMPRODUCT(Tracking[Amount], --(Tracking[Date]&lt;=Tracking[[#This Row],[Date]]), (Tracking[Type]&lt;&gt;"Income") * (-1) + (Tracking[Type]="Income")), "-")</f>
        <v>7133</v>
      </c>
      <c r="I746" s="95">
        <f>IF(AND(Tracking[[#This Row],[Type]]="Income", shift_late_income_status="Active", DAY(Tracking[[#This Row],[Date]])&gt;=shift_late_income_starting_day),
      DATE(YEAR(Tracking[[#This Row],[Date]]), MONTH(Tracking[[#This Row],[Date]])+1, 1),
      Tracking[[#This Row],[Date]])</f>
        <v>45878</v>
      </c>
    </row>
    <row r="747" spans="3:9" hidden="1" outlineLevel="1" x14ac:dyDescent="0.2">
      <c r="C747" s="94">
        <v>45878</v>
      </c>
      <c r="D747" s="32" t="s">
        <v>47</v>
      </c>
      <c r="E747" s="32" t="s">
        <v>59</v>
      </c>
      <c r="F747" s="34">
        <v>13</v>
      </c>
      <c r="G747" s="35" t="s">
        <v>254</v>
      </c>
      <c r="H747" s="37" cm="1">
        <f t="array" ref="H747">IFERROR(SUMPRODUCT(Tracking[Amount], --(Tracking[Date]&lt;=Tracking[[#This Row],[Date]]), (Tracking[Type]&lt;&gt;"Income") * (-1) + (Tracking[Type]="Income")), "-")</f>
        <v>7133</v>
      </c>
      <c r="I747" s="95">
        <f>IF(AND(Tracking[[#This Row],[Type]]="Income", shift_late_income_status="Active", DAY(Tracking[[#This Row],[Date]])&gt;=shift_late_income_starting_day),
      DATE(YEAR(Tracking[[#This Row],[Date]]), MONTH(Tracking[[#This Row],[Date]])+1, 1),
      Tracking[[#This Row],[Date]])</f>
        <v>45878</v>
      </c>
    </row>
    <row r="748" spans="3:9" hidden="1" outlineLevel="1" x14ac:dyDescent="0.2">
      <c r="C748" s="94">
        <v>45878</v>
      </c>
      <c r="D748" s="32" t="s">
        <v>47</v>
      </c>
      <c r="E748" s="32" t="s">
        <v>49</v>
      </c>
      <c r="F748" s="34">
        <v>35</v>
      </c>
      <c r="G748" s="35" t="s">
        <v>528</v>
      </c>
      <c r="H748" s="37" cm="1">
        <f t="array" ref="H748">IFERROR(SUMPRODUCT(Tracking[Amount], --(Tracking[Date]&lt;=Tracking[[#This Row],[Date]]), (Tracking[Type]&lt;&gt;"Income") * (-1) + (Tracking[Type]="Income")), "-")</f>
        <v>7133</v>
      </c>
      <c r="I748" s="95">
        <f>IF(AND(Tracking[[#This Row],[Type]]="Income", shift_late_income_status="Active", DAY(Tracking[[#This Row],[Date]])&gt;=shift_late_income_starting_day),
      DATE(YEAR(Tracking[[#This Row],[Date]]), MONTH(Tracking[[#This Row],[Date]])+1, 1),
      Tracking[[#This Row],[Date]])</f>
        <v>45878</v>
      </c>
    </row>
    <row r="749" spans="3:9" hidden="1" outlineLevel="1" x14ac:dyDescent="0.2">
      <c r="C749" s="94">
        <v>45879</v>
      </c>
      <c r="D749" s="32" t="s">
        <v>47</v>
      </c>
      <c r="E749" s="32" t="s">
        <v>52</v>
      </c>
      <c r="F749" s="34">
        <v>101</v>
      </c>
      <c r="G749" s="35" t="s">
        <v>358</v>
      </c>
      <c r="H749" s="37" cm="1">
        <f t="array" ref="H749">IFERROR(SUMPRODUCT(Tracking[Amount], --(Tracking[Date]&lt;=Tracking[[#This Row],[Date]]), (Tracking[Type]&lt;&gt;"Income") * (-1) + (Tracking[Type]="Income")), "-")</f>
        <v>6864</v>
      </c>
      <c r="I749" s="95">
        <f>IF(AND(Tracking[[#This Row],[Type]]="Income", shift_late_income_status="Active", DAY(Tracking[[#This Row],[Date]])&gt;=shift_late_income_starting_day),
      DATE(YEAR(Tracking[[#This Row],[Date]]), MONTH(Tracking[[#This Row],[Date]])+1, 1),
      Tracking[[#This Row],[Date]])</f>
        <v>45879</v>
      </c>
    </row>
    <row r="750" spans="3:9" hidden="1" outlineLevel="1" x14ac:dyDescent="0.2">
      <c r="C750" s="94">
        <v>45879</v>
      </c>
      <c r="D750" s="32" t="s">
        <v>47</v>
      </c>
      <c r="E750" s="32" t="s">
        <v>48</v>
      </c>
      <c r="F750" s="34">
        <v>40</v>
      </c>
      <c r="G750" s="35"/>
      <c r="H750" s="37" cm="1">
        <f t="array" ref="H750">IFERROR(SUMPRODUCT(Tracking[Amount], --(Tracking[Date]&lt;=Tracking[[#This Row],[Date]]), (Tracking[Type]&lt;&gt;"Income") * (-1) + (Tracking[Type]="Income")), "-")</f>
        <v>6864</v>
      </c>
      <c r="I750" s="95">
        <f>IF(AND(Tracking[[#This Row],[Type]]="Income", shift_late_income_status="Active", DAY(Tracking[[#This Row],[Date]])&gt;=shift_late_income_starting_day),
      DATE(YEAR(Tracking[[#This Row],[Date]]), MONTH(Tracking[[#This Row],[Date]])+1, 1),
      Tracking[[#This Row],[Date]])</f>
        <v>45879</v>
      </c>
    </row>
    <row r="751" spans="3:9" hidden="1" outlineLevel="1" x14ac:dyDescent="0.2">
      <c r="C751" s="94">
        <v>45871</v>
      </c>
      <c r="D751" s="32" t="s">
        <v>47</v>
      </c>
      <c r="E751" s="32" t="s">
        <v>59</v>
      </c>
      <c r="F751" s="34">
        <v>14</v>
      </c>
      <c r="G751" s="35" t="s">
        <v>352</v>
      </c>
      <c r="H751" s="37" cm="1">
        <f t="array" ref="H751">IFERROR(SUMPRODUCT(Tracking[Amount], --(Tracking[Date]&lt;=Tracking[[#This Row],[Date]]), (Tracking[Type]&lt;&gt;"Income") * (-1) + (Tracking[Type]="Income")), "-")</f>
        <v>7685</v>
      </c>
      <c r="I751" s="95">
        <f>IF(AND(Tracking[[#This Row],[Type]]="Income", shift_late_income_status="Active", DAY(Tracking[[#This Row],[Date]])&gt;=shift_late_income_starting_day),
      DATE(YEAR(Tracking[[#This Row],[Date]]), MONTH(Tracking[[#This Row],[Date]])+1, 1),
      Tracking[[#This Row],[Date]])</f>
        <v>45871</v>
      </c>
    </row>
    <row r="752" spans="3:9" hidden="1" outlineLevel="1" x14ac:dyDescent="0.2">
      <c r="C752" s="94">
        <v>45879</v>
      </c>
      <c r="D752" s="32" t="s">
        <v>47</v>
      </c>
      <c r="E752" s="32" t="s">
        <v>58</v>
      </c>
      <c r="F752" s="34">
        <v>128</v>
      </c>
      <c r="G752" s="35" t="s">
        <v>446</v>
      </c>
      <c r="H752" s="37" cm="1">
        <f t="array" ref="H752">IFERROR(SUMPRODUCT(Tracking[Amount], --(Tracking[Date]&lt;=Tracking[[#This Row],[Date]]), (Tracking[Type]&lt;&gt;"Income") * (-1) + (Tracking[Type]="Income")), "-")</f>
        <v>6864</v>
      </c>
      <c r="I752" s="95">
        <f>IF(AND(Tracking[[#This Row],[Type]]="Income", shift_late_income_status="Active", DAY(Tracking[[#This Row],[Date]])&gt;=shift_late_income_starting_day),
      DATE(YEAR(Tracking[[#This Row],[Date]]), MONTH(Tracking[[#This Row],[Date]])+1, 1),
      Tracking[[#This Row],[Date]])</f>
        <v>45879</v>
      </c>
    </row>
    <row r="753" spans="3:9" hidden="1" outlineLevel="1" x14ac:dyDescent="0.2">
      <c r="C753" s="94">
        <v>45880</v>
      </c>
      <c r="D753" s="32" t="s">
        <v>47</v>
      </c>
      <c r="E753" s="32" t="s">
        <v>48</v>
      </c>
      <c r="F753" s="34">
        <v>8</v>
      </c>
      <c r="G753" s="35"/>
      <c r="H753" s="37" cm="1">
        <f t="array" ref="H753">IFERROR(SUMPRODUCT(Tracking[Amount], --(Tracking[Date]&lt;=Tracking[[#This Row],[Date]]), (Tracking[Type]&lt;&gt;"Income") * (-1) + (Tracking[Type]="Income")), "-")</f>
        <v>6783</v>
      </c>
      <c r="I753" s="95">
        <f>IF(AND(Tracking[[#This Row],[Type]]="Income", shift_late_income_status="Active", DAY(Tracking[[#This Row],[Date]])&gt;=shift_late_income_starting_day),
      DATE(YEAR(Tracking[[#This Row],[Date]]), MONTH(Tracking[[#This Row],[Date]])+1, 1),
      Tracking[[#This Row],[Date]])</f>
        <v>45880</v>
      </c>
    </row>
    <row r="754" spans="3:9" hidden="1" outlineLevel="1" x14ac:dyDescent="0.2">
      <c r="C754" s="94">
        <v>45880</v>
      </c>
      <c r="D754" s="32" t="s">
        <v>47</v>
      </c>
      <c r="E754" s="32" t="s">
        <v>50</v>
      </c>
      <c r="F754" s="34">
        <v>8</v>
      </c>
      <c r="G754" s="35"/>
      <c r="H754" s="37" cm="1">
        <f t="array" ref="H754">IFERROR(SUMPRODUCT(Tracking[Amount], --(Tracking[Date]&lt;=Tracking[[#This Row],[Date]]), (Tracking[Type]&lt;&gt;"Income") * (-1) + (Tracking[Type]="Income")), "-")</f>
        <v>6783</v>
      </c>
      <c r="I754" s="95">
        <f>IF(AND(Tracking[[#This Row],[Type]]="Income", shift_late_income_status="Active", DAY(Tracking[[#This Row],[Date]])&gt;=shift_late_income_starting_day),
      DATE(YEAR(Tracking[[#This Row],[Date]]), MONTH(Tracking[[#This Row],[Date]])+1, 1),
      Tracking[[#This Row],[Date]])</f>
        <v>45880</v>
      </c>
    </row>
    <row r="755" spans="3:9" hidden="1" outlineLevel="1" x14ac:dyDescent="0.2">
      <c r="C755" s="94">
        <v>45880</v>
      </c>
      <c r="D755" s="32" t="s">
        <v>47</v>
      </c>
      <c r="E755" s="32" t="s">
        <v>52</v>
      </c>
      <c r="F755" s="34">
        <v>6</v>
      </c>
      <c r="G755" s="35" t="s">
        <v>358</v>
      </c>
      <c r="H755" s="37" cm="1">
        <f t="array" ref="H755">IFERROR(SUMPRODUCT(Tracking[Amount], --(Tracking[Date]&lt;=Tracking[[#This Row],[Date]]), (Tracking[Type]&lt;&gt;"Income") * (-1) + (Tracking[Type]="Income")), "-")</f>
        <v>6783</v>
      </c>
      <c r="I755" s="95">
        <f>IF(AND(Tracking[[#This Row],[Type]]="Income", shift_late_income_status="Active", DAY(Tracking[[#This Row],[Date]])&gt;=shift_late_income_starting_day),
      DATE(YEAR(Tracking[[#This Row],[Date]]), MONTH(Tracking[[#This Row],[Date]])+1, 1),
      Tracking[[#This Row],[Date]])</f>
        <v>45880</v>
      </c>
    </row>
    <row r="756" spans="3:9" hidden="1" outlineLevel="1" x14ac:dyDescent="0.2">
      <c r="C756" s="94">
        <v>45880</v>
      </c>
      <c r="D756" s="32" t="s">
        <v>47</v>
      </c>
      <c r="E756" s="32" t="s">
        <v>49</v>
      </c>
      <c r="F756" s="34">
        <v>27</v>
      </c>
      <c r="G756" s="35" t="s">
        <v>528</v>
      </c>
      <c r="H756" s="37" cm="1">
        <f t="array" ref="H756">IFERROR(SUMPRODUCT(Tracking[Amount], --(Tracking[Date]&lt;=Tracking[[#This Row],[Date]]), (Tracking[Type]&lt;&gt;"Income") * (-1) + (Tracking[Type]="Income")), "-")</f>
        <v>6783</v>
      </c>
      <c r="I756" s="95">
        <f>IF(AND(Tracking[[#This Row],[Type]]="Income", shift_late_income_status="Active", DAY(Tracking[[#This Row],[Date]])&gt;=shift_late_income_starting_day),
      DATE(YEAR(Tracking[[#This Row],[Date]]), MONTH(Tracking[[#This Row],[Date]])+1, 1),
      Tracking[[#This Row],[Date]])</f>
        <v>45880</v>
      </c>
    </row>
    <row r="757" spans="3:9" hidden="1" outlineLevel="1" x14ac:dyDescent="0.2">
      <c r="C757" s="94">
        <v>45880</v>
      </c>
      <c r="D757" s="32" t="s">
        <v>47</v>
      </c>
      <c r="E757" s="32" t="s">
        <v>235</v>
      </c>
      <c r="F757" s="34">
        <v>25</v>
      </c>
      <c r="G757" s="35" t="s">
        <v>455</v>
      </c>
      <c r="H757" s="37" cm="1">
        <f t="array" ref="H757">IFERROR(SUMPRODUCT(Tracking[Amount], --(Tracking[Date]&lt;=Tracking[[#This Row],[Date]]), (Tracking[Type]&lt;&gt;"Income") * (-1) + (Tracking[Type]="Income")), "-")</f>
        <v>6783</v>
      </c>
      <c r="I757" s="95">
        <f>IF(AND(Tracking[[#This Row],[Type]]="Income", shift_late_income_status="Active", DAY(Tracking[[#This Row],[Date]])&gt;=shift_late_income_starting_day),
      DATE(YEAR(Tracking[[#This Row],[Date]]), MONTH(Tracking[[#This Row],[Date]])+1, 1),
      Tracking[[#This Row],[Date]])</f>
        <v>45880</v>
      </c>
    </row>
    <row r="758" spans="3:9" hidden="1" outlineLevel="1" x14ac:dyDescent="0.2">
      <c r="C758" s="94">
        <v>45880</v>
      </c>
      <c r="D758" s="32" t="s">
        <v>47</v>
      </c>
      <c r="E758" s="32" t="s">
        <v>60</v>
      </c>
      <c r="F758" s="34">
        <v>7</v>
      </c>
      <c r="G758" s="35" t="s">
        <v>338</v>
      </c>
      <c r="H758" s="37" cm="1">
        <f t="array" ref="H758">IFERROR(SUMPRODUCT(Tracking[Amount], --(Tracking[Date]&lt;=Tracking[[#This Row],[Date]]), (Tracking[Type]&lt;&gt;"Income") * (-1) + (Tracking[Type]="Income")), "-")</f>
        <v>6783</v>
      </c>
      <c r="I758" s="95">
        <f>IF(AND(Tracking[[#This Row],[Type]]="Income", shift_late_income_status="Active", DAY(Tracking[[#This Row],[Date]])&gt;=shift_late_income_starting_day),
      DATE(YEAR(Tracking[[#This Row],[Date]]), MONTH(Tracking[[#This Row],[Date]])+1, 1),
      Tracking[[#This Row],[Date]])</f>
        <v>45880</v>
      </c>
    </row>
    <row r="759" spans="3:9" hidden="1" outlineLevel="1" x14ac:dyDescent="0.2">
      <c r="C759" s="94">
        <v>45881</v>
      </c>
      <c r="D759" s="32" t="s">
        <v>47</v>
      </c>
      <c r="E759" s="32" t="s">
        <v>44</v>
      </c>
      <c r="F759" s="34">
        <v>249</v>
      </c>
      <c r="G759" s="35" t="s">
        <v>529</v>
      </c>
      <c r="H759" s="37" cm="1">
        <f t="array" ref="H759">IFERROR(SUMPRODUCT(Tracking[Amount], --(Tracking[Date]&lt;=Tracking[[#This Row],[Date]]), (Tracking[Type]&lt;&gt;"Income") * (-1) + (Tracking[Type]="Income")), "-")</f>
        <v>6574</v>
      </c>
      <c r="I759" s="95">
        <f>IF(AND(Tracking[[#This Row],[Type]]="Income", shift_late_income_status="Active", DAY(Tracking[[#This Row],[Date]])&gt;=shift_late_income_starting_day),
      DATE(YEAR(Tracking[[#This Row],[Date]]), MONTH(Tracking[[#This Row],[Date]])+1, 1),
      Tracking[[#This Row],[Date]])</f>
        <v>45881</v>
      </c>
    </row>
    <row r="760" spans="3:9" hidden="1" outlineLevel="1" x14ac:dyDescent="0.2">
      <c r="C760" s="94">
        <v>45881</v>
      </c>
      <c r="D760" s="32" t="s">
        <v>47</v>
      </c>
      <c r="E760" s="32" t="s">
        <v>44</v>
      </c>
      <c r="F760" s="34">
        <v>-40</v>
      </c>
      <c r="G760" s="35" t="s">
        <v>530</v>
      </c>
      <c r="H760" s="37" cm="1">
        <f t="array" ref="H760">IFERROR(SUMPRODUCT(Tracking[Amount], --(Tracking[Date]&lt;=Tracking[[#This Row],[Date]]), (Tracking[Type]&lt;&gt;"Income") * (-1) + (Tracking[Type]="Income")), "-")</f>
        <v>6574</v>
      </c>
      <c r="I760" s="95">
        <f>IF(AND(Tracking[[#This Row],[Type]]="Income", shift_late_income_status="Active", DAY(Tracking[[#This Row],[Date]])&gt;=shift_late_income_starting_day),
      DATE(YEAR(Tracking[[#This Row],[Date]]), MONTH(Tracking[[#This Row],[Date]])+1, 1),
      Tracking[[#This Row],[Date]])</f>
        <v>45881</v>
      </c>
    </row>
    <row r="761" spans="3:9" hidden="1" outlineLevel="1" x14ac:dyDescent="0.2">
      <c r="C761" s="94">
        <v>45882</v>
      </c>
      <c r="D761" s="32" t="s">
        <v>47</v>
      </c>
      <c r="E761" s="32" t="s">
        <v>44</v>
      </c>
      <c r="F761" s="34">
        <v>250</v>
      </c>
      <c r="G761" s="35" t="s">
        <v>531</v>
      </c>
      <c r="H761" s="37" cm="1">
        <f t="array" ref="H761">IFERROR(SUMPRODUCT(Tracking[Amount], --(Tracking[Date]&lt;=Tracking[[#This Row],[Date]]), (Tracking[Type]&lt;&gt;"Income") * (-1) + (Tracking[Type]="Income")), "-")</f>
        <v>6303</v>
      </c>
      <c r="I761" s="95">
        <f>IF(AND(Tracking[[#This Row],[Type]]="Income", shift_late_income_status="Active", DAY(Tracking[[#This Row],[Date]])&gt;=shift_late_income_starting_day),
      DATE(YEAR(Tracking[[#This Row],[Date]]), MONTH(Tracking[[#This Row],[Date]])+1, 1),
      Tracking[[#This Row],[Date]])</f>
        <v>45882</v>
      </c>
    </row>
    <row r="762" spans="3:9" hidden="1" outlineLevel="1" x14ac:dyDescent="0.2">
      <c r="C762" s="94">
        <v>45882</v>
      </c>
      <c r="D762" s="32" t="s">
        <v>47</v>
      </c>
      <c r="E762" s="32" t="s">
        <v>52</v>
      </c>
      <c r="F762" s="34">
        <v>20</v>
      </c>
      <c r="G762" s="35" t="s">
        <v>532</v>
      </c>
      <c r="H762" s="37" cm="1">
        <f t="array" ref="H762">IFERROR(SUMPRODUCT(Tracking[Amount], --(Tracking[Date]&lt;=Tracking[[#This Row],[Date]]), (Tracking[Type]&lt;&gt;"Income") * (-1) + (Tracking[Type]="Income")), "-")</f>
        <v>6303</v>
      </c>
      <c r="I762" s="95">
        <f>IF(AND(Tracking[[#This Row],[Type]]="Income", shift_late_income_status="Active", DAY(Tracking[[#This Row],[Date]])&gt;=shift_late_income_starting_day),
      DATE(YEAR(Tracking[[#This Row],[Date]]), MONTH(Tracking[[#This Row],[Date]])+1, 1),
      Tracking[[#This Row],[Date]])</f>
        <v>45882</v>
      </c>
    </row>
    <row r="763" spans="3:9" hidden="1" outlineLevel="1" x14ac:dyDescent="0.2">
      <c r="C763" s="94">
        <v>45882</v>
      </c>
      <c r="D763" s="32" t="s">
        <v>47</v>
      </c>
      <c r="E763" s="32" t="s">
        <v>60</v>
      </c>
      <c r="F763" s="34">
        <v>1</v>
      </c>
      <c r="G763" s="35" t="s">
        <v>232</v>
      </c>
      <c r="H763" s="37" cm="1">
        <f t="array" ref="H763">IFERROR(SUMPRODUCT(Tracking[Amount], --(Tracking[Date]&lt;=Tracking[[#This Row],[Date]]), (Tracking[Type]&lt;&gt;"Income") * (-1) + (Tracking[Type]="Income")), "-")</f>
        <v>6303</v>
      </c>
      <c r="I763" s="95">
        <f>IF(AND(Tracking[[#This Row],[Type]]="Income", shift_late_income_status="Active", DAY(Tracking[[#This Row],[Date]])&gt;=shift_late_income_starting_day),
      DATE(YEAR(Tracking[[#This Row],[Date]]), MONTH(Tracking[[#This Row],[Date]])+1, 1),
      Tracking[[#This Row],[Date]])</f>
        <v>45882</v>
      </c>
    </row>
    <row r="764" spans="3:9" hidden="1" outlineLevel="1" x14ac:dyDescent="0.2">
      <c r="C764" s="94">
        <v>45883</v>
      </c>
      <c r="D764" s="32" t="s">
        <v>47</v>
      </c>
      <c r="E764" s="32" t="s">
        <v>48</v>
      </c>
      <c r="F764" s="34">
        <v>45</v>
      </c>
      <c r="G764" s="35"/>
      <c r="H764" s="37" cm="1">
        <f t="array" ref="H764">IFERROR(SUMPRODUCT(Tracking[Amount], --(Tracking[Date]&lt;=Tracking[[#This Row],[Date]]), (Tracking[Type]&lt;&gt;"Income") * (-1) + (Tracking[Type]="Income")), "-")</f>
        <v>6494</v>
      </c>
      <c r="I764" s="95">
        <f>IF(AND(Tracking[[#This Row],[Type]]="Income", shift_late_income_status="Active", DAY(Tracking[[#This Row],[Date]])&gt;=shift_late_income_starting_day),
      DATE(YEAR(Tracking[[#This Row],[Date]]), MONTH(Tracking[[#This Row],[Date]])+1, 1),
      Tracking[[#This Row],[Date]])</f>
        <v>45883</v>
      </c>
    </row>
    <row r="765" spans="3:9" hidden="1" outlineLevel="1" x14ac:dyDescent="0.2">
      <c r="C765" s="94">
        <v>45883</v>
      </c>
      <c r="D765" s="32" t="s">
        <v>47</v>
      </c>
      <c r="E765" s="32" t="s">
        <v>50</v>
      </c>
      <c r="F765" s="34">
        <v>14</v>
      </c>
      <c r="G765" s="35"/>
      <c r="H765" s="37" cm="1">
        <f t="array" ref="H765">IFERROR(SUMPRODUCT(Tracking[Amount], --(Tracking[Date]&lt;=Tracking[[#This Row],[Date]]), (Tracking[Type]&lt;&gt;"Income") * (-1) + (Tracking[Type]="Income")), "-")</f>
        <v>6494</v>
      </c>
      <c r="I765" s="95">
        <f>IF(AND(Tracking[[#This Row],[Type]]="Income", shift_late_income_status="Active", DAY(Tracking[[#This Row],[Date]])&gt;=shift_late_income_starting_day),
      DATE(YEAR(Tracking[[#This Row],[Date]]), MONTH(Tracking[[#This Row],[Date]])+1, 1),
      Tracking[[#This Row],[Date]])</f>
        <v>45883</v>
      </c>
    </row>
    <row r="766" spans="3:9" hidden="1" outlineLevel="1" x14ac:dyDescent="0.2">
      <c r="C766" s="94">
        <v>45883</v>
      </c>
      <c r="D766" s="32" t="s">
        <v>40</v>
      </c>
      <c r="E766" s="32" t="s">
        <v>43</v>
      </c>
      <c r="F766" s="34">
        <v>250</v>
      </c>
      <c r="G766" s="35"/>
      <c r="H766" s="37" cm="1">
        <f t="array" ref="H766">IFERROR(SUMPRODUCT(Tracking[Amount], --(Tracking[Date]&lt;=Tracking[[#This Row],[Date]]), (Tracking[Type]&lt;&gt;"Income") * (-1) + (Tracking[Type]="Income")), "-")</f>
        <v>6494</v>
      </c>
      <c r="I766" s="95">
        <f>IF(AND(Tracking[[#This Row],[Type]]="Income", shift_late_income_status="Active", DAY(Tracking[[#This Row],[Date]])&gt;=shift_late_income_starting_day),
      DATE(YEAR(Tracking[[#This Row],[Date]]), MONTH(Tracking[[#This Row],[Date]])+1, 1),
      Tracking[[#This Row],[Date]])</f>
        <v>45883</v>
      </c>
    </row>
    <row r="767" spans="3:9" hidden="1" outlineLevel="1" x14ac:dyDescent="0.2">
      <c r="C767" s="94">
        <v>45884</v>
      </c>
      <c r="D767" s="32" t="s">
        <v>47</v>
      </c>
      <c r="E767" s="32" t="s">
        <v>59</v>
      </c>
      <c r="F767" s="34">
        <v>34</v>
      </c>
      <c r="G767" s="35" t="s">
        <v>418</v>
      </c>
      <c r="H767" s="37" cm="1">
        <f t="array" ref="H767">IFERROR(SUMPRODUCT(Tracking[Amount], --(Tracking[Date]&lt;=Tracking[[#This Row],[Date]]), (Tracking[Type]&lt;&gt;"Income") * (-1) + (Tracking[Type]="Income")), "-")</f>
        <v>6457</v>
      </c>
      <c r="I767" s="95">
        <f>IF(AND(Tracking[[#This Row],[Type]]="Income", shift_late_income_status="Active", DAY(Tracking[[#This Row],[Date]])&gt;=shift_late_income_starting_day),
      DATE(YEAR(Tracking[[#This Row],[Date]]), MONTH(Tracking[[#This Row],[Date]])+1, 1),
      Tracking[[#This Row],[Date]])</f>
        <v>45884</v>
      </c>
    </row>
    <row r="768" spans="3:9" hidden="1" outlineLevel="1" x14ac:dyDescent="0.2">
      <c r="C768" s="94">
        <v>45884</v>
      </c>
      <c r="D768" s="32" t="s">
        <v>47</v>
      </c>
      <c r="E768" s="32" t="s">
        <v>48</v>
      </c>
      <c r="F768" s="34">
        <v>3</v>
      </c>
      <c r="G768" s="35"/>
      <c r="H768" s="37" cm="1">
        <f t="array" ref="H768">IFERROR(SUMPRODUCT(Tracking[Amount], --(Tracking[Date]&lt;=Tracking[[#This Row],[Date]]), (Tracking[Type]&lt;&gt;"Income") * (-1) + (Tracking[Type]="Income")), "-")</f>
        <v>6457</v>
      </c>
      <c r="I768" s="95">
        <f>IF(AND(Tracking[[#This Row],[Type]]="Income", shift_late_income_status="Active", DAY(Tracking[[#This Row],[Date]])&gt;=shift_late_income_starting_day),
      DATE(YEAR(Tracking[[#This Row],[Date]]), MONTH(Tracking[[#This Row],[Date]])+1, 1),
      Tracking[[#This Row],[Date]])</f>
        <v>45884</v>
      </c>
    </row>
    <row r="769" spans="3:9" hidden="1" outlineLevel="1" x14ac:dyDescent="0.2">
      <c r="C769" s="94">
        <v>45885</v>
      </c>
      <c r="D769" s="32" t="s">
        <v>47</v>
      </c>
      <c r="E769" s="32" t="s">
        <v>48</v>
      </c>
      <c r="F769" s="34">
        <v>8</v>
      </c>
      <c r="G769" s="35"/>
      <c r="H769" s="37" cm="1">
        <f t="array" ref="H769">IFERROR(SUMPRODUCT(Tracking[Amount], --(Tracking[Date]&lt;=Tracking[[#This Row],[Date]]), (Tracking[Type]&lt;&gt;"Income") * (-1) + (Tracking[Type]="Income")), "-")</f>
        <v>6428</v>
      </c>
      <c r="I769" s="95">
        <f>IF(AND(Tracking[[#This Row],[Type]]="Income", shift_late_income_status="Active", DAY(Tracking[[#This Row],[Date]])&gt;=shift_late_income_starting_day),
      DATE(YEAR(Tracking[[#This Row],[Date]]), MONTH(Tracking[[#This Row],[Date]])+1, 1),
      Tracking[[#This Row],[Date]])</f>
        <v>45885</v>
      </c>
    </row>
    <row r="770" spans="3:9" hidden="1" outlineLevel="1" x14ac:dyDescent="0.2">
      <c r="C770" s="94">
        <v>45886</v>
      </c>
      <c r="D770" s="32" t="s">
        <v>47</v>
      </c>
      <c r="E770" s="32" t="s">
        <v>51</v>
      </c>
      <c r="F770" s="34">
        <v>112</v>
      </c>
      <c r="G770" s="35" t="s">
        <v>358</v>
      </c>
      <c r="H770" s="37" cm="1">
        <f t="array" ref="H770">IFERROR(SUMPRODUCT(Tracking[Amount], --(Tracking[Date]&lt;=Tracking[[#This Row],[Date]]), (Tracking[Type]&lt;&gt;"Income") * (-1) + (Tracking[Type]="Income")), "-")</f>
        <v>6191</v>
      </c>
      <c r="I770" s="95">
        <f>IF(AND(Tracking[[#This Row],[Type]]="Income", shift_late_income_status="Active", DAY(Tracking[[#This Row],[Date]])&gt;=shift_late_income_starting_day),
      DATE(YEAR(Tracking[[#This Row],[Date]]), MONTH(Tracking[[#This Row],[Date]])+1, 1),
      Tracking[[#This Row],[Date]])</f>
        <v>45886</v>
      </c>
    </row>
    <row r="771" spans="3:9" hidden="1" outlineLevel="1" x14ac:dyDescent="0.2">
      <c r="C771" s="94">
        <v>45886</v>
      </c>
      <c r="D771" s="32" t="s">
        <v>47</v>
      </c>
      <c r="E771" s="32" t="s">
        <v>49</v>
      </c>
      <c r="F771" s="34">
        <v>55</v>
      </c>
      <c r="G771" s="35" t="s">
        <v>533</v>
      </c>
      <c r="H771" s="37" cm="1">
        <f t="array" ref="H771">IFERROR(SUMPRODUCT(Tracking[Amount], --(Tracking[Date]&lt;=Tracking[[#This Row],[Date]]), (Tracking[Type]&lt;&gt;"Income") * (-1) + (Tracking[Type]="Income")), "-")</f>
        <v>6191</v>
      </c>
      <c r="I771" s="95">
        <f>IF(AND(Tracking[[#This Row],[Type]]="Income", shift_late_income_status="Active", DAY(Tracking[[#This Row],[Date]])&gt;=shift_late_income_starting_day),
      DATE(YEAR(Tracking[[#This Row],[Date]]), MONTH(Tracking[[#This Row],[Date]])+1, 1),
      Tracking[[#This Row],[Date]])</f>
        <v>45886</v>
      </c>
    </row>
    <row r="772" spans="3:9" hidden="1" outlineLevel="1" x14ac:dyDescent="0.2">
      <c r="C772" s="94">
        <v>45887</v>
      </c>
      <c r="D772" s="32" t="s">
        <v>47</v>
      </c>
      <c r="E772" s="32" t="s">
        <v>48</v>
      </c>
      <c r="F772" s="34">
        <v>11</v>
      </c>
      <c r="G772" s="35"/>
      <c r="H772" s="37" cm="1">
        <f t="array" ref="H772">IFERROR(SUMPRODUCT(Tracking[Amount], --(Tracking[Date]&lt;=Tracking[[#This Row],[Date]]), (Tracking[Type]&lt;&gt;"Income") * (-1) + (Tracking[Type]="Income")), "-")</f>
        <v>6127</v>
      </c>
      <c r="I772" s="95">
        <f>IF(AND(Tracking[[#This Row],[Type]]="Income", shift_late_income_status="Active", DAY(Tracking[[#This Row],[Date]])&gt;=shift_late_income_starting_day),
      DATE(YEAR(Tracking[[#This Row],[Date]]), MONTH(Tracking[[#This Row],[Date]])+1, 1),
      Tracking[[#This Row],[Date]])</f>
        <v>45887</v>
      </c>
    </row>
    <row r="773" spans="3:9" hidden="1" outlineLevel="1" x14ac:dyDescent="0.2">
      <c r="C773" s="94">
        <v>45887</v>
      </c>
      <c r="D773" s="32" t="s">
        <v>47</v>
      </c>
      <c r="E773" s="32" t="s">
        <v>49</v>
      </c>
      <c r="F773" s="34">
        <v>53</v>
      </c>
      <c r="G773" s="35" t="s">
        <v>534</v>
      </c>
      <c r="H773" s="37" cm="1">
        <f t="array" ref="H773">IFERROR(SUMPRODUCT(Tracking[Amount], --(Tracking[Date]&lt;=Tracking[[#This Row],[Date]]), (Tracking[Type]&lt;&gt;"Income") * (-1) + (Tracking[Type]="Income")), "-")</f>
        <v>6127</v>
      </c>
      <c r="I773" s="95">
        <f>IF(AND(Tracking[[#This Row],[Type]]="Income", shift_late_income_status="Active", DAY(Tracking[[#This Row],[Date]])&gt;=shift_late_income_starting_day),
      DATE(YEAR(Tracking[[#This Row],[Date]]), MONTH(Tracking[[#This Row],[Date]])+1, 1),
      Tracking[[#This Row],[Date]])</f>
        <v>45887</v>
      </c>
    </row>
    <row r="774" spans="3:9" hidden="1" outlineLevel="1" x14ac:dyDescent="0.2">
      <c r="C774" s="94">
        <v>45888</v>
      </c>
      <c r="D774" s="32" t="s">
        <v>47</v>
      </c>
      <c r="E774" s="32" t="s">
        <v>49</v>
      </c>
      <c r="F774" s="34">
        <v>72</v>
      </c>
      <c r="G774" s="35" t="s">
        <v>535</v>
      </c>
      <c r="H774" s="37" cm="1">
        <f t="array" ref="H774">IFERROR(SUMPRODUCT(Tracking[Amount], --(Tracking[Date]&lt;=Tracking[[#This Row],[Date]]), (Tracking[Type]&lt;&gt;"Income") * (-1) + (Tracking[Type]="Income")), "-")</f>
        <v>5986</v>
      </c>
      <c r="I774" s="95">
        <f>IF(AND(Tracking[[#This Row],[Type]]="Income", shift_late_income_status="Active", DAY(Tracking[[#This Row],[Date]])&gt;=shift_late_income_starting_day),
      DATE(YEAR(Tracking[[#This Row],[Date]]), MONTH(Tracking[[#This Row],[Date]])+1, 1),
      Tracking[[#This Row],[Date]])</f>
        <v>45888</v>
      </c>
    </row>
    <row r="775" spans="3:9" hidden="1" outlineLevel="1" x14ac:dyDescent="0.2">
      <c r="C775" s="94">
        <v>45888</v>
      </c>
      <c r="D775" s="32" t="s">
        <v>47</v>
      </c>
      <c r="E775" s="32" t="s">
        <v>235</v>
      </c>
      <c r="F775" s="34">
        <v>48</v>
      </c>
      <c r="G775" s="35" t="s">
        <v>536</v>
      </c>
      <c r="H775" s="37" cm="1">
        <f t="array" ref="H775">IFERROR(SUMPRODUCT(Tracking[Amount], --(Tracking[Date]&lt;=Tracking[[#This Row],[Date]]), (Tracking[Type]&lt;&gt;"Income") * (-1) + (Tracking[Type]="Income")), "-")</f>
        <v>5986</v>
      </c>
      <c r="I775" s="95">
        <f>IF(AND(Tracking[[#This Row],[Type]]="Income", shift_late_income_status="Active", DAY(Tracking[[#This Row],[Date]])&gt;=shift_late_income_starting_day),
      DATE(YEAR(Tracking[[#This Row],[Date]]), MONTH(Tracking[[#This Row],[Date]])+1, 1),
      Tracking[[#This Row],[Date]])</f>
        <v>45888</v>
      </c>
    </row>
    <row r="776" spans="3:9" hidden="1" outlineLevel="1" x14ac:dyDescent="0.2">
      <c r="C776" s="94">
        <v>45888</v>
      </c>
      <c r="D776" s="32" t="s">
        <v>47</v>
      </c>
      <c r="E776" s="32" t="s">
        <v>60</v>
      </c>
      <c r="F776" s="34">
        <v>12</v>
      </c>
      <c r="G776" s="35" t="s">
        <v>338</v>
      </c>
      <c r="H776" s="37" cm="1">
        <f t="array" ref="H776">IFERROR(SUMPRODUCT(Tracking[Amount], --(Tracking[Date]&lt;=Tracking[[#This Row],[Date]]), (Tracking[Type]&lt;&gt;"Income") * (-1) + (Tracking[Type]="Income")), "-")</f>
        <v>5986</v>
      </c>
      <c r="I776" s="95">
        <f>IF(AND(Tracking[[#This Row],[Type]]="Income", shift_late_income_status="Active", DAY(Tracking[[#This Row],[Date]])&gt;=shift_late_income_starting_day),
      DATE(YEAR(Tracking[[#This Row],[Date]]), MONTH(Tracking[[#This Row],[Date]])+1, 1),
      Tracking[[#This Row],[Date]])</f>
        <v>45888</v>
      </c>
    </row>
    <row r="777" spans="3:9" hidden="1" outlineLevel="1" x14ac:dyDescent="0.2">
      <c r="C777" s="94">
        <v>45888</v>
      </c>
      <c r="D777" s="32" t="s">
        <v>47</v>
      </c>
      <c r="E777" s="32" t="s">
        <v>44</v>
      </c>
      <c r="F777" s="34">
        <v>9</v>
      </c>
      <c r="G777" s="35" t="s">
        <v>537</v>
      </c>
      <c r="H777" s="37" cm="1">
        <f t="array" ref="H777">IFERROR(SUMPRODUCT(Tracking[Amount], --(Tracking[Date]&lt;=Tracking[[#This Row],[Date]]), (Tracking[Type]&lt;&gt;"Income") * (-1) + (Tracking[Type]="Income")), "-")</f>
        <v>5986</v>
      </c>
      <c r="I777" s="95">
        <f>IF(AND(Tracking[[#This Row],[Type]]="Income", shift_late_income_status="Active", DAY(Tracking[[#This Row],[Date]])&gt;=shift_late_income_starting_day),
      DATE(YEAR(Tracking[[#This Row],[Date]]), MONTH(Tracking[[#This Row],[Date]])+1, 1),
      Tracking[[#This Row],[Date]])</f>
        <v>45888</v>
      </c>
    </row>
    <row r="778" spans="3:9" hidden="1" outlineLevel="1" x14ac:dyDescent="0.2">
      <c r="C778" s="94">
        <v>45889</v>
      </c>
      <c r="D778" s="32" t="s">
        <v>47</v>
      </c>
      <c r="E778" s="32" t="s">
        <v>49</v>
      </c>
      <c r="F778" s="34">
        <v>164</v>
      </c>
      <c r="G778" s="35" t="s">
        <v>538</v>
      </c>
      <c r="H778" s="37" cm="1">
        <f t="array" ref="H778">IFERROR(SUMPRODUCT(Tracking[Amount], --(Tracking[Date]&lt;=Tracking[[#This Row],[Date]]), (Tracking[Type]&lt;&gt;"Income") * (-1) + (Tracking[Type]="Income")), "-")</f>
        <v>5788</v>
      </c>
      <c r="I778" s="95">
        <f>IF(AND(Tracking[[#This Row],[Type]]="Income", shift_late_income_status="Active", DAY(Tracking[[#This Row],[Date]])&gt;=shift_late_income_starting_day),
      DATE(YEAR(Tracking[[#This Row],[Date]]), MONTH(Tracking[[#This Row],[Date]])+1, 1),
      Tracking[[#This Row],[Date]])</f>
        <v>45889</v>
      </c>
    </row>
    <row r="779" spans="3:9" hidden="1" outlineLevel="1" x14ac:dyDescent="0.2">
      <c r="C779" s="94">
        <v>45889</v>
      </c>
      <c r="D779" s="32" t="s">
        <v>47</v>
      </c>
      <c r="E779" s="32" t="s">
        <v>51</v>
      </c>
      <c r="F779" s="34">
        <v>34</v>
      </c>
      <c r="G779" s="35" t="s">
        <v>358</v>
      </c>
      <c r="H779" s="37" cm="1">
        <f t="array" ref="H779">IFERROR(SUMPRODUCT(Tracking[Amount], --(Tracking[Date]&lt;=Tracking[[#This Row],[Date]]), (Tracking[Type]&lt;&gt;"Income") * (-1) + (Tracking[Type]="Income")), "-")</f>
        <v>5788</v>
      </c>
      <c r="I779" s="95">
        <f>IF(AND(Tracking[[#This Row],[Type]]="Income", shift_late_income_status="Active", DAY(Tracking[[#This Row],[Date]])&gt;=shift_late_income_starting_day),
      DATE(YEAR(Tracking[[#This Row],[Date]]), MONTH(Tracking[[#This Row],[Date]])+1, 1),
      Tracking[[#This Row],[Date]])</f>
        <v>45889</v>
      </c>
    </row>
    <row r="780" spans="3:9" hidden="1" outlineLevel="1" x14ac:dyDescent="0.2">
      <c r="C780" s="94">
        <v>45886</v>
      </c>
      <c r="D780" s="32" t="s">
        <v>47</v>
      </c>
      <c r="E780" s="32" t="s">
        <v>49</v>
      </c>
      <c r="F780" s="34">
        <v>70</v>
      </c>
      <c r="G780" s="35" t="s">
        <v>539</v>
      </c>
      <c r="H780" s="37" cm="1">
        <f t="array" ref="H780">IFERROR(SUMPRODUCT(Tracking[Amount], --(Tracking[Date]&lt;=Tracking[[#This Row],[Date]]), (Tracking[Type]&lt;&gt;"Income") * (-1) + (Tracking[Type]="Income")), "-")</f>
        <v>6191</v>
      </c>
      <c r="I780" s="95">
        <f>IF(AND(Tracking[[#This Row],[Type]]="Income", shift_late_income_status="Active", DAY(Tracking[[#This Row],[Date]])&gt;=shift_late_income_starting_day),
      DATE(YEAR(Tracking[[#This Row],[Date]]), MONTH(Tracking[[#This Row],[Date]])+1, 1),
      Tracking[[#This Row],[Date]])</f>
        <v>45886</v>
      </c>
    </row>
    <row r="781" spans="3:9" hidden="1" outlineLevel="1" x14ac:dyDescent="0.2">
      <c r="C781" s="94">
        <v>45890</v>
      </c>
      <c r="D781" s="32" t="s">
        <v>47</v>
      </c>
      <c r="E781" s="32" t="s">
        <v>58</v>
      </c>
      <c r="F781" s="34">
        <v>151</v>
      </c>
      <c r="G781" s="35" t="s">
        <v>540</v>
      </c>
      <c r="H781" s="37" cm="1">
        <f t="array" ref="H781">IFERROR(SUMPRODUCT(Tracking[Amount], --(Tracking[Date]&lt;=Tracking[[#This Row],[Date]]), (Tracking[Type]&lt;&gt;"Income") * (-1) + (Tracking[Type]="Income")), "-")</f>
        <v>5637</v>
      </c>
      <c r="I781" s="95">
        <f>IF(AND(Tracking[[#This Row],[Type]]="Income", shift_late_income_status="Active", DAY(Tracking[[#This Row],[Date]])&gt;=shift_late_income_starting_day),
      DATE(YEAR(Tracking[[#This Row],[Date]]), MONTH(Tracking[[#This Row],[Date]])+1, 1),
      Tracking[[#This Row],[Date]])</f>
        <v>45890</v>
      </c>
    </row>
    <row r="782" spans="3:9" hidden="1" outlineLevel="1" x14ac:dyDescent="0.2">
      <c r="C782" s="94">
        <v>45885</v>
      </c>
      <c r="D782" s="32" t="s">
        <v>47</v>
      </c>
      <c r="E782" s="32" t="s">
        <v>59</v>
      </c>
      <c r="F782" s="34">
        <v>21</v>
      </c>
      <c r="G782" s="35" t="s">
        <v>218</v>
      </c>
      <c r="H782" s="37" cm="1">
        <f t="array" ref="H782">IFERROR(SUMPRODUCT(Tracking[Amount], --(Tracking[Date]&lt;=Tracking[[#This Row],[Date]]), (Tracking[Type]&lt;&gt;"Income") * (-1) + (Tracking[Type]="Income")), "-")</f>
        <v>6428</v>
      </c>
      <c r="I782" s="95">
        <f>IF(AND(Tracking[[#This Row],[Type]]="Income", shift_late_income_status="Active", DAY(Tracking[[#This Row],[Date]])&gt;=shift_late_income_starting_day),
      DATE(YEAR(Tracking[[#This Row],[Date]]), MONTH(Tracking[[#This Row],[Date]])+1, 1),
      Tracking[[#This Row],[Date]])</f>
        <v>45885</v>
      </c>
    </row>
    <row r="783" spans="3:9" hidden="1" outlineLevel="1" x14ac:dyDescent="0.2">
      <c r="C783" s="94">
        <v>45891</v>
      </c>
      <c r="D783" s="32" t="s">
        <v>47</v>
      </c>
      <c r="E783" s="32" t="s">
        <v>48</v>
      </c>
      <c r="F783" s="34">
        <v>47</v>
      </c>
      <c r="G783" s="35"/>
      <c r="H783" s="37" cm="1">
        <f t="array" ref="H783">IFERROR(SUMPRODUCT(Tracking[Amount], --(Tracking[Date]&lt;=Tracking[[#This Row],[Date]]), (Tracking[Type]&lt;&gt;"Income") * (-1) + (Tracking[Type]="Income")), "-")</f>
        <v>5572</v>
      </c>
      <c r="I783" s="95">
        <f>IF(AND(Tracking[[#This Row],[Type]]="Income", shift_late_income_status="Active", DAY(Tracking[[#This Row],[Date]])&gt;=shift_late_income_starting_day),
      DATE(YEAR(Tracking[[#This Row],[Date]]), MONTH(Tracking[[#This Row],[Date]])+1, 1),
      Tracking[[#This Row],[Date]])</f>
        <v>45891</v>
      </c>
    </row>
    <row r="784" spans="3:9" hidden="1" outlineLevel="1" x14ac:dyDescent="0.2">
      <c r="C784" s="94">
        <v>45891</v>
      </c>
      <c r="D784" s="32" t="s">
        <v>47</v>
      </c>
      <c r="E784" s="32" t="s">
        <v>49</v>
      </c>
      <c r="F784" s="34">
        <v>18</v>
      </c>
      <c r="G784" s="35"/>
      <c r="H784" s="37" cm="1">
        <f t="array" ref="H784">IFERROR(SUMPRODUCT(Tracking[Amount], --(Tracking[Date]&lt;=Tracking[[#This Row],[Date]]), (Tracking[Type]&lt;&gt;"Income") * (-1) + (Tracking[Type]="Income")), "-")</f>
        <v>5572</v>
      </c>
      <c r="I784" s="95">
        <f>IF(AND(Tracking[[#This Row],[Type]]="Income", shift_late_income_status="Active", DAY(Tracking[[#This Row],[Date]])&gt;=shift_late_income_starting_day),
      DATE(YEAR(Tracking[[#This Row],[Date]]), MONTH(Tracking[[#This Row],[Date]])+1, 1),
      Tracking[[#This Row],[Date]])</f>
        <v>45891</v>
      </c>
    </row>
    <row r="785" spans="3:9" hidden="1" outlineLevel="1" x14ac:dyDescent="0.2">
      <c r="C785" s="94">
        <v>45892</v>
      </c>
      <c r="D785" s="32" t="s">
        <v>47</v>
      </c>
      <c r="E785" s="32" t="s">
        <v>49</v>
      </c>
      <c r="F785" s="34">
        <v>50</v>
      </c>
      <c r="G785" s="35" t="s">
        <v>541</v>
      </c>
      <c r="H785" s="37" cm="1">
        <f t="array" ref="H785">IFERROR(SUMPRODUCT(Tracking[Amount], --(Tracking[Date]&lt;=Tracking[[#This Row],[Date]]), (Tracking[Type]&lt;&gt;"Income") * (-1) + (Tracking[Type]="Income")), "-")</f>
        <v>5522</v>
      </c>
      <c r="I785" s="95">
        <f>IF(AND(Tracking[[#This Row],[Type]]="Income", shift_late_income_status="Active", DAY(Tracking[[#This Row],[Date]])&gt;=shift_late_income_starting_day),
      DATE(YEAR(Tracking[[#This Row],[Date]]), MONTH(Tracking[[#This Row],[Date]])+1, 1),
      Tracking[[#This Row],[Date]])</f>
        <v>45892</v>
      </c>
    </row>
    <row r="786" spans="3:9" hidden="1" outlineLevel="1" x14ac:dyDescent="0.2">
      <c r="C786" s="94">
        <v>45894</v>
      </c>
      <c r="D786" s="32" t="s">
        <v>47</v>
      </c>
      <c r="E786" s="32" t="s">
        <v>51</v>
      </c>
      <c r="F786" s="34">
        <v>7</v>
      </c>
      <c r="G786" s="35" t="s">
        <v>358</v>
      </c>
      <c r="H786" s="37" cm="1">
        <f t="array" ref="H786">IFERROR(SUMPRODUCT(Tracking[Amount], --(Tracking[Date]&lt;=Tracking[[#This Row],[Date]]), (Tracking[Type]&lt;&gt;"Income") * (-1) + (Tracking[Type]="Income")), "-")</f>
        <v>5297</v>
      </c>
      <c r="I786" s="95">
        <f>IF(AND(Tracking[[#This Row],[Type]]="Income", shift_late_income_status="Active", DAY(Tracking[[#This Row],[Date]])&gt;=shift_late_income_starting_day),
      DATE(YEAR(Tracking[[#This Row],[Date]]), MONTH(Tracking[[#This Row],[Date]])+1, 1),
      Tracking[[#This Row],[Date]])</f>
        <v>45894</v>
      </c>
    </row>
    <row r="787" spans="3:9" hidden="1" outlineLevel="1" x14ac:dyDescent="0.2">
      <c r="C787" s="94">
        <v>45894</v>
      </c>
      <c r="D787" s="32" t="s">
        <v>62</v>
      </c>
      <c r="E787" s="32" t="s">
        <v>63</v>
      </c>
      <c r="F787" s="34">
        <v>78</v>
      </c>
      <c r="G787" s="35"/>
      <c r="H787" s="37" cm="1">
        <f t="array" ref="H787">IFERROR(SUMPRODUCT(Tracking[Amount], --(Tracking[Date]&lt;=Tracking[[#This Row],[Date]]), (Tracking[Type]&lt;&gt;"Income") * (-1) + (Tracking[Type]="Income")), "-")</f>
        <v>5297</v>
      </c>
      <c r="I787" s="95">
        <f>IF(AND(Tracking[[#This Row],[Type]]="Income", shift_late_income_status="Active", DAY(Tracking[[#This Row],[Date]])&gt;=shift_late_income_starting_day),
      DATE(YEAR(Tracking[[#This Row],[Date]]), MONTH(Tracking[[#This Row],[Date]])+1, 1),
      Tracking[[#This Row],[Date]])</f>
        <v>45894</v>
      </c>
    </row>
    <row r="788" spans="3:9" hidden="1" outlineLevel="1" x14ac:dyDescent="0.2">
      <c r="C788" s="94">
        <v>45893</v>
      </c>
      <c r="D788" s="32" t="s">
        <v>47</v>
      </c>
      <c r="E788" s="32" t="s">
        <v>59</v>
      </c>
      <c r="F788" s="34">
        <v>15</v>
      </c>
      <c r="G788" s="35" t="s">
        <v>271</v>
      </c>
      <c r="H788" s="37" cm="1">
        <f t="array" ref="H788">IFERROR(SUMPRODUCT(Tracking[Amount], --(Tracking[Date]&lt;=Tracking[[#This Row],[Date]]), (Tracking[Type]&lt;&gt;"Income") * (-1) + (Tracking[Type]="Income")), "-")</f>
        <v>5475</v>
      </c>
      <c r="I788" s="95">
        <f>IF(AND(Tracking[[#This Row],[Type]]="Income", shift_late_income_status="Active", DAY(Tracking[[#This Row],[Date]])&gt;=shift_late_income_starting_day),
      DATE(YEAR(Tracking[[#This Row],[Date]]), MONTH(Tracking[[#This Row],[Date]])+1, 1),
      Tracking[[#This Row],[Date]])</f>
        <v>45893</v>
      </c>
    </row>
    <row r="789" spans="3:9" hidden="1" outlineLevel="1" x14ac:dyDescent="0.2">
      <c r="C789" s="94">
        <v>45893</v>
      </c>
      <c r="D789" s="32" t="s">
        <v>47</v>
      </c>
      <c r="E789" s="32" t="s">
        <v>49</v>
      </c>
      <c r="F789" s="34">
        <v>6</v>
      </c>
      <c r="G789" s="35" t="s">
        <v>495</v>
      </c>
      <c r="H789" s="37" cm="1">
        <f t="array" ref="H789">IFERROR(SUMPRODUCT(Tracking[Amount], --(Tracking[Date]&lt;=Tracking[[#This Row],[Date]]), (Tracking[Type]&lt;&gt;"Income") * (-1) + (Tracking[Type]="Income")), "-")</f>
        <v>5475</v>
      </c>
      <c r="I789" s="95">
        <f>IF(AND(Tracking[[#This Row],[Type]]="Income", shift_late_income_status="Active", DAY(Tracking[[#This Row],[Date]])&gt;=shift_late_income_starting_day),
      DATE(YEAR(Tracking[[#This Row],[Date]]), MONTH(Tracking[[#This Row],[Date]])+1, 1),
      Tracking[[#This Row],[Date]])</f>
        <v>45893</v>
      </c>
    </row>
    <row r="790" spans="3:9" hidden="1" outlineLevel="1" x14ac:dyDescent="0.2">
      <c r="C790" s="94">
        <v>45893</v>
      </c>
      <c r="D790" s="32" t="s">
        <v>47</v>
      </c>
      <c r="E790" s="32" t="s">
        <v>235</v>
      </c>
      <c r="F790" s="34">
        <v>26</v>
      </c>
      <c r="G790" s="35" t="s">
        <v>542</v>
      </c>
      <c r="H790" s="37" cm="1">
        <f t="array" ref="H790">IFERROR(SUMPRODUCT(Tracking[Amount], --(Tracking[Date]&lt;=Tracking[[#This Row],[Date]]), (Tracking[Type]&lt;&gt;"Income") * (-1) + (Tracking[Type]="Income")), "-")</f>
        <v>5475</v>
      </c>
      <c r="I790" s="95">
        <f>IF(AND(Tracking[[#This Row],[Type]]="Income", shift_late_income_status="Active", DAY(Tracking[[#This Row],[Date]])&gt;=shift_late_income_starting_day),
      DATE(YEAR(Tracking[[#This Row],[Date]]), MONTH(Tracking[[#This Row],[Date]])+1, 1),
      Tracking[[#This Row],[Date]])</f>
        <v>45893</v>
      </c>
    </row>
    <row r="791" spans="3:9" hidden="1" outlineLevel="1" x14ac:dyDescent="0.2">
      <c r="C791" s="94">
        <v>45894</v>
      </c>
      <c r="D791" s="32" t="s">
        <v>47</v>
      </c>
      <c r="E791" s="32" t="s">
        <v>58</v>
      </c>
      <c r="F791" s="34">
        <v>39</v>
      </c>
      <c r="G791" s="35" t="s">
        <v>487</v>
      </c>
      <c r="H791" s="37" cm="1">
        <f t="array" ref="H791">IFERROR(SUMPRODUCT(Tracking[Amount], --(Tracking[Date]&lt;=Tracking[[#This Row],[Date]]), (Tracking[Type]&lt;&gt;"Income") * (-1) + (Tracking[Type]="Income")), "-")</f>
        <v>5297</v>
      </c>
      <c r="I791" s="95">
        <f>IF(AND(Tracking[[#This Row],[Type]]="Income", shift_late_income_status="Active", DAY(Tracking[[#This Row],[Date]])&gt;=shift_late_income_starting_day),
      DATE(YEAR(Tracking[[#This Row],[Date]]), MONTH(Tracking[[#This Row],[Date]])+1, 1),
      Tracking[[#This Row],[Date]])</f>
        <v>45894</v>
      </c>
    </row>
    <row r="792" spans="3:9" hidden="1" outlineLevel="1" x14ac:dyDescent="0.2">
      <c r="C792" s="94">
        <v>45894</v>
      </c>
      <c r="D792" s="32" t="s">
        <v>47</v>
      </c>
      <c r="E792" s="32" t="s">
        <v>49</v>
      </c>
      <c r="F792" s="34">
        <v>54</v>
      </c>
      <c r="G792" s="35" t="s">
        <v>543</v>
      </c>
      <c r="H792" s="37" cm="1">
        <f t="array" ref="H792">IFERROR(SUMPRODUCT(Tracking[Amount], --(Tracking[Date]&lt;=Tracking[[#This Row],[Date]]), (Tracking[Type]&lt;&gt;"Income") * (-1) + (Tracking[Type]="Income")), "-")</f>
        <v>5297</v>
      </c>
      <c r="I792" s="95">
        <f>IF(AND(Tracking[[#This Row],[Type]]="Income", shift_late_income_status="Active", DAY(Tracking[[#This Row],[Date]])&gt;=shift_late_income_starting_day),
      DATE(YEAR(Tracking[[#This Row],[Date]]), MONTH(Tracking[[#This Row],[Date]])+1, 1),
      Tracking[[#This Row],[Date]])</f>
        <v>45894</v>
      </c>
    </row>
    <row r="793" spans="3:9" hidden="1" outlineLevel="1" x14ac:dyDescent="0.2">
      <c r="C793" s="94">
        <v>45895</v>
      </c>
      <c r="D793" s="32" t="s">
        <v>47</v>
      </c>
      <c r="E793" s="32" t="s">
        <v>58</v>
      </c>
      <c r="F793" s="34">
        <v>81</v>
      </c>
      <c r="G793" s="35" t="s">
        <v>134</v>
      </c>
      <c r="H793" s="37" cm="1">
        <f t="array" ref="H793">IFERROR(SUMPRODUCT(Tracking[Amount], --(Tracking[Date]&lt;=Tracking[[#This Row],[Date]]), (Tracking[Type]&lt;&gt;"Income") * (-1) + (Tracking[Type]="Income")), "-")</f>
        <v>5162</v>
      </c>
      <c r="I793" s="95">
        <f>IF(AND(Tracking[[#This Row],[Type]]="Income", shift_late_income_status="Active", DAY(Tracking[[#This Row],[Date]])&gt;=shift_late_income_starting_day),
      DATE(YEAR(Tracking[[#This Row],[Date]]), MONTH(Tracking[[#This Row],[Date]])+1, 1),
      Tracking[[#This Row],[Date]])</f>
        <v>45895</v>
      </c>
    </row>
    <row r="794" spans="3:9" hidden="1" outlineLevel="1" x14ac:dyDescent="0.2">
      <c r="C794" s="94">
        <v>45895</v>
      </c>
      <c r="D794" s="32" t="s">
        <v>47</v>
      </c>
      <c r="E794" s="32" t="s">
        <v>59</v>
      </c>
      <c r="F794" s="34">
        <v>16</v>
      </c>
      <c r="G794" s="35" t="s">
        <v>440</v>
      </c>
      <c r="H794" s="37" cm="1">
        <f t="array" ref="H794">IFERROR(SUMPRODUCT(Tracking[Amount], --(Tracking[Date]&lt;=Tracking[[#This Row],[Date]]), (Tracking[Type]&lt;&gt;"Income") * (-1) + (Tracking[Type]="Income")), "-")</f>
        <v>5162</v>
      </c>
      <c r="I794" s="95">
        <f>IF(AND(Tracking[[#This Row],[Type]]="Income", shift_late_income_status="Active", DAY(Tracking[[#This Row],[Date]])&gt;=shift_late_income_starting_day),
      DATE(YEAR(Tracking[[#This Row],[Date]]), MONTH(Tracking[[#This Row],[Date]])+1, 1),
      Tracking[[#This Row],[Date]])</f>
        <v>45895</v>
      </c>
    </row>
    <row r="795" spans="3:9" hidden="1" outlineLevel="1" x14ac:dyDescent="0.2">
      <c r="C795" s="94">
        <v>45895</v>
      </c>
      <c r="D795" s="32" t="s">
        <v>47</v>
      </c>
      <c r="E795" s="32" t="s">
        <v>48</v>
      </c>
      <c r="F795" s="34">
        <v>30</v>
      </c>
      <c r="G795" s="35"/>
      <c r="H795" s="37" cm="1">
        <f t="array" ref="H795">IFERROR(SUMPRODUCT(Tracking[Amount], --(Tracking[Date]&lt;=Tracking[[#This Row],[Date]]), (Tracking[Type]&lt;&gt;"Income") * (-1) + (Tracking[Type]="Income")), "-")</f>
        <v>5162</v>
      </c>
      <c r="I795" s="95">
        <f>IF(AND(Tracking[[#This Row],[Type]]="Income", shift_late_income_status="Active", DAY(Tracking[[#This Row],[Date]])&gt;=shift_late_income_starting_day),
      DATE(YEAR(Tracking[[#This Row],[Date]]), MONTH(Tracking[[#This Row],[Date]])+1, 1),
      Tracking[[#This Row],[Date]])</f>
        <v>45895</v>
      </c>
    </row>
    <row r="796" spans="3:9" hidden="1" outlineLevel="1" x14ac:dyDescent="0.2">
      <c r="C796" s="94">
        <v>45896</v>
      </c>
      <c r="D796" s="32" t="s">
        <v>47</v>
      </c>
      <c r="E796" s="32" t="s">
        <v>57</v>
      </c>
      <c r="F796" s="34">
        <v>3215</v>
      </c>
      <c r="G796" s="35"/>
      <c r="H796" s="37" cm="1">
        <f t="array" ref="H796">IFERROR(SUMPRODUCT(Tracking[Amount], --(Tracking[Date]&lt;=Tracking[[#This Row],[Date]]), (Tracking[Type]&lt;&gt;"Income") * (-1) + (Tracking[Type]="Income")), "-")</f>
        <v>1890</v>
      </c>
      <c r="I796" s="95">
        <f>IF(AND(Tracking[[#This Row],[Type]]="Income", shift_late_income_status="Active", DAY(Tracking[[#This Row],[Date]])&gt;=shift_late_income_starting_day),
      DATE(YEAR(Tracking[[#This Row],[Date]]), MONTH(Tracking[[#This Row],[Date]])+1, 1),
      Tracking[[#This Row],[Date]])</f>
        <v>45896</v>
      </c>
    </row>
    <row r="797" spans="3:9" hidden="1" outlineLevel="1" x14ac:dyDescent="0.2">
      <c r="C797" s="94">
        <v>45895</v>
      </c>
      <c r="D797" s="32" t="s">
        <v>47</v>
      </c>
      <c r="E797" s="32" t="s">
        <v>235</v>
      </c>
      <c r="F797" s="34">
        <v>8</v>
      </c>
      <c r="G797" s="35"/>
      <c r="H797" s="37" cm="1">
        <f t="array" ref="H797">IFERROR(SUMPRODUCT(Tracking[Amount], --(Tracking[Date]&lt;=Tracking[[#This Row],[Date]]), (Tracking[Type]&lt;&gt;"Income") * (-1) + (Tracking[Type]="Income")), "-")</f>
        <v>5162</v>
      </c>
      <c r="I797" s="95">
        <f>IF(AND(Tracking[[#This Row],[Type]]="Income", shift_late_income_status="Active", DAY(Tracking[[#This Row],[Date]])&gt;=shift_late_income_starting_day),
      DATE(YEAR(Tracking[[#This Row],[Date]]), MONTH(Tracking[[#This Row],[Date]])+1, 1),
      Tracking[[#This Row],[Date]])</f>
        <v>45895</v>
      </c>
    </row>
    <row r="798" spans="3:9" hidden="1" outlineLevel="1" x14ac:dyDescent="0.2">
      <c r="C798" s="94">
        <v>45896</v>
      </c>
      <c r="D798" s="32" t="s">
        <v>47</v>
      </c>
      <c r="E798" s="32" t="s">
        <v>51</v>
      </c>
      <c r="F798" s="34">
        <v>31</v>
      </c>
      <c r="G798" s="35" t="s">
        <v>358</v>
      </c>
      <c r="H798" s="37" cm="1">
        <f t="array" ref="H798">IFERROR(SUMPRODUCT(Tracking[Amount], --(Tracking[Date]&lt;=Tracking[[#This Row],[Date]]), (Tracking[Type]&lt;&gt;"Income") * (-1) + (Tracking[Type]="Income")), "-")</f>
        <v>1890</v>
      </c>
      <c r="I798" s="95">
        <f>IF(AND(Tracking[[#This Row],[Type]]="Income", shift_late_income_status="Active", DAY(Tracking[[#This Row],[Date]])&gt;=shift_late_income_starting_day),
      DATE(YEAR(Tracking[[#This Row],[Date]]), MONTH(Tracking[[#This Row],[Date]])+1, 1),
      Tracking[[#This Row],[Date]])</f>
        <v>45896</v>
      </c>
    </row>
    <row r="799" spans="3:9" hidden="1" outlineLevel="1" x14ac:dyDescent="0.2">
      <c r="C799" s="94">
        <v>45896</v>
      </c>
      <c r="D799" s="32" t="s">
        <v>47</v>
      </c>
      <c r="E799" s="32" t="s">
        <v>235</v>
      </c>
      <c r="F799" s="34">
        <v>26</v>
      </c>
      <c r="G799" s="35" t="s">
        <v>544</v>
      </c>
      <c r="H799" s="37" cm="1">
        <f t="array" ref="H799">IFERROR(SUMPRODUCT(Tracking[Amount], --(Tracking[Date]&lt;=Tracking[[#This Row],[Date]]), (Tracking[Type]&lt;&gt;"Income") * (-1) + (Tracking[Type]="Income")), "-")</f>
        <v>1890</v>
      </c>
      <c r="I799" s="95">
        <f>IF(AND(Tracking[[#This Row],[Type]]="Income", shift_late_income_status="Active", DAY(Tracking[[#This Row],[Date]])&gt;=shift_late_income_starting_day),
      DATE(YEAR(Tracking[[#This Row],[Date]]), MONTH(Tracking[[#This Row],[Date]])+1, 1),
      Tracking[[#This Row],[Date]])</f>
        <v>45896</v>
      </c>
    </row>
    <row r="800" spans="3:9" hidden="1" outlineLevel="1" x14ac:dyDescent="0.2">
      <c r="C800" s="94">
        <v>45897</v>
      </c>
      <c r="D800" s="32" t="s">
        <v>47</v>
      </c>
      <c r="E800" s="32" t="s">
        <v>50</v>
      </c>
      <c r="F800" s="34">
        <v>20</v>
      </c>
      <c r="G800" s="35" t="s">
        <v>545</v>
      </c>
      <c r="H800" s="37" cm="1">
        <f t="array" ref="H800">IFERROR(SUMPRODUCT(Tracking[Amount], --(Tracking[Date]&lt;=Tracking[[#This Row],[Date]]), (Tracking[Type]&lt;&gt;"Income") * (-1) + (Tracking[Type]="Income")), "-")</f>
        <v>1870</v>
      </c>
      <c r="I800" s="95">
        <f>IF(AND(Tracking[[#This Row],[Type]]="Income", shift_late_income_status="Active", DAY(Tracking[[#This Row],[Date]])&gt;=shift_late_income_starting_day),
      DATE(YEAR(Tracking[[#This Row],[Date]]), MONTH(Tracking[[#This Row],[Date]])+1, 1),
      Tracking[[#This Row],[Date]])</f>
        <v>45897</v>
      </c>
    </row>
    <row r="801" spans="3:9" hidden="1" outlineLevel="1" x14ac:dyDescent="0.2">
      <c r="C801" s="94">
        <v>45898</v>
      </c>
      <c r="D801" s="32" t="s">
        <v>47</v>
      </c>
      <c r="E801" s="32" t="s">
        <v>49</v>
      </c>
      <c r="F801" s="34">
        <v>25</v>
      </c>
      <c r="G801" s="35" t="s">
        <v>546</v>
      </c>
      <c r="H801" s="37" cm="1">
        <f t="array" ref="H801">IFERROR(SUMPRODUCT(Tracking[Amount], --(Tracking[Date]&lt;=Tracking[[#This Row],[Date]]), (Tracking[Type]&lt;&gt;"Income") * (-1) + (Tracking[Type]="Income")), "-")</f>
        <v>1804</v>
      </c>
      <c r="I801" s="95">
        <f>IF(AND(Tracking[[#This Row],[Type]]="Income", shift_late_income_status="Active", DAY(Tracking[[#This Row],[Date]])&gt;=shift_late_income_starting_day),
      DATE(YEAR(Tracking[[#This Row],[Date]]), MONTH(Tracking[[#This Row],[Date]])+1, 1),
      Tracking[[#This Row],[Date]])</f>
        <v>45898</v>
      </c>
    </row>
    <row r="802" spans="3:9" hidden="1" outlineLevel="1" x14ac:dyDescent="0.2">
      <c r="C802" s="94">
        <v>45898</v>
      </c>
      <c r="D802" s="32" t="s">
        <v>47</v>
      </c>
      <c r="E802" s="32" t="s">
        <v>48</v>
      </c>
      <c r="F802" s="34">
        <v>41</v>
      </c>
      <c r="G802" s="35"/>
      <c r="H802" s="37" cm="1">
        <f t="array" ref="H802">IFERROR(SUMPRODUCT(Tracking[Amount], --(Tracking[Date]&lt;=Tracking[[#This Row],[Date]]), (Tracking[Type]&lt;&gt;"Income") * (-1) + (Tracking[Type]="Income")), "-")</f>
        <v>1804</v>
      </c>
      <c r="I802" s="95">
        <f>IF(AND(Tracking[[#This Row],[Type]]="Income", shift_late_income_status="Active", DAY(Tracking[[#This Row],[Date]])&gt;=shift_late_income_starting_day),
      DATE(YEAR(Tracking[[#This Row],[Date]]), MONTH(Tracking[[#This Row],[Date]])+1, 1),
      Tracking[[#This Row],[Date]])</f>
        <v>45898</v>
      </c>
    </row>
    <row r="803" spans="3:9" hidden="1" outlineLevel="1" x14ac:dyDescent="0.2">
      <c r="C803" s="94">
        <v>45899</v>
      </c>
      <c r="D803" s="32" t="s">
        <v>47</v>
      </c>
      <c r="E803" s="32" t="s">
        <v>60</v>
      </c>
      <c r="F803" s="34">
        <v>4</v>
      </c>
      <c r="G803" s="35" t="s">
        <v>232</v>
      </c>
      <c r="H803" s="37" cm="1">
        <f t="array" ref="H803">IFERROR(SUMPRODUCT(Tracking[Amount], --(Tracking[Date]&lt;=Tracking[[#This Row],[Date]]), (Tracking[Type]&lt;&gt;"Income") * (-1) + (Tracking[Type]="Income")), "-")</f>
        <v>1800</v>
      </c>
      <c r="I803" s="95">
        <f>IF(AND(Tracking[[#This Row],[Type]]="Income", shift_late_income_status="Active", DAY(Tracking[[#This Row],[Date]])&gt;=shift_late_income_starting_day),
      DATE(YEAR(Tracking[[#This Row],[Date]]), MONTH(Tracking[[#This Row],[Date]])+1, 1),
      Tracking[[#This Row],[Date]])</f>
        <v>45899</v>
      </c>
    </row>
    <row r="804" spans="3:9" hidden="1" outlineLevel="1" x14ac:dyDescent="0.2">
      <c r="C804" s="94">
        <v>45900</v>
      </c>
      <c r="D804" s="32" t="s">
        <v>47</v>
      </c>
      <c r="E804" s="32" t="s">
        <v>52</v>
      </c>
      <c r="F804" s="34">
        <v>42</v>
      </c>
      <c r="G804" s="35"/>
      <c r="H804" s="37" cm="1">
        <f t="array" ref="H804">IFERROR(SUMPRODUCT(Tracking[Amount], --(Tracking[Date]&lt;=Tracking[[#This Row],[Date]]), (Tracking[Type]&lt;&gt;"Income") * (-1) + (Tracking[Type]="Income")), "-")</f>
        <v>1694</v>
      </c>
      <c r="I804" s="95">
        <f>IF(AND(Tracking[[#This Row],[Type]]="Income", shift_late_income_status="Active", DAY(Tracking[[#This Row],[Date]])&gt;=shift_late_income_starting_day),
      DATE(YEAR(Tracking[[#This Row],[Date]]), MONTH(Tracking[[#This Row],[Date]])+1, 1),
      Tracking[[#This Row],[Date]])</f>
        <v>45900</v>
      </c>
    </row>
    <row r="805" spans="3:9" hidden="1" outlineLevel="1" x14ac:dyDescent="0.2">
      <c r="C805" s="94">
        <v>45900</v>
      </c>
      <c r="D805" s="32" t="s">
        <v>47</v>
      </c>
      <c r="E805" s="32" t="s">
        <v>48</v>
      </c>
      <c r="F805" s="34">
        <v>44</v>
      </c>
      <c r="G805" s="35"/>
      <c r="H805" s="37" cm="1">
        <f t="array" ref="H805">IFERROR(SUMPRODUCT(Tracking[Amount], --(Tracking[Date]&lt;=Tracking[[#This Row],[Date]]), (Tracking[Type]&lt;&gt;"Income") * (-1) + (Tracking[Type]="Income")), "-")</f>
        <v>1694</v>
      </c>
      <c r="I805" s="95">
        <f>IF(AND(Tracking[[#This Row],[Type]]="Income", shift_late_income_status="Active", DAY(Tracking[[#This Row],[Date]])&gt;=shift_late_income_starting_day),
      DATE(YEAR(Tracking[[#This Row],[Date]]), MONTH(Tracking[[#This Row],[Date]])+1, 1),
      Tracking[[#This Row],[Date]])</f>
        <v>45900</v>
      </c>
    </row>
    <row r="806" spans="3:9" hidden="1" outlineLevel="1" x14ac:dyDescent="0.2">
      <c r="C806" s="94">
        <v>45900</v>
      </c>
      <c r="D806" s="32" t="s">
        <v>47</v>
      </c>
      <c r="E806" s="32" t="s">
        <v>59</v>
      </c>
      <c r="F806" s="34">
        <v>20</v>
      </c>
      <c r="G806" s="35" t="s">
        <v>547</v>
      </c>
      <c r="H806" s="37" cm="1">
        <f t="array" ref="H806">IFERROR(SUMPRODUCT(Tracking[Amount], --(Tracking[Date]&lt;=Tracking[[#This Row],[Date]]), (Tracking[Type]&lt;&gt;"Income") * (-1) + (Tracking[Type]="Income")), "-")</f>
        <v>1694</v>
      </c>
      <c r="I806" s="95">
        <f>IF(AND(Tracking[[#This Row],[Type]]="Income", shift_late_income_status="Active", DAY(Tracking[[#This Row],[Date]])&gt;=shift_late_income_starting_day),
      DATE(YEAR(Tracking[[#This Row],[Date]]), MONTH(Tracking[[#This Row],[Date]])+1, 1),
      Tracking[[#This Row],[Date]])</f>
        <v>45900</v>
      </c>
    </row>
    <row r="807" spans="3:9" collapsed="1" x14ac:dyDescent="0.2">
      <c r="C807" s="94">
        <v>45901</v>
      </c>
      <c r="D807" s="32" t="s">
        <v>40</v>
      </c>
      <c r="E807" s="32" t="s">
        <v>41</v>
      </c>
      <c r="F807" s="34">
        <v>7700</v>
      </c>
      <c r="G807" s="35"/>
      <c r="H807" s="37" cm="1">
        <f t="array" ref="H807">IFERROR(SUMPRODUCT(Tracking[Amount], --(Tracking[Date]&lt;=Tracking[[#This Row],[Date]]), (Tracking[Type]&lt;&gt;"Income") * (-1) + (Tracking[Type]="Income")), "-")</f>
        <v>9053</v>
      </c>
      <c r="I807" s="95">
        <f>IF(AND(Tracking[[#This Row],[Type]]="Income", shift_late_income_status="Active", DAY(Tracking[[#This Row],[Date]])&gt;=shift_late_income_starting_day),
      DATE(YEAR(Tracking[[#This Row],[Date]]), MONTH(Tracking[[#This Row],[Date]])+1, 1),
      Tracking[[#This Row],[Date]])</f>
        <v>45901</v>
      </c>
    </row>
    <row r="808" spans="3:9" hidden="1" outlineLevel="1" x14ac:dyDescent="0.2">
      <c r="C808" s="94">
        <v>45901</v>
      </c>
      <c r="D808" s="32" t="s">
        <v>47</v>
      </c>
      <c r="E808" s="32" t="s">
        <v>59</v>
      </c>
      <c r="F808" s="34">
        <v>60</v>
      </c>
      <c r="G808" s="35" t="s">
        <v>333</v>
      </c>
      <c r="H808" s="37" cm="1">
        <f t="array" ref="H808">IFERROR(SUMPRODUCT(Tracking[Amount], --(Tracking[Date]&lt;=Tracking[[#This Row],[Date]]), (Tracking[Type]&lt;&gt;"Income") * (-1) + (Tracking[Type]="Income")), "-")</f>
        <v>9053</v>
      </c>
      <c r="I808" s="95">
        <f>IF(AND(Tracking[[#This Row],[Type]]="Income", shift_late_income_status="Active", DAY(Tracking[[#This Row],[Date]])&gt;=shift_late_income_starting_day),
      DATE(YEAR(Tracking[[#This Row],[Date]]), MONTH(Tracking[[#This Row],[Date]])+1, 1),
      Tracking[[#This Row],[Date]])</f>
        <v>45901</v>
      </c>
    </row>
    <row r="809" spans="3:9" hidden="1" outlineLevel="1" x14ac:dyDescent="0.2">
      <c r="C809" s="94">
        <v>45901</v>
      </c>
      <c r="D809" s="32" t="s">
        <v>47</v>
      </c>
      <c r="E809" s="32" t="s">
        <v>60</v>
      </c>
      <c r="F809" s="34">
        <v>3</v>
      </c>
      <c r="G809" s="35" t="s">
        <v>232</v>
      </c>
      <c r="H809" s="37" cm="1">
        <f t="array" ref="H809">IFERROR(SUMPRODUCT(Tracking[Amount], --(Tracking[Date]&lt;=Tracking[[#This Row],[Date]]), (Tracking[Type]&lt;&gt;"Income") * (-1) + (Tracking[Type]="Income")), "-")</f>
        <v>9053</v>
      </c>
      <c r="I809" s="95">
        <f>IF(AND(Tracking[[#This Row],[Type]]="Income", shift_late_income_status="Active", DAY(Tracking[[#This Row],[Date]])&gt;=shift_late_income_starting_day),
      DATE(YEAR(Tracking[[#This Row],[Date]]), MONTH(Tracking[[#This Row],[Date]])+1, 1),
      Tracking[[#This Row],[Date]])</f>
        <v>45901</v>
      </c>
    </row>
    <row r="810" spans="3:9" hidden="1" outlineLevel="1" x14ac:dyDescent="0.2">
      <c r="C810" s="94">
        <v>45901</v>
      </c>
      <c r="D810" s="32" t="s">
        <v>47</v>
      </c>
      <c r="E810" s="32" t="s">
        <v>235</v>
      </c>
      <c r="F810" s="34">
        <v>82</v>
      </c>
      <c r="G810" s="35" t="s">
        <v>548</v>
      </c>
      <c r="H810" s="37" cm="1">
        <f t="array" ref="H810">IFERROR(SUMPRODUCT(Tracking[Amount], --(Tracking[Date]&lt;=Tracking[[#This Row],[Date]]), (Tracking[Type]&lt;&gt;"Income") * (-1) + (Tracking[Type]="Income")), "-")</f>
        <v>9053</v>
      </c>
      <c r="I810" s="95">
        <f>IF(AND(Tracking[[#This Row],[Type]]="Income", shift_late_income_status="Active", DAY(Tracking[[#This Row],[Date]])&gt;=shift_late_income_starting_day),
      DATE(YEAR(Tracking[[#This Row],[Date]]), MONTH(Tracking[[#This Row],[Date]])+1, 1),
      Tracking[[#This Row],[Date]])</f>
        <v>45901</v>
      </c>
    </row>
    <row r="811" spans="3:9" hidden="1" outlineLevel="1" x14ac:dyDescent="0.2">
      <c r="C811" s="94">
        <v>45901</v>
      </c>
      <c r="D811" s="32" t="s">
        <v>47</v>
      </c>
      <c r="E811" s="32" t="s">
        <v>49</v>
      </c>
      <c r="F811" s="34">
        <v>29</v>
      </c>
      <c r="G811" s="35" t="s">
        <v>549</v>
      </c>
      <c r="H811" s="37" cm="1">
        <f t="array" ref="H811">IFERROR(SUMPRODUCT(Tracking[Amount], --(Tracking[Date]&lt;=Tracking[[#This Row],[Date]]), (Tracking[Type]&lt;&gt;"Income") * (-1) + (Tracking[Type]="Income")), "-")</f>
        <v>9053</v>
      </c>
      <c r="I811" s="95">
        <f>IF(AND(Tracking[[#This Row],[Type]]="Income", shift_late_income_status="Active", DAY(Tracking[[#This Row],[Date]])&gt;=shift_late_income_starting_day),
      DATE(YEAR(Tracking[[#This Row],[Date]]), MONTH(Tracking[[#This Row],[Date]])+1, 1),
      Tracking[[#This Row],[Date]])</f>
        <v>45901</v>
      </c>
    </row>
    <row r="812" spans="3:9" hidden="1" outlineLevel="1" x14ac:dyDescent="0.2">
      <c r="C812" s="94">
        <v>45901</v>
      </c>
      <c r="D812" s="32" t="s">
        <v>47</v>
      </c>
      <c r="E812" s="32" t="s">
        <v>58</v>
      </c>
      <c r="F812" s="34">
        <v>147</v>
      </c>
      <c r="G812" s="35" t="s">
        <v>446</v>
      </c>
      <c r="H812" s="37" cm="1">
        <f t="array" ref="H812">IFERROR(SUMPRODUCT(Tracking[Amount], --(Tracking[Date]&lt;=Tracking[[#This Row],[Date]]), (Tracking[Type]&lt;&gt;"Income") * (-1) + (Tracking[Type]="Income")), "-")</f>
        <v>9053</v>
      </c>
      <c r="I812" s="95">
        <f>IF(AND(Tracking[[#This Row],[Type]]="Income", shift_late_income_status="Active", DAY(Tracking[[#This Row],[Date]])&gt;=shift_late_income_starting_day),
      DATE(YEAR(Tracking[[#This Row],[Date]]), MONTH(Tracking[[#This Row],[Date]])+1, 1),
      Tracking[[#This Row],[Date]])</f>
        <v>45901</v>
      </c>
    </row>
    <row r="813" spans="3:9" hidden="1" outlineLevel="1" x14ac:dyDescent="0.2">
      <c r="C813" s="94">
        <v>45901</v>
      </c>
      <c r="D813" s="32" t="s">
        <v>47</v>
      </c>
      <c r="E813" s="32" t="s">
        <v>59</v>
      </c>
      <c r="F813" s="34">
        <v>20</v>
      </c>
      <c r="G813" s="35" t="s">
        <v>547</v>
      </c>
      <c r="H813" s="37" cm="1">
        <f t="array" ref="H813">IFERROR(SUMPRODUCT(Tracking[Amount], --(Tracking[Date]&lt;=Tracking[[#This Row],[Date]]), (Tracking[Type]&lt;&gt;"Income") * (-1) + (Tracking[Type]="Income")), "-")</f>
        <v>9053</v>
      </c>
      <c r="I813" s="95">
        <f>IF(AND(Tracking[[#This Row],[Type]]="Income", shift_late_income_status="Active", DAY(Tracking[[#This Row],[Date]])&gt;=shift_late_income_starting_day),
      DATE(YEAR(Tracking[[#This Row],[Date]]), MONTH(Tracking[[#This Row],[Date]])+1, 1),
      Tracking[[#This Row],[Date]])</f>
        <v>45901</v>
      </c>
    </row>
    <row r="814" spans="3:9" hidden="1" outlineLevel="1" x14ac:dyDescent="0.2">
      <c r="C814" s="94">
        <v>45903</v>
      </c>
      <c r="D814" s="32" t="s">
        <v>47</v>
      </c>
      <c r="E814" s="32" t="s">
        <v>49</v>
      </c>
      <c r="F814" s="34">
        <v>107</v>
      </c>
      <c r="G814" s="35" t="s">
        <v>521</v>
      </c>
      <c r="H814" s="37" cm="1">
        <f t="array" ref="H814">IFERROR(SUMPRODUCT(Tracking[Amount], --(Tracking[Date]&lt;=Tracking[[#This Row],[Date]]), (Tracking[Type]&lt;&gt;"Income") * (-1) + (Tracking[Type]="Income")), "-")</f>
        <v>8931</v>
      </c>
      <c r="I814" s="95">
        <f>IF(AND(Tracking[[#This Row],[Type]]="Income", shift_late_income_status="Active", DAY(Tracking[[#This Row],[Date]])&gt;=shift_late_income_starting_day),
      DATE(YEAR(Tracking[[#This Row],[Date]]), MONTH(Tracking[[#This Row],[Date]])+1, 1),
      Tracking[[#This Row],[Date]])</f>
        <v>45903</v>
      </c>
    </row>
    <row r="815" spans="3:9" hidden="1" outlineLevel="1" x14ac:dyDescent="0.2">
      <c r="C815" s="94">
        <v>45903</v>
      </c>
      <c r="D815" s="32" t="s">
        <v>47</v>
      </c>
      <c r="E815" s="32" t="s">
        <v>48</v>
      </c>
      <c r="F815" s="34">
        <v>15</v>
      </c>
      <c r="G815" s="35"/>
      <c r="H815" s="37" cm="1">
        <f t="array" ref="H815">IFERROR(SUMPRODUCT(Tracking[Amount], --(Tracking[Date]&lt;=Tracking[[#This Row],[Date]]), (Tracking[Type]&lt;&gt;"Income") * (-1) + (Tracking[Type]="Income")), "-")</f>
        <v>8931</v>
      </c>
      <c r="I815" s="95">
        <f>IF(AND(Tracking[[#This Row],[Type]]="Income", shift_late_income_status="Active", DAY(Tracking[[#This Row],[Date]])&gt;=shift_late_income_starting_day),
      DATE(YEAR(Tracking[[#This Row],[Date]]), MONTH(Tracking[[#This Row],[Date]])+1, 1),
      Tracking[[#This Row],[Date]])</f>
        <v>45903</v>
      </c>
    </row>
    <row r="816" spans="3:9" hidden="1" outlineLevel="1" x14ac:dyDescent="0.2">
      <c r="C816" s="94">
        <v>45904</v>
      </c>
      <c r="D816" s="32" t="s">
        <v>47</v>
      </c>
      <c r="E816" s="32" t="s">
        <v>48</v>
      </c>
      <c r="F816" s="34">
        <v>32</v>
      </c>
      <c r="G816" s="35"/>
      <c r="H816" s="37" cm="1">
        <f t="array" ref="H816">IFERROR(SUMPRODUCT(Tracking[Amount], --(Tracking[Date]&lt;=Tracking[[#This Row],[Date]]), (Tracking[Type]&lt;&gt;"Income") * (-1) + (Tracking[Type]="Income")), "-")</f>
        <v>8788</v>
      </c>
      <c r="I816" s="95">
        <f>IF(AND(Tracking[[#This Row],[Type]]="Income", shift_late_income_status="Active", DAY(Tracking[[#This Row],[Date]])&gt;=shift_late_income_starting_day),
      DATE(YEAR(Tracking[[#This Row],[Date]]), MONTH(Tracking[[#This Row],[Date]])+1, 1),
      Tracking[[#This Row],[Date]])</f>
        <v>45904</v>
      </c>
    </row>
    <row r="817" spans="3:9" hidden="1" outlineLevel="1" x14ac:dyDescent="0.2">
      <c r="C817" s="94">
        <v>45904</v>
      </c>
      <c r="D817" s="32" t="s">
        <v>47</v>
      </c>
      <c r="E817" s="32" t="s">
        <v>49</v>
      </c>
      <c r="F817" s="34">
        <v>111</v>
      </c>
      <c r="G817" s="35" t="s">
        <v>494</v>
      </c>
      <c r="H817" s="37" cm="1">
        <f t="array" ref="H817">IFERROR(SUMPRODUCT(Tracking[Amount], --(Tracking[Date]&lt;=Tracking[[#This Row],[Date]]), (Tracking[Type]&lt;&gt;"Income") * (-1) + (Tracking[Type]="Income")), "-")</f>
        <v>8788</v>
      </c>
      <c r="I817" s="95">
        <f>IF(AND(Tracking[[#This Row],[Type]]="Income", shift_late_income_status="Active", DAY(Tracking[[#This Row],[Date]])&gt;=shift_late_income_starting_day),
      DATE(YEAR(Tracking[[#This Row],[Date]]), MONTH(Tracking[[#This Row],[Date]])+1, 1),
      Tracking[[#This Row],[Date]])</f>
        <v>45904</v>
      </c>
    </row>
    <row r="818" spans="3:9" hidden="1" outlineLevel="1" x14ac:dyDescent="0.2">
      <c r="C818" s="94">
        <v>45905</v>
      </c>
      <c r="D818" s="32" t="s">
        <v>47</v>
      </c>
      <c r="E818" s="32" t="s">
        <v>49</v>
      </c>
      <c r="F818" s="34">
        <v>175</v>
      </c>
      <c r="G818" s="35" t="s">
        <v>550</v>
      </c>
      <c r="H818" s="37" cm="1">
        <f t="array" ref="H818">IFERROR(SUMPRODUCT(Tracking[Amount], --(Tracking[Date]&lt;=Tracking[[#This Row],[Date]]), (Tracking[Type]&lt;&gt;"Income") * (-1) + (Tracking[Type]="Income")), "-")</f>
        <v>8571</v>
      </c>
      <c r="I818" s="95">
        <f>IF(AND(Tracking[[#This Row],[Type]]="Income", shift_late_income_status="Active", DAY(Tracking[[#This Row],[Date]])&gt;=shift_late_income_starting_day),
      DATE(YEAR(Tracking[[#This Row],[Date]]), MONTH(Tracking[[#This Row],[Date]])+1, 1),
      Tracking[[#This Row],[Date]])</f>
        <v>45905</v>
      </c>
    </row>
    <row r="819" spans="3:9" hidden="1" outlineLevel="1" x14ac:dyDescent="0.2">
      <c r="C819" s="94">
        <v>45905</v>
      </c>
      <c r="D819" s="32" t="s">
        <v>47</v>
      </c>
      <c r="E819" s="32" t="s">
        <v>60</v>
      </c>
      <c r="F819" s="34">
        <v>13</v>
      </c>
      <c r="G819" s="35" t="s">
        <v>338</v>
      </c>
      <c r="H819" s="37" cm="1">
        <f t="array" ref="H819">IFERROR(SUMPRODUCT(Tracking[Amount], --(Tracking[Date]&lt;=Tracking[[#This Row],[Date]]), (Tracking[Type]&lt;&gt;"Income") * (-1) + (Tracking[Type]="Income")), "-")</f>
        <v>8571</v>
      </c>
      <c r="I819" s="95">
        <f>IF(AND(Tracking[[#This Row],[Type]]="Income", shift_late_income_status="Active", DAY(Tracking[[#This Row],[Date]])&gt;=shift_late_income_starting_day),
      DATE(YEAR(Tracking[[#This Row],[Date]]), MONTH(Tracking[[#This Row],[Date]])+1, 1),
      Tracking[[#This Row],[Date]])</f>
        <v>45905</v>
      </c>
    </row>
    <row r="820" spans="3:9" hidden="1" outlineLevel="1" x14ac:dyDescent="0.2">
      <c r="C820" s="94">
        <v>45905</v>
      </c>
      <c r="D820" s="32" t="s">
        <v>47</v>
      </c>
      <c r="E820" s="32" t="s">
        <v>52</v>
      </c>
      <c r="F820" s="34">
        <v>19</v>
      </c>
      <c r="G820" s="35" t="s">
        <v>358</v>
      </c>
      <c r="H820" s="37" cm="1">
        <f t="array" ref="H820">IFERROR(SUMPRODUCT(Tracking[Amount], --(Tracking[Date]&lt;=Tracking[[#This Row],[Date]]), (Tracking[Type]&lt;&gt;"Income") * (-1) + (Tracking[Type]="Income")), "-")</f>
        <v>8571</v>
      </c>
      <c r="I820" s="95">
        <f>IF(AND(Tracking[[#This Row],[Type]]="Income", shift_late_income_status="Active", DAY(Tracking[[#This Row],[Date]])&gt;=shift_late_income_starting_day),
      DATE(YEAR(Tracking[[#This Row],[Date]]), MONTH(Tracking[[#This Row],[Date]])+1, 1),
      Tracking[[#This Row],[Date]])</f>
        <v>45905</v>
      </c>
    </row>
    <row r="821" spans="3:9" hidden="1" outlineLevel="1" x14ac:dyDescent="0.2">
      <c r="C821" s="94">
        <v>45905</v>
      </c>
      <c r="D821" s="32" t="s">
        <v>47</v>
      </c>
      <c r="E821" s="32" t="s">
        <v>49</v>
      </c>
      <c r="F821" s="34">
        <v>10</v>
      </c>
      <c r="G821" s="35" t="s">
        <v>502</v>
      </c>
      <c r="H821" s="37" cm="1">
        <f t="array" ref="H821">IFERROR(SUMPRODUCT(Tracking[Amount], --(Tracking[Date]&lt;=Tracking[[#This Row],[Date]]), (Tracking[Type]&lt;&gt;"Income") * (-1) + (Tracking[Type]="Income")), "-")</f>
        <v>8571</v>
      </c>
      <c r="I821" s="95">
        <f>IF(AND(Tracking[[#This Row],[Type]]="Income", shift_late_income_status="Active", DAY(Tracking[[#This Row],[Date]])&gt;=shift_late_income_starting_day),
      DATE(YEAR(Tracking[[#This Row],[Date]]), MONTH(Tracking[[#This Row],[Date]])+1, 1),
      Tracking[[#This Row],[Date]])</f>
        <v>45905</v>
      </c>
    </row>
    <row r="822" spans="3:9" hidden="1" outlineLevel="1" x14ac:dyDescent="0.2">
      <c r="C822" s="94">
        <v>45906</v>
      </c>
      <c r="D822" s="32" t="s">
        <v>47</v>
      </c>
      <c r="E822" s="32" t="s">
        <v>49</v>
      </c>
      <c r="F822" s="34">
        <v>10</v>
      </c>
      <c r="G822" s="35"/>
      <c r="H822" s="37" cm="1">
        <f t="array" ref="H822">IFERROR(SUMPRODUCT(Tracking[Amount], --(Tracking[Date]&lt;=Tracking[[#This Row],[Date]]), (Tracking[Type]&lt;&gt;"Income") * (-1) + (Tracking[Type]="Income")), "-")</f>
        <v>8530</v>
      </c>
      <c r="I822" s="95">
        <f>IF(AND(Tracking[[#This Row],[Type]]="Income", shift_late_income_status="Active", DAY(Tracking[[#This Row],[Date]])&gt;=shift_late_income_starting_day),
      DATE(YEAR(Tracking[[#This Row],[Date]]), MONTH(Tracking[[#This Row],[Date]])+1, 1),
      Tracking[[#This Row],[Date]])</f>
        <v>45906</v>
      </c>
    </row>
    <row r="823" spans="3:9" hidden="1" outlineLevel="1" x14ac:dyDescent="0.2">
      <c r="C823" s="94">
        <v>45907</v>
      </c>
      <c r="D823" s="32" t="s">
        <v>47</v>
      </c>
      <c r="E823" s="32" t="s">
        <v>49</v>
      </c>
      <c r="F823" s="34">
        <v>27</v>
      </c>
      <c r="G823" s="35"/>
      <c r="H823" s="37" cm="1">
        <f t="array" ref="H823">IFERROR(SUMPRODUCT(Tracking[Amount], --(Tracking[Date]&lt;=Tracking[[#This Row],[Date]]), (Tracking[Type]&lt;&gt;"Income") * (-1) + (Tracking[Type]="Income")), "-")</f>
        <v>8503</v>
      </c>
      <c r="I823" s="95">
        <f>IF(AND(Tracking[[#This Row],[Type]]="Income", shift_late_income_status="Active", DAY(Tracking[[#This Row],[Date]])&gt;=shift_late_income_starting_day),
      DATE(YEAR(Tracking[[#This Row],[Date]]), MONTH(Tracking[[#This Row],[Date]])+1, 1),
      Tracking[[#This Row],[Date]])</f>
        <v>45907</v>
      </c>
    </row>
    <row r="824" spans="3:9" hidden="1" outlineLevel="1" x14ac:dyDescent="0.2">
      <c r="C824" s="94">
        <v>45908</v>
      </c>
      <c r="D824" s="32" t="s">
        <v>47</v>
      </c>
      <c r="E824" s="32" t="s">
        <v>48</v>
      </c>
      <c r="F824" s="34">
        <v>24</v>
      </c>
      <c r="G824" s="35"/>
      <c r="H824" s="37" cm="1">
        <f t="array" ref="H824">IFERROR(SUMPRODUCT(Tracking[Amount], --(Tracking[Date]&lt;=Tracking[[#This Row],[Date]]), (Tracking[Type]&lt;&gt;"Income") * (-1) + (Tracking[Type]="Income")), "-")</f>
        <v>8434</v>
      </c>
      <c r="I824" s="95">
        <f>IF(AND(Tracking[[#This Row],[Type]]="Income", shift_late_income_status="Active", DAY(Tracking[[#This Row],[Date]])&gt;=shift_late_income_starting_day),
      DATE(YEAR(Tracking[[#This Row],[Date]]), MONTH(Tracking[[#This Row],[Date]])+1, 1),
      Tracking[[#This Row],[Date]])</f>
        <v>45908</v>
      </c>
    </row>
    <row r="825" spans="3:9" hidden="1" outlineLevel="1" x14ac:dyDescent="0.2">
      <c r="C825" s="94">
        <v>45909</v>
      </c>
      <c r="D825" s="32" t="s">
        <v>47</v>
      </c>
      <c r="E825" s="32" t="s">
        <v>48</v>
      </c>
      <c r="F825" s="34">
        <v>7</v>
      </c>
      <c r="G825" s="35"/>
      <c r="H825" s="37" cm="1">
        <f t="array" ref="H825">IFERROR(SUMPRODUCT(Tracking[Amount], --(Tracking[Date]&lt;=Tracking[[#This Row],[Date]]), (Tracking[Type]&lt;&gt;"Income") * (-1) + (Tracking[Type]="Income")), "-")</f>
        <v>8403</v>
      </c>
      <c r="I825" s="95">
        <f>IF(AND(Tracking[[#This Row],[Type]]="Income", shift_late_income_status="Active", DAY(Tracking[[#This Row],[Date]])&gt;=shift_late_income_starting_day),
      DATE(YEAR(Tracking[[#This Row],[Date]]), MONTH(Tracking[[#This Row],[Date]])+1, 1),
      Tracking[[#This Row],[Date]])</f>
        <v>45909</v>
      </c>
    </row>
    <row r="826" spans="3:9" hidden="1" outlineLevel="1" x14ac:dyDescent="0.2">
      <c r="C826" s="94">
        <v>45909</v>
      </c>
      <c r="D826" s="32" t="s">
        <v>47</v>
      </c>
      <c r="E826" s="32" t="s">
        <v>60</v>
      </c>
      <c r="F826" s="34">
        <v>1</v>
      </c>
      <c r="G826" s="35" t="s">
        <v>232</v>
      </c>
      <c r="H826" s="37" cm="1">
        <f t="array" ref="H826">IFERROR(SUMPRODUCT(Tracking[Amount], --(Tracking[Date]&lt;=Tracking[[#This Row],[Date]]), (Tracking[Type]&lt;&gt;"Income") * (-1) + (Tracking[Type]="Income")), "-")</f>
        <v>8403</v>
      </c>
      <c r="I826" s="95">
        <f>IF(AND(Tracking[[#This Row],[Type]]="Income", shift_late_income_status="Active", DAY(Tracking[[#This Row],[Date]])&gt;=shift_late_income_starting_day),
      DATE(YEAR(Tracking[[#This Row],[Date]]), MONTH(Tracking[[#This Row],[Date]])+1, 1),
      Tracking[[#This Row],[Date]])</f>
        <v>45909</v>
      </c>
    </row>
    <row r="827" spans="3:9" hidden="1" outlineLevel="1" x14ac:dyDescent="0.2">
      <c r="C827" s="94">
        <v>45909</v>
      </c>
      <c r="D827" s="32" t="s">
        <v>47</v>
      </c>
      <c r="E827" s="32" t="s">
        <v>49</v>
      </c>
      <c r="F827" s="34">
        <v>10</v>
      </c>
      <c r="G827" s="35" t="s">
        <v>551</v>
      </c>
      <c r="H827" s="37" cm="1">
        <f t="array" ref="H827">IFERROR(SUMPRODUCT(Tracking[Amount], --(Tracking[Date]&lt;=Tracking[[#This Row],[Date]]), (Tracking[Type]&lt;&gt;"Income") * (-1) + (Tracking[Type]="Income")), "-")</f>
        <v>8403</v>
      </c>
      <c r="I827" s="95">
        <f>IF(AND(Tracking[[#This Row],[Type]]="Income", shift_late_income_status="Active", DAY(Tracking[[#This Row],[Date]])&gt;=shift_late_income_starting_day),
      DATE(YEAR(Tracking[[#This Row],[Date]]), MONTH(Tracking[[#This Row],[Date]])+1, 1),
      Tracking[[#This Row],[Date]])</f>
        <v>45909</v>
      </c>
    </row>
    <row r="828" spans="3:9" hidden="1" outlineLevel="1" x14ac:dyDescent="0.2">
      <c r="C828" s="94">
        <v>45909</v>
      </c>
      <c r="D828" s="32" t="s">
        <v>47</v>
      </c>
      <c r="E828" s="32" t="s">
        <v>59</v>
      </c>
      <c r="F828" s="34">
        <v>13</v>
      </c>
      <c r="G828" s="35" t="s">
        <v>254</v>
      </c>
      <c r="H828" s="37" cm="1">
        <f t="array" ref="H828">IFERROR(SUMPRODUCT(Tracking[Amount], --(Tracking[Date]&lt;=Tracking[[#This Row],[Date]]), (Tracking[Type]&lt;&gt;"Income") * (-1) + (Tracking[Type]="Income")), "-")</f>
        <v>8403</v>
      </c>
      <c r="I828" s="95">
        <f>IF(AND(Tracking[[#This Row],[Type]]="Income", shift_late_income_status="Active", DAY(Tracking[[#This Row],[Date]])&gt;=shift_late_income_starting_day),
      DATE(YEAR(Tracking[[#This Row],[Date]]), MONTH(Tracking[[#This Row],[Date]])+1, 1),
      Tracking[[#This Row],[Date]])</f>
        <v>45909</v>
      </c>
    </row>
    <row r="829" spans="3:9" hidden="1" outlineLevel="1" x14ac:dyDescent="0.2">
      <c r="C829" s="94">
        <v>45910</v>
      </c>
      <c r="D829" s="32" t="s">
        <v>47</v>
      </c>
      <c r="E829" s="32" t="s">
        <v>48</v>
      </c>
      <c r="F829" s="34">
        <v>26</v>
      </c>
      <c r="G829" s="35"/>
      <c r="H829" s="37" cm="1">
        <f t="array" ref="H829">IFERROR(SUMPRODUCT(Tracking[Amount], --(Tracking[Date]&lt;=Tracking[[#This Row],[Date]]), (Tracking[Type]&lt;&gt;"Income") * (-1) + (Tracking[Type]="Income")), "-")</f>
        <v>8588</v>
      </c>
      <c r="I829" s="95">
        <f>IF(AND(Tracking[[#This Row],[Type]]="Income", shift_late_income_status="Active", DAY(Tracking[[#This Row],[Date]])&gt;=shift_late_income_starting_day),
      DATE(YEAR(Tracking[[#This Row],[Date]]), MONTH(Tracking[[#This Row],[Date]])+1, 1),
      Tracking[[#This Row],[Date]])</f>
        <v>45910</v>
      </c>
    </row>
    <row r="830" spans="3:9" hidden="1" outlineLevel="1" x14ac:dyDescent="0.2">
      <c r="C830" s="94">
        <v>45910</v>
      </c>
      <c r="D830" s="32" t="s">
        <v>40</v>
      </c>
      <c r="E830" s="32" t="s">
        <v>43</v>
      </c>
      <c r="F830" s="34">
        <v>250</v>
      </c>
      <c r="G830" s="35"/>
      <c r="H830" s="37" cm="1">
        <f t="array" ref="H830">IFERROR(SUMPRODUCT(Tracking[Amount], --(Tracking[Date]&lt;=Tracking[[#This Row],[Date]]), (Tracking[Type]&lt;&gt;"Income") * (-1) + (Tracking[Type]="Income")), "-")</f>
        <v>8588</v>
      </c>
      <c r="I830" s="95">
        <f>IF(AND(Tracking[[#This Row],[Type]]="Income", shift_late_income_status="Active", DAY(Tracking[[#This Row],[Date]])&gt;=shift_late_income_starting_day),
      DATE(YEAR(Tracking[[#This Row],[Date]]), MONTH(Tracking[[#This Row],[Date]])+1, 1),
      Tracking[[#This Row],[Date]])</f>
        <v>45910</v>
      </c>
    </row>
    <row r="831" spans="3:9" hidden="1" outlineLevel="1" x14ac:dyDescent="0.2">
      <c r="C831" s="94">
        <v>45910</v>
      </c>
      <c r="D831" s="32" t="s">
        <v>47</v>
      </c>
      <c r="E831" s="32" t="s">
        <v>49</v>
      </c>
      <c r="F831" s="34">
        <v>39</v>
      </c>
      <c r="G831" s="35"/>
      <c r="H831" s="37" cm="1">
        <f t="array" ref="H831">IFERROR(SUMPRODUCT(Tracking[Amount], --(Tracking[Date]&lt;=Tracking[[#This Row],[Date]]), (Tracking[Type]&lt;&gt;"Income") * (-1) + (Tracking[Type]="Income")), "-")</f>
        <v>8588</v>
      </c>
      <c r="I831" s="95">
        <f>IF(AND(Tracking[[#This Row],[Type]]="Income", shift_late_income_status="Active", DAY(Tracking[[#This Row],[Date]])&gt;=shift_late_income_starting_day),
      DATE(YEAR(Tracking[[#This Row],[Date]]), MONTH(Tracking[[#This Row],[Date]])+1, 1),
      Tracking[[#This Row],[Date]])</f>
        <v>45910</v>
      </c>
    </row>
    <row r="832" spans="3:9" hidden="1" outlineLevel="1" x14ac:dyDescent="0.2">
      <c r="C832" s="94">
        <v>45911</v>
      </c>
      <c r="D832" s="32" t="s">
        <v>47</v>
      </c>
      <c r="E832" s="32" t="s">
        <v>48</v>
      </c>
      <c r="F832" s="34">
        <v>5</v>
      </c>
      <c r="G832" s="35"/>
      <c r="H832" s="37" cm="1">
        <f t="array" ref="H832">IFERROR(SUMPRODUCT(Tracking[Amount], --(Tracking[Date]&lt;=Tracking[[#This Row],[Date]]), (Tracking[Type]&lt;&gt;"Income") * (-1) + (Tracking[Type]="Income")), "-")</f>
        <v>8583</v>
      </c>
      <c r="I832" s="95">
        <f>IF(AND(Tracking[[#This Row],[Type]]="Income", shift_late_income_status="Active", DAY(Tracking[[#This Row],[Date]])&gt;=shift_late_income_starting_day),
      DATE(YEAR(Tracking[[#This Row],[Date]]), MONTH(Tracking[[#This Row],[Date]])+1, 1),
      Tracking[[#This Row],[Date]])</f>
        <v>45911</v>
      </c>
    </row>
    <row r="833" spans="3:9" hidden="1" outlineLevel="1" x14ac:dyDescent="0.2">
      <c r="C833" s="94">
        <v>45912</v>
      </c>
      <c r="D833" s="32" t="s">
        <v>47</v>
      </c>
      <c r="E833" s="32" t="s">
        <v>51</v>
      </c>
      <c r="F833" s="34">
        <v>45</v>
      </c>
      <c r="G833" s="35" t="s">
        <v>358</v>
      </c>
      <c r="H833" s="37" cm="1">
        <f t="array" ref="H833">IFERROR(SUMPRODUCT(Tracking[Amount], --(Tracking[Date]&lt;=Tracking[[#This Row],[Date]]), (Tracking[Type]&lt;&gt;"Income") * (-1) + (Tracking[Type]="Income")), "-")</f>
        <v>8538</v>
      </c>
      <c r="I833" s="95">
        <f>IF(AND(Tracking[[#This Row],[Type]]="Income", shift_late_income_status="Active", DAY(Tracking[[#This Row],[Date]])&gt;=shift_late_income_starting_day),
      DATE(YEAR(Tracking[[#This Row],[Date]]), MONTH(Tracking[[#This Row],[Date]])+1, 1),
      Tracking[[#This Row],[Date]])</f>
        <v>45912</v>
      </c>
    </row>
    <row r="834" spans="3:9" hidden="1" outlineLevel="1" x14ac:dyDescent="0.2">
      <c r="C834" s="94">
        <v>45913</v>
      </c>
      <c r="D834" s="32" t="s">
        <v>47</v>
      </c>
      <c r="E834" s="32" t="s">
        <v>59</v>
      </c>
      <c r="F834" s="34">
        <v>43</v>
      </c>
      <c r="G834" s="35" t="s">
        <v>523</v>
      </c>
      <c r="H834" s="37" cm="1">
        <f t="array" ref="H834">IFERROR(SUMPRODUCT(Tracking[Amount], --(Tracking[Date]&lt;=Tracking[[#This Row],[Date]]), (Tracking[Type]&lt;&gt;"Income") * (-1) + (Tracking[Type]="Income")), "-")</f>
        <v>7871</v>
      </c>
      <c r="I834" s="95">
        <f>IF(AND(Tracking[[#This Row],[Type]]="Income", shift_late_income_status="Active", DAY(Tracking[[#This Row],[Date]])&gt;=shift_late_income_starting_day),
      DATE(YEAR(Tracking[[#This Row],[Date]]), MONTH(Tracking[[#This Row],[Date]])+1, 1),
      Tracking[[#This Row],[Date]])</f>
        <v>45913</v>
      </c>
    </row>
    <row r="835" spans="3:9" hidden="1" outlineLevel="1" x14ac:dyDescent="0.2">
      <c r="C835" s="94">
        <v>45913</v>
      </c>
      <c r="D835" s="32" t="s">
        <v>47</v>
      </c>
      <c r="E835" s="32" t="s">
        <v>50</v>
      </c>
      <c r="F835" s="34">
        <v>4</v>
      </c>
      <c r="G835" s="35"/>
      <c r="H835" s="37" cm="1">
        <f t="array" ref="H835">IFERROR(SUMPRODUCT(Tracking[Amount], --(Tracking[Date]&lt;=Tracking[[#This Row],[Date]]), (Tracking[Type]&lt;&gt;"Income") * (-1) + (Tracking[Type]="Income")), "-")</f>
        <v>7871</v>
      </c>
      <c r="I835" s="95">
        <f>IF(AND(Tracking[[#This Row],[Type]]="Income", shift_late_income_status="Active", DAY(Tracking[[#This Row],[Date]])&gt;=shift_late_income_starting_day),
      DATE(YEAR(Tracking[[#This Row],[Date]]), MONTH(Tracking[[#This Row],[Date]])+1, 1),
      Tracking[[#This Row],[Date]])</f>
        <v>45913</v>
      </c>
    </row>
    <row r="836" spans="3:9" hidden="1" outlineLevel="1" x14ac:dyDescent="0.2">
      <c r="C836" s="94">
        <v>45913</v>
      </c>
      <c r="D836" s="32" t="s">
        <v>47</v>
      </c>
      <c r="E836" s="32" t="s">
        <v>56</v>
      </c>
      <c r="F836" s="34">
        <v>593</v>
      </c>
      <c r="G836" s="35" t="s">
        <v>245</v>
      </c>
      <c r="H836" s="37" cm="1">
        <f t="array" ref="H836">IFERROR(SUMPRODUCT(Tracking[Amount], --(Tracking[Date]&lt;=Tracking[[#This Row],[Date]]), (Tracking[Type]&lt;&gt;"Income") * (-1) + (Tracking[Type]="Income")), "-")</f>
        <v>7871</v>
      </c>
      <c r="I836" s="95">
        <f>IF(AND(Tracking[[#This Row],[Type]]="Income", shift_late_income_status="Active", DAY(Tracking[[#This Row],[Date]])&gt;=shift_late_income_starting_day),
      DATE(YEAR(Tracking[[#This Row],[Date]]), MONTH(Tracking[[#This Row],[Date]])+1, 1),
      Tracking[[#This Row],[Date]])</f>
        <v>45913</v>
      </c>
    </row>
    <row r="837" spans="3:9" hidden="1" outlineLevel="1" x14ac:dyDescent="0.2">
      <c r="C837" s="94">
        <v>45913</v>
      </c>
      <c r="D837" s="32" t="s">
        <v>47</v>
      </c>
      <c r="E837" s="32" t="s">
        <v>51</v>
      </c>
      <c r="F837" s="34">
        <v>8</v>
      </c>
      <c r="G837" s="35" t="s">
        <v>518</v>
      </c>
      <c r="H837" s="37" cm="1">
        <f t="array" ref="H837">IFERROR(SUMPRODUCT(Tracking[Amount], --(Tracking[Date]&lt;=Tracking[[#This Row],[Date]]), (Tracking[Type]&lt;&gt;"Income") * (-1) + (Tracking[Type]="Income")), "-")</f>
        <v>7871</v>
      </c>
      <c r="I837" s="95">
        <f>IF(AND(Tracking[[#This Row],[Type]]="Income", shift_late_income_status="Active", DAY(Tracking[[#This Row],[Date]])&gt;=shift_late_income_starting_day),
      DATE(YEAR(Tracking[[#This Row],[Date]]), MONTH(Tracking[[#This Row],[Date]])+1, 1),
      Tracking[[#This Row],[Date]])</f>
        <v>45913</v>
      </c>
    </row>
    <row r="838" spans="3:9" hidden="1" outlineLevel="1" x14ac:dyDescent="0.2">
      <c r="C838" s="94">
        <v>45913</v>
      </c>
      <c r="D838" s="32" t="s">
        <v>47</v>
      </c>
      <c r="E838" s="32" t="s">
        <v>49</v>
      </c>
      <c r="F838" s="34">
        <v>19</v>
      </c>
      <c r="G838" s="35"/>
      <c r="H838" s="37" cm="1">
        <f t="array" ref="H838">IFERROR(SUMPRODUCT(Tracking[Amount], --(Tracking[Date]&lt;=Tracking[[#This Row],[Date]]), (Tracking[Type]&lt;&gt;"Income") * (-1) + (Tracking[Type]="Income")), "-")</f>
        <v>7871</v>
      </c>
      <c r="I838" s="95">
        <f>IF(AND(Tracking[[#This Row],[Type]]="Income", shift_late_income_status="Active", DAY(Tracking[[#This Row],[Date]])&gt;=shift_late_income_starting_day),
      DATE(YEAR(Tracking[[#This Row],[Date]]), MONTH(Tracking[[#This Row],[Date]])+1, 1),
      Tracking[[#This Row],[Date]])</f>
        <v>45913</v>
      </c>
    </row>
    <row r="839" spans="3:9" hidden="1" outlineLevel="1" x14ac:dyDescent="0.2">
      <c r="C839" s="94">
        <v>45914</v>
      </c>
      <c r="D839" s="32" t="s">
        <v>47</v>
      </c>
      <c r="E839" s="32" t="s">
        <v>48</v>
      </c>
      <c r="F839" s="34">
        <v>22</v>
      </c>
      <c r="G839" s="35" t="s">
        <v>386</v>
      </c>
      <c r="H839" s="37" cm="1">
        <f t="array" ref="H839">IFERROR(SUMPRODUCT(Tracking[Amount], --(Tracking[Date]&lt;=Tracking[[#This Row],[Date]]), (Tracking[Type]&lt;&gt;"Income") * (-1) + (Tracking[Type]="Income")), "-")</f>
        <v>7795</v>
      </c>
      <c r="I839" s="95">
        <f>IF(AND(Tracking[[#This Row],[Type]]="Income", shift_late_income_status="Active", DAY(Tracking[[#This Row],[Date]])&gt;=shift_late_income_starting_day),
      DATE(YEAR(Tracking[[#This Row],[Date]]), MONTH(Tracking[[#This Row],[Date]])+1, 1),
      Tracking[[#This Row],[Date]])</f>
        <v>45914</v>
      </c>
    </row>
    <row r="840" spans="3:9" hidden="1" outlineLevel="1" x14ac:dyDescent="0.2">
      <c r="C840" s="94">
        <v>45914</v>
      </c>
      <c r="D840" s="32" t="s">
        <v>47</v>
      </c>
      <c r="E840" s="32" t="s">
        <v>44</v>
      </c>
      <c r="F840" s="34">
        <v>48</v>
      </c>
      <c r="G840" s="35" t="s">
        <v>552</v>
      </c>
      <c r="H840" s="37" cm="1">
        <f t="array" ref="H840">IFERROR(SUMPRODUCT(Tracking[Amount], --(Tracking[Date]&lt;=Tracking[[#This Row],[Date]]), (Tracking[Type]&lt;&gt;"Income") * (-1) + (Tracking[Type]="Income")), "-")</f>
        <v>7795</v>
      </c>
      <c r="I840" s="95">
        <f>IF(AND(Tracking[[#This Row],[Type]]="Income", shift_late_income_status="Active", DAY(Tracking[[#This Row],[Date]])&gt;=shift_late_income_starting_day),
      DATE(YEAR(Tracking[[#This Row],[Date]]), MONTH(Tracking[[#This Row],[Date]])+1, 1),
      Tracking[[#This Row],[Date]])</f>
        <v>45914</v>
      </c>
    </row>
    <row r="841" spans="3:9" hidden="1" outlineLevel="1" x14ac:dyDescent="0.2">
      <c r="C841" s="94">
        <v>45914</v>
      </c>
      <c r="D841" s="32" t="s">
        <v>47</v>
      </c>
      <c r="E841" s="32" t="s">
        <v>48</v>
      </c>
      <c r="F841" s="34">
        <v>6</v>
      </c>
      <c r="G841" s="35"/>
      <c r="H841" s="37" cm="1">
        <f t="array" ref="H841">IFERROR(SUMPRODUCT(Tracking[Amount], --(Tracking[Date]&lt;=Tracking[[#This Row],[Date]]), (Tracking[Type]&lt;&gt;"Income") * (-1) + (Tracking[Type]="Income")), "-")</f>
        <v>7795</v>
      </c>
      <c r="I841" s="95">
        <f>IF(AND(Tracking[[#This Row],[Type]]="Income", shift_late_income_status="Active", DAY(Tracking[[#This Row],[Date]])&gt;=shift_late_income_starting_day),
      DATE(YEAR(Tracking[[#This Row],[Date]]), MONTH(Tracking[[#This Row],[Date]])+1, 1),
      Tracking[[#This Row],[Date]])</f>
        <v>45914</v>
      </c>
    </row>
    <row r="842" spans="3:9" hidden="1" outlineLevel="1" x14ac:dyDescent="0.2">
      <c r="C842" s="94">
        <v>45906</v>
      </c>
      <c r="D842" s="32" t="s">
        <v>47</v>
      </c>
      <c r="E842" s="32" t="s">
        <v>59</v>
      </c>
      <c r="F842" s="34">
        <v>31</v>
      </c>
      <c r="G842" s="35" t="s">
        <v>553</v>
      </c>
      <c r="H842" s="37" cm="1">
        <f t="array" ref="H842">IFERROR(SUMPRODUCT(Tracking[Amount], --(Tracking[Date]&lt;=Tracking[[#This Row],[Date]]), (Tracking[Type]&lt;&gt;"Income") * (-1) + (Tracking[Type]="Income")), "-")</f>
        <v>8530</v>
      </c>
      <c r="I842" s="95">
        <f>IF(AND(Tracking[[#This Row],[Type]]="Income", shift_late_income_status="Active", DAY(Tracking[[#This Row],[Date]])&gt;=shift_late_income_starting_day),
      DATE(YEAR(Tracking[[#This Row],[Date]]), MONTH(Tracking[[#This Row],[Date]])+1, 1),
      Tracking[[#This Row],[Date]])</f>
        <v>45906</v>
      </c>
    </row>
    <row r="843" spans="3:9" hidden="1" outlineLevel="1" x14ac:dyDescent="0.2">
      <c r="C843" s="94">
        <v>45908</v>
      </c>
      <c r="D843" s="32" t="s">
        <v>47</v>
      </c>
      <c r="E843" s="32" t="s">
        <v>59</v>
      </c>
      <c r="F843" s="34">
        <v>45</v>
      </c>
      <c r="G843" s="35" t="s">
        <v>554</v>
      </c>
      <c r="H843" s="37" cm="1">
        <f t="array" ref="H843">IFERROR(SUMPRODUCT(Tracking[Amount], --(Tracking[Date]&lt;=Tracking[[#This Row],[Date]]), (Tracking[Type]&lt;&gt;"Income") * (-1) + (Tracking[Type]="Income")), "-")</f>
        <v>8434</v>
      </c>
      <c r="I843" s="95">
        <f>IF(AND(Tracking[[#This Row],[Type]]="Income", shift_late_income_status="Active", DAY(Tracking[[#This Row],[Date]])&gt;=shift_late_income_starting_day),
      DATE(YEAR(Tracking[[#This Row],[Date]]), MONTH(Tracking[[#This Row],[Date]])+1, 1),
      Tracking[[#This Row],[Date]])</f>
        <v>45908</v>
      </c>
    </row>
    <row r="844" spans="3:9" hidden="1" outlineLevel="1" x14ac:dyDescent="0.2">
      <c r="C844" s="94">
        <v>45915</v>
      </c>
      <c r="D844" s="32" t="s">
        <v>47</v>
      </c>
      <c r="E844" s="32" t="s">
        <v>59</v>
      </c>
      <c r="F844" s="34">
        <v>34</v>
      </c>
      <c r="G844" s="35" t="s">
        <v>418</v>
      </c>
      <c r="H844" s="37" cm="1">
        <f t="array" ref="H844">IFERROR(SUMPRODUCT(Tracking[Amount], --(Tracking[Date]&lt;=Tracking[[#This Row],[Date]]), (Tracking[Type]&lt;&gt;"Income") * (-1) + (Tracking[Type]="Income")), "-")</f>
        <v>7751</v>
      </c>
      <c r="I844" s="95">
        <f>IF(AND(Tracking[[#This Row],[Type]]="Income", shift_late_income_status="Active", DAY(Tracking[[#This Row],[Date]])&gt;=shift_late_income_starting_day),
      DATE(YEAR(Tracking[[#This Row],[Date]]), MONTH(Tracking[[#This Row],[Date]])+1, 1),
      Tracking[[#This Row],[Date]])</f>
        <v>45915</v>
      </c>
    </row>
    <row r="845" spans="3:9" hidden="1" outlineLevel="1" x14ac:dyDescent="0.2">
      <c r="C845" s="94">
        <v>45915</v>
      </c>
      <c r="D845" s="32" t="s">
        <v>47</v>
      </c>
      <c r="E845" s="32" t="s">
        <v>60</v>
      </c>
      <c r="F845" s="34">
        <v>10</v>
      </c>
      <c r="G845" s="35" t="s">
        <v>441</v>
      </c>
      <c r="H845" s="37" cm="1">
        <f t="array" ref="H845">IFERROR(SUMPRODUCT(Tracking[Amount], --(Tracking[Date]&lt;=Tracking[[#This Row],[Date]]), (Tracking[Type]&lt;&gt;"Income") * (-1) + (Tracking[Type]="Income")), "-")</f>
        <v>7751</v>
      </c>
      <c r="I845" s="95">
        <f>IF(AND(Tracking[[#This Row],[Type]]="Income", shift_late_income_status="Active", DAY(Tracking[[#This Row],[Date]])&gt;=shift_late_income_starting_day),
      DATE(YEAR(Tracking[[#This Row],[Date]]), MONTH(Tracking[[#This Row],[Date]])+1, 1),
      Tracking[[#This Row],[Date]])</f>
        <v>45915</v>
      </c>
    </row>
    <row r="846" spans="3:9" hidden="1" outlineLevel="1" x14ac:dyDescent="0.2">
      <c r="C846" s="94">
        <v>45916</v>
      </c>
      <c r="D846" s="32" t="s">
        <v>47</v>
      </c>
      <c r="E846" s="32" t="s">
        <v>49</v>
      </c>
      <c r="F846" s="34">
        <v>9</v>
      </c>
      <c r="G846" s="35" t="s">
        <v>555</v>
      </c>
      <c r="H846" s="37" cm="1">
        <f t="array" ref="H846">IFERROR(SUMPRODUCT(Tracking[Amount], --(Tracking[Date]&lt;=Tracking[[#This Row],[Date]]), (Tracking[Type]&lt;&gt;"Income") * (-1) + (Tracking[Type]="Income")), "-")</f>
        <v>7596</v>
      </c>
      <c r="I846" s="95">
        <f>IF(AND(Tracking[[#This Row],[Type]]="Income", shift_late_income_status="Active", DAY(Tracking[[#This Row],[Date]])&gt;=shift_late_income_starting_day),
      DATE(YEAR(Tracking[[#This Row],[Date]]), MONTH(Tracking[[#This Row],[Date]])+1, 1),
      Tracking[[#This Row],[Date]])</f>
        <v>45916</v>
      </c>
    </row>
    <row r="847" spans="3:9" hidden="1" outlineLevel="1" x14ac:dyDescent="0.2">
      <c r="C847" s="94">
        <v>45916</v>
      </c>
      <c r="D847" s="32" t="s">
        <v>47</v>
      </c>
      <c r="E847" s="32" t="s">
        <v>51</v>
      </c>
      <c r="F847" s="34">
        <v>80</v>
      </c>
      <c r="G847" s="35" t="s">
        <v>556</v>
      </c>
      <c r="H847" s="37" cm="1">
        <f t="array" ref="H847">IFERROR(SUMPRODUCT(Tracking[Amount], --(Tracking[Date]&lt;=Tracking[[#This Row],[Date]]), (Tracking[Type]&lt;&gt;"Income") * (-1) + (Tracking[Type]="Income")), "-")</f>
        <v>7596</v>
      </c>
      <c r="I847" s="95">
        <f>IF(AND(Tracking[[#This Row],[Type]]="Income", shift_late_income_status="Active", DAY(Tracking[[#This Row],[Date]])&gt;=shift_late_income_starting_day),
      DATE(YEAR(Tracking[[#This Row],[Date]]), MONTH(Tracking[[#This Row],[Date]])+1, 1),
      Tracking[[#This Row],[Date]])</f>
        <v>45916</v>
      </c>
    </row>
    <row r="848" spans="3:9" hidden="1" outlineLevel="1" x14ac:dyDescent="0.2">
      <c r="C848" s="94">
        <v>45916</v>
      </c>
      <c r="D848" s="32" t="s">
        <v>47</v>
      </c>
      <c r="E848" s="32" t="s">
        <v>49</v>
      </c>
      <c r="F848" s="34">
        <v>45</v>
      </c>
      <c r="G848" s="35" t="s">
        <v>498</v>
      </c>
      <c r="H848" s="37" cm="1">
        <f t="array" ref="H848">IFERROR(SUMPRODUCT(Tracking[Amount], --(Tracking[Date]&lt;=Tracking[[#This Row],[Date]]), (Tracking[Type]&lt;&gt;"Income") * (-1) + (Tracking[Type]="Income")), "-")</f>
        <v>7596</v>
      </c>
      <c r="I848" s="95">
        <f>IF(AND(Tracking[[#This Row],[Type]]="Income", shift_late_income_status="Active", DAY(Tracking[[#This Row],[Date]])&gt;=shift_late_income_starting_day),
      DATE(YEAR(Tracking[[#This Row],[Date]]), MONTH(Tracking[[#This Row],[Date]])+1, 1),
      Tracking[[#This Row],[Date]])</f>
        <v>45916</v>
      </c>
    </row>
    <row r="849" spans="3:9" hidden="1" outlineLevel="1" x14ac:dyDescent="0.2">
      <c r="C849" s="94">
        <v>45917</v>
      </c>
      <c r="D849" s="32" t="s">
        <v>47</v>
      </c>
      <c r="E849" s="32" t="s">
        <v>48</v>
      </c>
      <c r="F849" s="34">
        <v>8</v>
      </c>
      <c r="G849" s="35"/>
      <c r="H849" s="37" cm="1">
        <f t="array" ref="H849">IFERROR(SUMPRODUCT(Tracking[Amount], --(Tracking[Date]&lt;=Tracking[[#This Row],[Date]]), (Tracking[Type]&lt;&gt;"Income") * (-1) + (Tracking[Type]="Income")), "-")</f>
        <v>7588</v>
      </c>
      <c r="I849" s="95">
        <f>IF(AND(Tracking[[#This Row],[Type]]="Income", shift_late_income_status="Active", DAY(Tracking[[#This Row],[Date]])&gt;=shift_late_income_starting_day),
      DATE(YEAR(Tracking[[#This Row],[Date]]), MONTH(Tracking[[#This Row],[Date]])+1, 1),
      Tracking[[#This Row],[Date]])</f>
        <v>45917</v>
      </c>
    </row>
    <row r="850" spans="3:9" hidden="1" outlineLevel="1" x14ac:dyDescent="0.2">
      <c r="C850" s="94">
        <v>45916</v>
      </c>
      <c r="D850" s="32" t="s">
        <v>47</v>
      </c>
      <c r="E850" s="32" t="s">
        <v>59</v>
      </c>
      <c r="F850" s="34">
        <v>21</v>
      </c>
      <c r="G850" s="35" t="s">
        <v>218</v>
      </c>
      <c r="H850" s="37" cm="1">
        <f t="array" ref="H850">IFERROR(SUMPRODUCT(Tracking[Amount], --(Tracking[Date]&lt;=Tracking[[#This Row],[Date]]), (Tracking[Type]&lt;&gt;"Income") * (-1) + (Tracking[Type]="Income")), "-")</f>
        <v>7596</v>
      </c>
      <c r="I850" s="95">
        <f>IF(AND(Tracking[[#This Row],[Type]]="Income", shift_late_income_status="Active", DAY(Tracking[[#This Row],[Date]])&gt;=shift_late_income_starting_day),
      DATE(YEAR(Tracking[[#This Row],[Date]]), MONTH(Tracking[[#This Row],[Date]])+1, 1),
      Tracking[[#This Row],[Date]])</f>
        <v>45916</v>
      </c>
    </row>
    <row r="851" spans="3:9" hidden="1" outlineLevel="1" x14ac:dyDescent="0.2">
      <c r="C851" s="94">
        <v>45918</v>
      </c>
      <c r="D851" s="32" t="s">
        <v>47</v>
      </c>
      <c r="E851" s="32" t="s">
        <v>49</v>
      </c>
      <c r="F851" s="34">
        <v>15</v>
      </c>
      <c r="G851" s="35" t="s">
        <v>491</v>
      </c>
      <c r="H851" s="37" cm="1">
        <f t="array" ref="H851">IFERROR(SUMPRODUCT(Tracking[Amount], --(Tracking[Date]&lt;=Tracking[[#This Row],[Date]]), (Tracking[Type]&lt;&gt;"Income") * (-1) + (Tracking[Type]="Income")), "-")</f>
        <v>7573</v>
      </c>
      <c r="I851" s="95">
        <f>IF(AND(Tracking[[#This Row],[Type]]="Income", shift_late_income_status="Active", DAY(Tracking[[#This Row],[Date]])&gt;=shift_late_income_starting_day),
      DATE(YEAR(Tracking[[#This Row],[Date]]), MONTH(Tracking[[#This Row],[Date]])+1, 1),
      Tracking[[#This Row],[Date]])</f>
        <v>45918</v>
      </c>
    </row>
    <row r="852" spans="3:9" hidden="1" outlineLevel="1" x14ac:dyDescent="0.2">
      <c r="C852" s="94">
        <v>45919</v>
      </c>
      <c r="D852" s="32" t="s">
        <v>47</v>
      </c>
      <c r="E852" s="32" t="s">
        <v>48</v>
      </c>
      <c r="F852" s="34">
        <v>83</v>
      </c>
      <c r="G852" s="35"/>
      <c r="H852" s="37" cm="1">
        <f t="array" ref="H852">IFERROR(SUMPRODUCT(Tracking[Amount], --(Tracking[Date]&lt;=Tracking[[#This Row],[Date]]), (Tracking[Type]&lt;&gt;"Income") * (-1) + (Tracking[Type]="Income")), "-")</f>
        <v>7382</v>
      </c>
      <c r="I852" s="95">
        <f>IF(AND(Tracking[[#This Row],[Type]]="Income", shift_late_income_status="Active", DAY(Tracking[[#This Row],[Date]])&gt;=shift_late_income_starting_day),
      DATE(YEAR(Tracking[[#This Row],[Date]]), MONTH(Tracking[[#This Row],[Date]])+1, 1),
      Tracking[[#This Row],[Date]])</f>
        <v>45919</v>
      </c>
    </row>
    <row r="853" spans="3:9" hidden="1" outlineLevel="1" x14ac:dyDescent="0.2">
      <c r="C853" s="94">
        <v>45919</v>
      </c>
      <c r="D853" s="32" t="s">
        <v>47</v>
      </c>
      <c r="E853" s="32" t="s">
        <v>44</v>
      </c>
      <c r="F853" s="34">
        <v>70</v>
      </c>
      <c r="G853" s="35" t="s">
        <v>465</v>
      </c>
      <c r="H853" s="37" cm="1">
        <f t="array" ref="H853">IFERROR(SUMPRODUCT(Tracking[Amount], --(Tracking[Date]&lt;=Tracking[[#This Row],[Date]]), (Tracking[Type]&lt;&gt;"Income") * (-1) + (Tracking[Type]="Income")), "-")</f>
        <v>7382</v>
      </c>
      <c r="I853" s="95">
        <f>IF(AND(Tracking[[#This Row],[Type]]="Income", shift_late_income_status="Active", DAY(Tracking[[#This Row],[Date]])&gt;=shift_late_income_starting_day),
      DATE(YEAR(Tracking[[#This Row],[Date]]), MONTH(Tracking[[#This Row],[Date]])+1, 1),
      Tracking[[#This Row],[Date]])</f>
        <v>45919</v>
      </c>
    </row>
    <row r="854" spans="3:9" hidden="1" outlineLevel="1" x14ac:dyDescent="0.2">
      <c r="C854" s="94">
        <v>45919</v>
      </c>
      <c r="D854" s="32" t="s">
        <v>47</v>
      </c>
      <c r="E854" s="32" t="s">
        <v>49</v>
      </c>
      <c r="F854" s="34">
        <v>38</v>
      </c>
      <c r="G854" s="35" t="s">
        <v>517</v>
      </c>
      <c r="H854" s="37" cm="1">
        <f t="array" ref="H854">IFERROR(SUMPRODUCT(Tracking[Amount], --(Tracking[Date]&lt;=Tracking[[#This Row],[Date]]), (Tracking[Type]&lt;&gt;"Income") * (-1) + (Tracking[Type]="Income")), "-")</f>
        <v>7382</v>
      </c>
      <c r="I854" s="95">
        <f>IF(AND(Tracking[[#This Row],[Type]]="Income", shift_late_income_status="Active", DAY(Tracking[[#This Row],[Date]])&gt;=shift_late_income_starting_day),
      DATE(YEAR(Tracking[[#This Row],[Date]]), MONTH(Tracking[[#This Row],[Date]])+1, 1),
      Tracking[[#This Row],[Date]])</f>
        <v>45919</v>
      </c>
    </row>
    <row r="855" spans="3:9" hidden="1" outlineLevel="1" x14ac:dyDescent="0.2">
      <c r="C855" s="94">
        <v>45920</v>
      </c>
      <c r="D855" s="32" t="s">
        <v>47</v>
      </c>
      <c r="E855" s="32" t="s">
        <v>48</v>
      </c>
      <c r="F855" s="34">
        <v>24</v>
      </c>
      <c r="G855" s="35"/>
      <c r="H855" s="37" cm="1">
        <f t="array" ref="H855">IFERROR(SUMPRODUCT(Tracking[Amount], --(Tracking[Date]&lt;=Tracking[[#This Row],[Date]]), (Tracking[Type]&lt;&gt;"Income") * (-1) + (Tracking[Type]="Income")), "-")</f>
        <v>7358</v>
      </c>
      <c r="I855" s="95">
        <f>IF(AND(Tracking[[#This Row],[Type]]="Income", shift_late_income_status="Active", DAY(Tracking[[#This Row],[Date]])&gt;=shift_late_income_starting_day),
      DATE(YEAR(Tracking[[#This Row],[Date]]), MONTH(Tracking[[#This Row],[Date]])+1, 1),
      Tracking[[#This Row],[Date]])</f>
        <v>45920</v>
      </c>
    </row>
    <row r="856" spans="3:9" hidden="1" outlineLevel="1" x14ac:dyDescent="0.2">
      <c r="C856" s="94">
        <v>45921</v>
      </c>
      <c r="D856" s="32" t="s">
        <v>47</v>
      </c>
      <c r="E856" s="32" t="s">
        <v>49</v>
      </c>
      <c r="F856" s="34">
        <v>9</v>
      </c>
      <c r="G856" s="35"/>
      <c r="H856" s="37" cm="1">
        <f t="array" ref="H856">IFERROR(SUMPRODUCT(Tracking[Amount], --(Tracking[Date]&lt;=Tracking[[#This Row],[Date]]), (Tracking[Type]&lt;&gt;"Income") * (-1) + (Tracking[Type]="Income")), "-")</f>
        <v>7349</v>
      </c>
      <c r="I856" s="95">
        <f>IF(AND(Tracking[[#This Row],[Type]]="Income", shift_late_income_status="Active", DAY(Tracking[[#This Row],[Date]])&gt;=shift_late_income_starting_day),
      DATE(YEAR(Tracking[[#This Row],[Date]]), MONTH(Tracking[[#This Row],[Date]])+1, 1),
      Tracking[[#This Row],[Date]])</f>
        <v>45921</v>
      </c>
    </row>
    <row r="857" spans="3:9" hidden="1" outlineLevel="1" x14ac:dyDescent="0.2">
      <c r="C857" s="94">
        <v>45922</v>
      </c>
      <c r="D857" s="32" t="s">
        <v>47</v>
      </c>
      <c r="E857" s="32" t="s">
        <v>49</v>
      </c>
      <c r="F857" s="34">
        <v>75</v>
      </c>
      <c r="G857" s="35" t="s">
        <v>535</v>
      </c>
      <c r="H857" s="37" cm="1">
        <f t="array" ref="H857">IFERROR(SUMPRODUCT(Tracking[Amount], --(Tracking[Date]&lt;=Tracking[[#This Row],[Date]]), (Tracking[Type]&lt;&gt;"Income") * (-1) + (Tracking[Type]="Income")), "-")</f>
        <v>7199</v>
      </c>
      <c r="I857" s="95">
        <f>IF(AND(Tracking[[#This Row],[Type]]="Income", shift_late_income_status="Active", DAY(Tracking[[#This Row],[Date]])&gt;=shift_late_income_starting_day),
      DATE(YEAR(Tracking[[#This Row],[Date]]), MONTH(Tracking[[#This Row],[Date]])+1, 1),
      Tracking[[#This Row],[Date]])</f>
        <v>45922</v>
      </c>
    </row>
    <row r="858" spans="3:9" hidden="1" outlineLevel="1" x14ac:dyDescent="0.2">
      <c r="C858" s="94">
        <v>45922</v>
      </c>
      <c r="D858" s="32" t="s">
        <v>47</v>
      </c>
      <c r="E858" s="32" t="s">
        <v>60</v>
      </c>
      <c r="F858" s="34">
        <v>63</v>
      </c>
      <c r="G858" s="35" t="s">
        <v>412</v>
      </c>
      <c r="H858" s="37" cm="1">
        <f t="array" ref="H858">IFERROR(SUMPRODUCT(Tracking[Amount], --(Tracking[Date]&lt;=Tracking[[#This Row],[Date]]), (Tracking[Type]&lt;&gt;"Income") * (-1) + (Tracking[Type]="Income")), "-")</f>
        <v>7199</v>
      </c>
      <c r="I858" s="95">
        <f>IF(AND(Tracking[[#This Row],[Type]]="Income", shift_late_income_status="Active", DAY(Tracking[[#This Row],[Date]])&gt;=shift_late_income_starting_day),
      DATE(YEAR(Tracking[[#This Row],[Date]]), MONTH(Tracking[[#This Row],[Date]])+1, 1),
      Tracking[[#This Row],[Date]])</f>
        <v>45922</v>
      </c>
    </row>
    <row r="859" spans="3:9" hidden="1" outlineLevel="1" x14ac:dyDescent="0.2">
      <c r="C859" s="94">
        <v>45922</v>
      </c>
      <c r="D859" s="32" t="s">
        <v>47</v>
      </c>
      <c r="E859" s="32" t="s">
        <v>49</v>
      </c>
      <c r="F859" s="34">
        <v>12</v>
      </c>
      <c r="G859" s="35" t="s">
        <v>334</v>
      </c>
      <c r="H859" s="37" cm="1">
        <f t="array" ref="H859">IFERROR(SUMPRODUCT(Tracking[Amount], --(Tracking[Date]&lt;=Tracking[[#This Row],[Date]]), (Tracking[Type]&lt;&gt;"Income") * (-1) + (Tracking[Type]="Income")), "-")</f>
        <v>7199</v>
      </c>
      <c r="I859" s="95">
        <f>IF(AND(Tracking[[#This Row],[Type]]="Income", shift_late_income_status="Active", DAY(Tracking[[#This Row],[Date]])&gt;=shift_late_income_starting_day),
      DATE(YEAR(Tracking[[#This Row],[Date]]), MONTH(Tracking[[#This Row],[Date]])+1, 1),
      Tracking[[#This Row],[Date]])</f>
        <v>45922</v>
      </c>
    </row>
    <row r="860" spans="3:9" hidden="1" outlineLevel="1" x14ac:dyDescent="0.2">
      <c r="C860" s="94">
        <v>45923</v>
      </c>
      <c r="D860" s="32" t="s">
        <v>47</v>
      </c>
      <c r="E860" s="32" t="s">
        <v>48</v>
      </c>
      <c r="F860" s="34">
        <v>26</v>
      </c>
      <c r="G860" s="35"/>
      <c r="H860" s="37" cm="1">
        <f t="array" ref="H860">IFERROR(SUMPRODUCT(Tracking[Amount], --(Tracking[Date]&lt;=Tracking[[#This Row],[Date]]), (Tracking[Type]&lt;&gt;"Income") * (-1) + (Tracking[Type]="Income")), "-")</f>
        <v>7167</v>
      </c>
      <c r="I860" s="95">
        <f>IF(AND(Tracking[[#This Row],[Type]]="Income", shift_late_income_status="Active", DAY(Tracking[[#This Row],[Date]])&gt;=shift_late_income_starting_day),
      DATE(YEAR(Tracking[[#This Row],[Date]]), MONTH(Tracking[[#This Row],[Date]])+1, 1),
      Tracking[[#This Row],[Date]])</f>
        <v>45923</v>
      </c>
    </row>
    <row r="861" spans="3:9" hidden="1" outlineLevel="1" x14ac:dyDescent="0.2">
      <c r="C861" s="94">
        <v>45923</v>
      </c>
      <c r="D861" s="32" t="s">
        <v>47</v>
      </c>
      <c r="E861" s="32" t="s">
        <v>60</v>
      </c>
      <c r="F861" s="34">
        <v>6</v>
      </c>
      <c r="G861" s="35" t="s">
        <v>338</v>
      </c>
      <c r="H861" s="37" cm="1">
        <f t="array" ref="H861">IFERROR(SUMPRODUCT(Tracking[Amount], --(Tracking[Date]&lt;=Tracking[[#This Row],[Date]]), (Tracking[Type]&lt;&gt;"Income") * (-1) + (Tracking[Type]="Income")), "-")</f>
        <v>7167</v>
      </c>
      <c r="I861" s="95">
        <f>IF(AND(Tracking[[#This Row],[Type]]="Income", shift_late_income_status="Active", DAY(Tracking[[#This Row],[Date]])&gt;=shift_late_income_starting_day),
      DATE(YEAR(Tracking[[#This Row],[Date]]), MONTH(Tracking[[#This Row],[Date]])+1, 1),
      Tracking[[#This Row],[Date]])</f>
        <v>45923</v>
      </c>
    </row>
    <row r="862" spans="3:9" hidden="1" outlineLevel="1" x14ac:dyDescent="0.2">
      <c r="C862" s="94">
        <v>45924</v>
      </c>
      <c r="D862" s="32" t="s">
        <v>47</v>
      </c>
      <c r="E862" s="32" t="s">
        <v>50</v>
      </c>
      <c r="F862" s="34">
        <v>130</v>
      </c>
      <c r="G862" s="35" t="s">
        <v>557</v>
      </c>
      <c r="H862" s="37" cm="1">
        <f t="array" ref="H862">IFERROR(SUMPRODUCT(Tracking[Amount], --(Tracking[Date]&lt;=Tracking[[#This Row],[Date]]), (Tracking[Type]&lt;&gt;"Income") * (-1) + (Tracking[Type]="Income")), "-")</f>
        <v>7021</v>
      </c>
      <c r="I862" s="95">
        <f>IF(AND(Tracking[[#This Row],[Type]]="Income", shift_late_income_status="Active", DAY(Tracking[[#This Row],[Date]])&gt;=shift_late_income_starting_day),
      DATE(YEAR(Tracking[[#This Row],[Date]]), MONTH(Tracking[[#This Row],[Date]])+1, 1),
      Tracking[[#This Row],[Date]])</f>
        <v>45924</v>
      </c>
    </row>
    <row r="863" spans="3:9" hidden="1" outlineLevel="1" x14ac:dyDescent="0.2">
      <c r="C863" s="94">
        <v>45924</v>
      </c>
      <c r="D863" s="32" t="s">
        <v>47</v>
      </c>
      <c r="E863" s="32" t="s">
        <v>59</v>
      </c>
      <c r="F863" s="34">
        <v>16</v>
      </c>
      <c r="G863" s="35" t="s">
        <v>271</v>
      </c>
      <c r="H863" s="37" cm="1">
        <f t="array" ref="H863">IFERROR(SUMPRODUCT(Tracking[Amount], --(Tracking[Date]&lt;=Tracking[[#This Row],[Date]]), (Tracking[Type]&lt;&gt;"Income") * (-1) + (Tracking[Type]="Income")), "-")</f>
        <v>7021</v>
      </c>
      <c r="I863" s="95">
        <f>IF(AND(Tracking[[#This Row],[Type]]="Income", shift_late_income_status="Active", DAY(Tracking[[#This Row],[Date]])&gt;=shift_late_income_starting_day),
      DATE(YEAR(Tracking[[#This Row],[Date]]), MONTH(Tracking[[#This Row],[Date]])+1, 1),
      Tracking[[#This Row],[Date]])</f>
        <v>45924</v>
      </c>
    </row>
    <row r="864" spans="3:9" hidden="1" outlineLevel="1" x14ac:dyDescent="0.2">
      <c r="C864" s="94">
        <v>45925</v>
      </c>
      <c r="D864" s="32" t="s">
        <v>47</v>
      </c>
      <c r="E864" s="32" t="s">
        <v>58</v>
      </c>
      <c r="F864" s="34">
        <v>109</v>
      </c>
      <c r="G864" s="35" t="s">
        <v>435</v>
      </c>
      <c r="H864" s="37" cm="1">
        <f t="array" ref="H864">IFERROR(SUMPRODUCT(Tracking[Amount], --(Tracking[Date]&lt;=Tracking[[#This Row],[Date]]), (Tracking[Type]&lt;&gt;"Income") * (-1) + (Tracking[Type]="Income")), "-")</f>
        <v>6677</v>
      </c>
      <c r="I864" s="95">
        <f>IF(AND(Tracking[[#This Row],[Type]]="Income", shift_late_income_status="Active", DAY(Tracking[[#This Row],[Date]])&gt;=shift_late_income_starting_day),
      DATE(YEAR(Tracking[[#This Row],[Date]]), MONTH(Tracking[[#This Row],[Date]])+1, 1),
      Tracking[[#This Row],[Date]])</f>
        <v>45925</v>
      </c>
    </row>
    <row r="865" spans="3:9" hidden="1" outlineLevel="1" x14ac:dyDescent="0.2">
      <c r="C865" s="94">
        <v>45925</v>
      </c>
      <c r="D865" s="32" t="s">
        <v>47</v>
      </c>
      <c r="E865" s="32" t="s">
        <v>58</v>
      </c>
      <c r="F865" s="34">
        <v>149</v>
      </c>
      <c r="G865" s="35" t="s">
        <v>422</v>
      </c>
      <c r="H865" s="37" cm="1">
        <f t="array" ref="H865">IFERROR(SUMPRODUCT(Tracking[Amount], --(Tracking[Date]&lt;=Tracking[[#This Row],[Date]]), (Tracking[Type]&lt;&gt;"Income") * (-1) + (Tracking[Type]="Income")), "-")</f>
        <v>6677</v>
      </c>
      <c r="I865" s="95">
        <f>IF(AND(Tracking[[#This Row],[Type]]="Income", shift_late_income_status="Active", DAY(Tracking[[#This Row],[Date]])&gt;=shift_late_income_starting_day),
      DATE(YEAR(Tracking[[#This Row],[Date]]), MONTH(Tracking[[#This Row],[Date]])+1, 1),
      Tracking[[#This Row],[Date]])</f>
        <v>45925</v>
      </c>
    </row>
    <row r="866" spans="3:9" hidden="1" outlineLevel="1" x14ac:dyDescent="0.2">
      <c r="C866" s="94">
        <v>45925</v>
      </c>
      <c r="D866" s="32" t="s">
        <v>47</v>
      </c>
      <c r="E866" s="32" t="s">
        <v>235</v>
      </c>
      <c r="F866" s="34">
        <v>48</v>
      </c>
      <c r="G866" s="35" t="s">
        <v>558</v>
      </c>
      <c r="H866" s="37" cm="1">
        <f t="array" ref="H866">IFERROR(SUMPRODUCT(Tracking[Amount], --(Tracking[Date]&lt;=Tracking[[#This Row],[Date]]), (Tracking[Type]&lt;&gt;"Income") * (-1) + (Tracking[Type]="Income")), "-")</f>
        <v>6677</v>
      </c>
      <c r="I866" s="95">
        <f>IF(AND(Tracking[[#This Row],[Type]]="Income", shift_late_income_status="Active", DAY(Tracking[[#This Row],[Date]])&gt;=shift_late_income_starting_day),
      DATE(YEAR(Tracking[[#This Row],[Date]]), MONTH(Tracking[[#This Row],[Date]])+1, 1),
      Tracking[[#This Row],[Date]])</f>
        <v>45925</v>
      </c>
    </row>
    <row r="867" spans="3:9" hidden="1" outlineLevel="1" x14ac:dyDescent="0.2">
      <c r="C867" s="94">
        <v>45925</v>
      </c>
      <c r="D867" s="32" t="s">
        <v>47</v>
      </c>
      <c r="E867" s="32" t="s">
        <v>235</v>
      </c>
      <c r="F867" s="34">
        <v>38</v>
      </c>
      <c r="G867" s="35" t="s">
        <v>231</v>
      </c>
      <c r="H867" s="37" cm="1">
        <f t="array" ref="H867">IFERROR(SUMPRODUCT(Tracking[Amount], --(Tracking[Date]&lt;=Tracking[[#This Row],[Date]]), (Tracking[Type]&lt;&gt;"Income") * (-1) + (Tracking[Type]="Income")), "-")</f>
        <v>6677</v>
      </c>
      <c r="I867" s="95">
        <f>IF(AND(Tracking[[#This Row],[Type]]="Income", shift_late_income_status="Active", DAY(Tracking[[#This Row],[Date]])&gt;=shift_late_income_starting_day),
      DATE(YEAR(Tracking[[#This Row],[Date]]), MONTH(Tracking[[#This Row],[Date]])+1, 1),
      Tracking[[#This Row],[Date]])</f>
        <v>45925</v>
      </c>
    </row>
    <row r="868" spans="3:9" hidden="1" outlineLevel="1" x14ac:dyDescent="0.2">
      <c r="C868" s="94">
        <v>45926</v>
      </c>
      <c r="D868" s="32" t="s">
        <v>47</v>
      </c>
      <c r="E868" s="32" t="s">
        <v>50</v>
      </c>
      <c r="F868" s="34">
        <v>9</v>
      </c>
      <c r="G868" s="35"/>
      <c r="H868" s="37" cm="1">
        <f t="array" ref="H868">IFERROR(SUMPRODUCT(Tracking[Amount], --(Tracking[Date]&lt;=Tracking[[#This Row],[Date]]), (Tracking[Type]&lt;&gt;"Income") * (-1) + (Tracking[Type]="Income")), "-")</f>
        <v>6444</v>
      </c>
      <c r="I868" s="95">
        <f>IF(AND(Tracking[[#This Row],[Type]]="Income", shift_late_income_status="Active", DAY(Tracking[[#This Row],[Date]])&gt;=shift_late_income_starting_day),
      DATE(YEAR(Tracking[[#This Row],[Date]]), MONTH(Tracking[[#This Row],[Date]])+1, 1),
      Tracking[[#This Row],[Date]])</f>
        <v>45926</v>
      </c>
    </row>
    <row r="869" spans="3:9" hidden="1" outlineLevel="1" x14ac:dyDescent="0.2">
      <c r="C869" s="94">
        <v>45926</v>
      </c>
      <c r="D869" s="32" t="s">
        <v>47</v>
      </c>
      <c r="E869" s="32" t="s">
        <v>59</v>
      </c>
      <c r="F869" s="34">
        <v>16</v>
      </c>
      <c r="G869" s="35" t="s">
        <v>440</v>
      </c>
      <c r="H869" s="37" cm="1">
        <f t="array" ref="H869">IFERROR(SUMPRODUCT(Tracking[Amount], --(Tracking[Date]&lt;=Tracking[[#This Row],[Date]]), (Tracking[Type]&lt;&gt;"Income") * (-1) + (Tracking[Type]="Income")), "-")</f>
        <v>6444</v>
      </c>
      <c r="I869" s="95">
        <f>IF(AND(Tracking[[#This Row],[Type]]="Income", shift_late_income_status="Active", DAY(Tracking[[#This Row],[Date]])&gt;=shift_late_income_starting_day),
      DATE(YEAR(Tracking[[#This Row],[Date]]), MONTH(Tracking[[#This Row],[Date]])+1, 1),
      Tracking[[#This Row],[Date]])</f>
        <v>45926</v>
      </c>
    </row>
    <row r="870" spans="3:9" hidden="1" outlineLevel="1" x14ac:dyDescent="0.2">
      <c r="C870" s="94">
        <v>45926</v>
      </c>
      <c r="D870" s="32" t="s">
        <v>47</v>
      </c>
      <c r="E870" s="32" t="s">
        <v>48</v>
      </c>
      <c r="F870" s="34">
        <v>128</v>
      </c>
      <c r="G870" s="35" t="s">
        <v>559</v>
      </c>
      <c r="H870" s="37" cm="1">
        <f t="array" ref="H870">IFERROR(SUMPRODUCT(Tracking[Amount], --(Tracking[Date]&lt;=Tracking[[#This Row],[Date]]), (Tracking[Type]&lt;&gt;"Income") * (-1) + (Tracking[Type]="Income")), "-")</f>
        <v>6444</v>
      </c>
      <c r="I870" s="95">
        <f>IF(AND(Tracking[[#This Row],[Type]]="Income", shift_late_income_status="Active", DAY(Tracking[[#This Row],[Date]])&gt;=shift_late_income_starting_day),
      DATE(YEAR(Tracking[[#This Row],[Date]]), MONTH(Tracking[[#This Row],[Date]])+1, 1),
      Tracking[[#This Row],[Date]])</f>
        <v>45926</v>
      </c>
    </row>
    <row r="871" spans="3:9" hidden="1" outlineLevel="1" x14ac:dyDescent="0.2">
      <c r="C871" s="94">
        <v>45926</v>
      </c>
      <c r="D871" s="32" t="s">
        <v>47</v>
      </c>
      <c r="E871" s="32" t="s">
        <v>52</v>
      </c>
      <c r="F871" s="34">
        <v>80</v>
      </c>
      <c r="G871" s="35" t="s">
        <v>415</v>
      </c>
      <c r="H871" s="37" cm="1">
        <f t="array" ref="H871">IFERROR(SUMPRODUCT(Tracking[Amount], --(Tracking[Date]&lt;=Tracking[[#This Row],[Date]]), (Tracking[Type]&lt;&gt;"Income") * (-1) + (Tracking[Type]="Income")), "-")</f>
        <v>6444</v>
      </c>
      <c r="I871" s="95">
        <f>IF(AND(Tracking[[#This Row],[Type]]="Income", shift_late_income_status="Active", DAY(Tracking[[#This Row],[Date]])&gt;=shift_late_income_starting_day),
      DATE(YEAR(Tracking[[#This Row],[Date]]), MONTH(Tracking[[#This Row],[Date]])+1, 1),
      Tracking[[#This Row],[Date]])</f>
        <v>45926</v>
      </c>
    </row>
    <row r="872" spans="3:9" hidden="1" outlineLevel="1" x14ac:dyDescent="0.2">
      <c r="C872" s="94">
        <v>45927</v>
      </c>
      <c r="D872" s="32" t="s">
        <v>47</v>
      </c>
      <c r="E872" s="32" t="s">
        <v>57</v>
      </c>
      <c r="F872" s="34">
        <v>3215</v>
      </c>
      <c r="G872" s="35"/>
      <c r="H872" s="37" cm="1">
        <f t="array" ref="H872">IFERROR(SUMPRODUCT(Tracking[Amount], --(Tracking[Date]&lt;=Tracking[[#This Row],[Date]]), (Tracking[Type]&lt;&gt;"Income") * (-1) + (Tracking[Type]="Income")), "-")</f>
        <v>3213</v>
      </c>
      <c r="I872" s="95">
        <f>IF(AND(Tracking[[#This Row],[Type]]="Income", shift_late_income_status="Active", DAY(Tracking[[#This Row],[Date]])&gt;=shift_late_income_starting_day),
      DATE(YEAR(Tracking[[#This Row],[Date]]), MONTH(Tracking[[#This Row],[Date]])+1, 1),
      Tracking[[#This Row],[Date]])</f>
        <v>45927</v>
      </c>
    </row>
    <row r="873" spans="3:9" hidden="1" outlineLevel="1" x14ac:dyDescent="0.2">
      <c r="C873" s="94">
        <v>45927</v>
      </c>
      <c r="D873" s="32" t="s">
        <v>47</v>
      </c>
      <c r="E873" s="32" t="s">
        <v>48</v>
      </c>
      <c r="F873" s="34">
        <v>16</v>
      </c>
      <c r="G873" s="35"/>
      <c r="H873" s="37" cm="1">
        <f t="array" ref="H873">IFERROR(SUMPRODUCT(Tracking[Amount], --(Tracking[Date]&lt;=Tracking[[#This Row],[Date]]), (Tracking[Type]&lt;&gt;"Income") * (-1) + (Tracking[Type]="Income")), "-")</f>
        <v>3213</v>
      </c>
      <c r="I873" s="95">
        <f>IF(AND(Tracking[[#This Row],[Type]]="Income", shift_late_income_status="Active", DAY(Tracking[[#This Row],[Date]])&gt;=shift_late_income_starting_day),
      DATE(YEAR(Tracking[[#This Row],[Date]]), MONTH(Tracking[[#This Row],[Date]])+1, 1),
      Tracking[[#This Row],[Date]])</f>
        <v>45927</v>
      </c>
    </row>
    <row r="874" spans="3:9" hidden="1" outlineLevel="1" x14ac:dyDescent="0.2">
      <c r="C874" s="94">
        <v>45928</v>
      </c>
      <c r="D874" s="32" t="s">
        <v>47</v>
      </c>
      <c r="E874" s="32" t="s">
        <v>51</v>
      </c>
      <c r="F874" s="34">
        <v>83</v>
      </c>
      <c r="G874" s="35" t="s">
        <v>560</v>
      </c>
      <c r="H874" s="37" cm="1">
        <f t="array" ref="H874">IFERROR(SUMPRODUCT(Tracking[Amount], --(Tracking[Date]&lt;=Tracking[[#This Row],[Date]]), (Tracking[Type]&lt;&gt;"Income") * (-1) + (Tracking[Type]="Income")), "-")</f>
        <v>3102</v>
      </c>
      <c r="I874" s="95">
        <f>IF(AND(Tracking[[#This Row],[Type]]="Income", shift_late_income_status="Active", DAY(Tracking[[#This Row],[Date]])&gt;=shift_late_income_starting_day),
      DATE(YEAR(Tracking[[#This Row],[Date]]), MONTH(Tracking[[#This Row],[Date]])+1, 1),
      Tracking[[#This Row],[Date]])</f>
        <v>45928</v>
      </c>
    </row>
    <row r="875" spans="3:9" hidden="1" outlineLevel="1" x14ac:dyDescent="0.2">
      <c r="C875" s="94">
        <v>45928</v>
      </c>
      <c r="D875" s="32" t="s">
        <v>47</v>
      </c>
      <c r="E875" s="32" t="s">
        <v>51</v>
      </c>
      <c r="F875" s="34">
        <v>28</v>
      </c>
      <c r="G875" s="35" t="s">
        <v>358</v>
      </c>
      <c r="H875" s="37" cm="1">
        <f t="array" ref="H875">IFERROR(SUMPRODUCT(Tracking[Amount], --(Tracking[Date]&lt;=Tracking[[#This Row],[Date]]), (Tracking[Type]&lt;&gt;"Income") * (-1) + (Tracking[Type]="Income")), "-")</f>
        <v>3102</v>
      </c>
      <c r="I875" s="95">
        <f>IF(AND(Tracking[[#This Row],[Type]]="Income", shift_late_income_status="Active", DAY(Tracking[[#This Row],[Date]])&gt;=shift_late_income_starting_day),
      DATE(YEAR(Tracking[[#This Row],[Date]]), MONTH(Tracking[[#This Row],[Date]])+1, 1),
      Tracking[[#This Row],[Date]])</f>
        <v>45928</v>
      </c>
    </row>
    <row r="876" spans="3:9" hidden="1" outlineLevel="1" x14ac:dyDescent="0.2">
      <c r="C876" s="94">
        <v>45929</v>
      </c>
      <c r="D876" s="32" t="s">
        <v>47</v>
      </c>
      <c r="E876" s="32" t="s">
        <v>49</v>
      </c>
      <c r="F876" s="34">
        <v>71</v>
      </c>
      <c r="G876" s="35" t="s">
        <v>561</v>
      </c>
      <c r="H876" s="37" cm="1">
        <f t="array" ref="H876">IFERROR(SUMPRODUCT(Tracking[Amount], --(Tracking[Date]&lt;=Tracking[[#This Row],[Date]]), (Tracking[Type]&lt;&gt;"Income") * (-1) + (Tracking[Type]="Income")), "-")</f>
        <v>3019</v>
      </c>
      <c r="I876" s="95">
        <f>IF(AND(Tracking[[#This Row],[Type]]="Income", shift_late_income_status="Active", DAY(Tracking[[#This Row],[Date]])&gt;=shift_late_income_starting_day),
      DATE(YEAR(Tracking[[#This Row],[Date]]), MONTH(Tracking[[#This Row],[Date]])+1, 1),
      Tracking[[#This Row],[Date]])</f>
        <v>45929</v>
      </c>
    </row>
    <row r="877" spans="3:9" hidden="1" outlineLevel="1" x14ac:dyDescent="0.2">
      <c r="C877" s="94">
        <v>45929</v>
      </c>
      <c r="D877" s="32" t="s">
        <v>47</v>
      </c>
      <c r="E877" s="32" t="s">
        <v>48</v>
      </c>
      <c r="F877" s="34">
        <v>12</v>
      </c>
      <c r="G877" s="35"/>
      <c r="H877" s="37" cm="1">
        <f t="array" ref="H877">IFERROR(SUMPRODUCT(Tracking[Amount], --(Tracking[Date]&lt;=Tracking[[#This Row],[Date]]), (Tracking[Type]&lt;&gt;"Income") * (-1) + (Tracking[Type]="Income")), "-")</f>
        <v>3019</v>
      </c>
      <c r="I877" s="95">
        <f>IF(AND(Tracking[[#This Row],[Type]]="Income", shift_late_income_status="Active", DAY(Tracking[[#This Row],[Date]])&gt;=shift_late_income_starting_day),
      DATE(YEAR(Tracking[[#This Row],[Date]]), MONTH(Tracking[[#This Row],[Date]])+1, 1),
      Tracking[[#This Row],[Date]])</f>
        <v>45929</v>
      </c>
    </row>
    <row r="878" spans="3:9" hidden="1" outlineLevel="1" x14ac:dyDescent="0.2">
      <c r="C878" s="94">
        <v>45930</v>
      </c>
      <c r="D878" s="32" t="s">
        <v>47</v>
      </c>
      <c r="E878" s="32" t="s">
        <v>52</v>
      </c>
      <c r="F878" s="34">
        <v>20</v>
      </c>
      <c r="G878" s="35" t="s">
        <v>562</v>
      </c>
      <c r="H878" s="37" cm="1">
        <f t="array" ref="H878">IFERROR(SUMPRODUCT(Tracking[Amount], --(Tracking[Date]&lt;=Tracking[[#This Row],[Date]]), (Tracking[Type]&lt;&gt;"Income") * (-1) + (Tracking[Type]="Income")), "-")</f>
        <v>2770</v>
      </c>
      <c r="I878" s="95">
        <f>IF(AND(Tracking[[#This Row],[Type]]="Income", shift_late_income_status="Active", DAY(Tracking[[#This Row],[Date]])&gt;=shift_late_income_starting_day),
      DATE(YEAR(Tracking[[#This Row],[Date]]), MONTH(Tracking[[#This Row],[Date]])+1, 1),
      Tracking[[#This Row],[Date]])</f>
        <v>45930</v>
      </c>
    </row>
    <row r="879" spans="3:9" hidden="1" outlineLevel="1" x14ac:dyDescent="0.2">
      <c r="C879" s="94">
        <v>45930</v>
      </c>
      <c r="D879" s="32" t="s">
        <v>62</v>
      </c>
      <c r="E879" s="32" t="s">
        <v>63</v>
      </c>
      <c r="F879" s="34">
        <v>78</v>
      </c>
      <c r="G879" s="35"/>
      <c r="H879" s="37" cm="1">
        <f t="array" ref="H879">IFERROR(SUMPRODUCT(Tracking[Amount], --(Tracking[Date]&lt;=Tracking[[#This Row],[Date]]), (Tracking[Type]&lt;&gt;"Income") * (-1) + (Tracking[Type]="Income")), "-")</f>
        <v>2770</v>
      </c>
      <c r="I879" s="95">
        <f>IF(AND(Tracking[[#This Row],[Type]]="Income", shift_late_income_status="Active", DAY(Tracking[[#This Row],[Date]])&gt;=shift_late_income_starting_day),
      DATE(YEAR(Tracking[[#This Row],[Date]]), MONTH(Tracking[[#This Row],[Date]])+1, 1),
      Tracking[[#This Row],[Date]])</f>
        <v>45930</v>
      </c>
    </row>
    <row r="880" spans="3:9" hidden="1" outlineLevel="1" x14ac:dyDescent="0.2">
      <c r="C880" s="94">
        <v>45930</v>
      </c>
      <c r="D880" s="32" t="s">
        <v>47</v>
      </c>
      <c r="E880" s="32" t="s">
        <v>52</v>
      </c>
      <c r="F880" s="34">
        <v>80</v>
      </c>
      <c r="G880" s="35" t="s">
        <v>415</v>
      </c>
      <c r="H880" s="37" cm="1">
        <f t="array" ref="H880">IFERROR(SUMPRODUCT(Tracking[Amount], --(Tracking[Date]&lt;=Tracking[[#This Row],[Date]]), (Tracking[Type]&lt;&gt;"Income") * (-1) + (Tracking[Type]="Income")), "-")</f>
        <v>2770</v>
      </c>
      <c r="I880" s="95">
        <f>IF(AND(Tracking[[#This Row],[Type]]="Income", shift_late_income_status="Active", DAY(Tracking[[#This Row],[Date]])&gt;=shift_late_income_starting_day),
      DATE(YEAR(Tracking[[#This Row],[Date]]), MONTH(Tracking[[#This Row],[Date]])+1, 1),
      Tracking[[#This Row],[Date]])</f>
        <v>45930</v>
      </c>
    </row>
    <row r="881" spans="3:9" hidden="1" outlineLevel="1" x14ac:dyDescent="0.2">
      <c r="C881" s="94">
        <v>45930</v>
      </c>
      <c r="D881" s="32" t="s">
        <v>47</v>
      </c>
      <c r="E881" s="32" t="s">
        <v>50</v>
      </c>
      <c r="F881" s="34">
        <v>71</v>
      </c>
      <c r="G881" s="35"/>
      <c r="H881" s="37" cm="1">
        <f t="array" ref="H881">IFERROR(SUMPRODUCT(Tracking[Amount], --(Tracking[Date]&lt;=Tracking[[#This Row],[Date]]), (Tracking[Type]&lt;&gt;"Income") * (-1) + (Tracking[Type]="Income")), "-")</f>
        <v>2770</v>
      </c>
      <c r="I881" s="95">
        <f>IF(AND(Tracking[[#This Row],[Type]]="Income", shift_late_income_status="Active", DAY(Tracking[[#This Row],[Date]])&gt;=shift_late_income_starting_day),
      DATE(YEAR(Tracking[[#This Row],[Date]]), MONTH(Tracking[[#This Row],[Date]])+1, 1),
      Tracking[[#This Row],[Date]])</f>
        <v>45930</v>
      </c>
    </row>
    <row r="882" spans="3:9" collapsed="1" x14ac:dyDescent="0.2">
      <c r="C882" s="94">
        <v>45931</v>
      </c>
      <c r="D882" s="32" t="s">
        <v>40</v>
      </c>
      <c r="E882" s="32" t="s">
        <v>41</v>
      </c>
      <c r="F882" s="34">
        <v>7700</v>
      </c>
      <c r="G882" s="35"/>
      <c r="H882" s="37" cm="1">
        <f t="array" ref="H882">IFERROR(SUMPRODUCT(Tracking[Amount], --(Tracking[Date]&lt;=Tracking[[#This Row],[Date]]), (Tracking[Type]&lt;&gt;"Income") * (-1) + (Tracking[Type]="Income")), "-")</f>
        <v>10345</v>
      </c>
      <c r="I882" s="95">
        <f>IF(AND(Tracking[[#This Row],[Type]]="Income", shift_late_income_status="Active", DAY(Tracking[[#This Row],[Date]])&gt;=shift_late_income_starting_day),
      DATE(YEAR(Tracking[[#This Row],[Date]]), MONTH(Tracking[[#This Row],[Date]])+1, 1),
      Tracking[[#This Row],[Date]])</f>
        <v>45931</v>
      </c>
    </row>
    <row r="883" spans="3:9" x14ac:dyDescent="0.2">
      <c r="C883" s="94">
        <v>45931</v>
      </c>
      <c r="D883" s="32" t="s">
        <v>47</v>
      </c>
      <c r="E883" s="32" t="s">
        <v>59</v>
      </c>
      <c r="F883" s="34">
        <v>60</v>
      </c>
      <c r="G883" s="35" t="s">
        <v>333</v>
      </c>
      <c r="H883" s="37" cm="1">
        <f t="array" ref="H883">IFERROR(SUMPRODUCT(Tracking[Amount], --(Tracking[Date]&lt;=Tracking[[#This Row],[Date]]), (Tracking[Type]&lt;&gt;"Income") * (-1) + (Tracking[Type]="Income")), "-")</f>
        <v>10345</v>
      </c>
      <c r="I883" s="95">
        <f>IF(AND(Tracking[[#This Row],[Type]]="Income", shift_late_income_status="Active", DAY(Tracking[[#This Row],[Date]])&gt;=shift_late_income_starting_day),
      DATE(YEAR(Tracking[[#This Row],[Date]]), MONTH(Tracking[[#This Row],[Date]])+1, 1),
      Tracking[[#This Row],[Date]])</f>
        <v>45931</v>
      </c>
    </row>
    <row r="884" spans="3:9" x14ac:dyDescent="0.2">
      <c r="C884" s="94">
        <v>45931</v>
      </c>
      <c r="D884" s="32" t="s">
        <v>47</v>
      </c>
      <c r="E884" s="32" t="s">
        <v>235</v>
      </c>
      <c r="F884" s="34">
        <v>65</v>
      </c>
      <c r="G884" s="35" t="s">
        <v>563</v>
      </c>
      <c r="H884" s="37" cm="1">
        <f t="array" ref="H884">IFERROR(SUMPRODUCT(Tracking[Amount], --(Tracking[Date]&lt;=Tracking[[#This Row],[Date]]), (Tracking[Type]&lt;&gt;"Income") * (-1) + (Tracking[Type]="Income")), "-")</f>
        <v>10345</v>
      </c>
      <c r="I884" s="95">
        <f>IF(AND(Tracking[[#This Row],[Type]]="Income", shift_late_income_status="Active", DAY(Tracking[[#This Row],[Date]])&gt;=shift_late_income_starting_day),
      DATE(YEAR(Tracking[[#This Row],[Date]]), MONTH(Tracking[[#This Row],[Date]])+1, 1),
      Tracking[[#This Row],[Date]])</f>
        <v>45931</v>
      </c>
    </row>
    <row r="885" spans="3:9" x14ac:dyDescent="0.2">
      <c r="C885" s="94">
        <v>45932</v>
      </c>
      <c r="D885" s="32" t="s">
        <v>47</v>
      </c>
      <c r="E885" s="32" t="s">
        <v>48</v>
      </c>
      <c r="F885" s="34">
        <v>88</v>
      </c>
      <c r="G885" s="35"/>
      <c r="H885" s="37" cm="1">
        <f t="array" ref="H885">IFERROR(SUMPRODUCT(Tracking[Amount], --(Tracking[Date]&lt;=Tracking[[#This Row],[Date]]), (Tracking[Type]&lt;&gt;"Income") * (-1) + (Tracking[Type]="Income")), "-")</f>
        <v>10130</v>
      </c>
      <c r="I885" s="95">
        <f>IF(AND(Tracking[[#This Row],[Type]]="Income", shift_late_income_status="Active", DAY(Tracking[[#This Row],[Date]])&gt;=shift_late_income_starting_day),
      DATE(YEAR(Tracking[[#This Row],[Date]]), MONTH(Tracking[[#This Row],[Date]])+1, 1),
      Tracking[[#This Row],[Date]])</f>
        <v>45932</v>
      </c>
    </row>
    <row r="886" spans="3:9" x14ac:dyDescent="0.2">
      <c r="C886" s="94">
        <v>45932</v>
      </c>
      <c r="D886" s="32" t="s">
        <v>47</v>
      </c>
      <c r="E886" s="32" t="s">
        <v>53</v>
      </c>
      <c r="F886" s="34">
        <v>55</v>
      </c>
      <c r="G886" s="35" t="s">
        <v>564</v>
      </c>
      <c r="H886" s="37" cm="1">
        <f t="array" ref="H886">IFERROR(SUMPRODUCT(Tracking[Amount], --(Tracking[Date]&lt;=Tracking[[#This Row],[Date]]), (Tracking[Type]&lt;&gt;"Income") * (-1) + (Tracking[Type]="Income")), "-")</f>
        <v>10130</v>
      </c>
      <c r="I886" s="95">
        <f>IF(AND(Tracking[[#This Row],[Type]]="Income", shift_late_income_status="Active", DAY(Tracking[[#This Row],[Date]])&gt;=shift_late_income_starting_day),
      DATE(YEAR(Tracking[[#This Row],[Date]]), MONTH(Tracking[[#This Row],[Date]])+1, 1),
      Tracking[[#This Row],[Date]])</f>
        <v>45932</v>
      </c>
    </row>
    <row r="887" spans="3:9" x14ac:dyDescent="0.2">
      <c r="C887" s="94">
        <v>45932</v>
      </c>
      <c r="D887" s="32" t="s">
        <v>47</v>
      </c>
      <c r="E887" s="32" t="s">
        <v>51</v>
      </c>
      <c r="F887" s="34">
        <v>52</v>
      </c>
      <c r="G887" s="35" t="s">
        <v>565</v>
      </c>
      <c r="H887" s="37" cm="1">
        <f t="array" ref="H887">IFERROR(SUMPRODUCT(Tracking[Amount], --(Tracking[Date]&lt;=Tracking[[#This Row],[Date]]), (Tracking[Type]&lt;&gt;"Income") * (-1) + (Tracking[Type]="Income")), "-")</f>
        <v>10130</v>
      </c>
      <c r="I887" s="95">
        <f>IF(AND(Tracking[[#This Row],[Type]]="Income", shift_late_income_status="Active", DAY(Tracking[[#This Row],[Date]])&gt;=shift_late_income_starting_day),
      DATE(YEAR(Tracking[[#This Row],[Date]]), MONTH(Tracking[[#This Row],[Date]])+1, 1),
      Tracking[[#This Row],[Date]])</f>
        <v>45932</v>
      </c>
    </row>
    <row r="888" spans="3:9" x14ac:dyDescent="0.2">
      <c r="C888" s="94">
        <v>45934</v>
      </c>
      <c r="D888" s="32" t="s">
        <v>47</v>
      </c>
      <c r="E888" s="32" t="s">
        <v>53</v>
      </c>
      <c r="F888" s="34">
        <v>75</v>
      </c>
      <c r="G888" s="35" t="s">
        <v>566</v>
      </c>
      <c r="H888" s="37" cm="1">
        <f t="array" ref="H888">IFERROR(SUMPRODUCT(Tracking[Amount], --(Tracking[Date]&lt;=Tracking[[#This Row],[Date]]), (Tracking[Type]&lt;&gt;"Income") * (-1) + (Tracking[Type]="Income")), "-")</f>
        <v>9855</v>
      </c>
      <c r="I888" s="95">
        <f>IF(AND(Tracking[[#This Row],[Type]]="Income", shift_late_income_status="Active", DAY(Tracking[[#This Row],[Date]])&gt;=shift_late_income_starting_day),
      DATE(YEAR(Tracking[[#This Row],[Date]]), MONTH(Tracking[[#This Row],[Date]])+1, 1),
      Tracking[[#This Row],[Date]])</f>
        <v>45934</v>
      </c>
    </row>
    <row r="889" spans="3:9" x14ac:dyDescent="0.2">
      <c r="C889" s="94">
        <v>45934</v>
      </c>
      <c r="D889" s="32" t="s">
        <v>47</v>
      </c>
      <c r="E889" s="32" t="s">
        <v>48</v>
      </c>
      <c r="F889" s="34">
        <v>97</v>
      </c>
      <c r="G889" s="35" t="s">
        <v>559</v>
      </c>
      <c r="H889" s="37" cm="1">
        <f t="array" ref="H889">IFERROR(SUMPRODUCT(Tracking[Amount], --(Tracking[Date]&lt;=Tracking[[#This Row],[Date]]), (Tracking[Type]&lt;&gt;"Income") * (-1) + (Tracking[Type]="Income")), "-")</f>
        <v>9855</v>
      </c>
      <c r="I889" s="95">
        <f>IF(AND(Tracking[[#This Row],[Type]]="Income", shift_late_income_status="Active", DAY(Tracking[[#This Row],[Date]])&gt;=shift_late_income_starting_day),
      DATE(YEAR(Tracking[[#This Row],[Date]]), MONTH(Tracking[[#This Row],[Date]])+1, 1),
      Tracking[[#This Row],[Date]])</f>
        <v>45934</v>
      </c>
    </row>
    <row r="890" spans="3:9" x14ac:dyDescent="0.2">
      <c r="C890" s="94">
        <v>45934</v>
      </c>
      <c r="D890" s="32" t="s">
        <v>47</v>
      </c>
      <c r="E890" s="32" t="s">
        <v>56</v>
      </c>
      <c r="F890" s="34">
        <v>6</v>
      </c>
      <c r="G890" s="35" t="s">
        <v>567</v>
      </c>
      <c r="H890" s="37" cm="1">
        <f t="array" ref="H890">IFERROR(SUMPRODUCT(Tracking[Amount], --(Tracking[Date]&lt;=Tracking[[#This Row],[Date]]), (Tracking[Type]&lt;&gt;"Income") * (-1) + (Tracking[Type]="Income")), "-")</f>
        <v>9855</v>
      </c>
      <c r="I890" s="95">
        <f>IF(AND(Tracking[[#This Row],[Type]]="Income", shift_late_income_status="Active", DAY(Tracking[[#This Row],[Date]])&gt;=shift_late_income_starting_day),
      DATE(YEAR(Tracking[[#This Row],[Date]]), MONTH(Tracking[[#This Row],[Date]])+1, 1),
      Tracking[[#This Row],[Date]])</f>
        <v>45934</v>
      </c>
    </row>
    <row r="891" spans="3:9" x14ac:dyDescent="0.2">
      <c r="C891" s="94">
        <v>45934</v>
      </c>
      <c r="D891" s="32" t="s">
        <v>47</v>
      </c>
      <c r="E891" s="32" t="s">
        <v>50</v>
      </c>
      <c r="F891" s="34">
        <v>70</v>
      </c>
      <c r="G891" s="35"/>
      <c r="H891" s="37" cm="1">
        <f t="array" ref="H891">IFERROR(SUMPRODUCT(Tracking[Amount], --(Tracking[Date]&lt;=Tracking[[#This Row],[Date]]), (Tracking[Type]&lt;&gt;"Income") * (-1) + (Tracking[Type]="Income")), "-")</f>
        <v>9855</v>
      </c>
      <c r="I891" s="95">
        <f>IF(AND(Tracking[[#This Row],[Type]]="Income", shift_late_income_status="Active", DAY(Tracking[[#This Row],[Date]])&gt;=shift_late_income_starting_day),
      DATE(YEAR(Tracking[[#This Row],[Date]]), MONTH(Tracking[[#This Row],[Date]])+1, 1),
      Tracking[[#This Row],[Date]])</f>
        <v>45934</v>
      </c>
    </row>
    <row r="892" spans="3:9" x14ac:dyDescent="0.2">
      <c r="C892" s="94">
        <v>45934</v>
      </c>
      <c r="D892" s="32" t="s">
        <v>47</v>
      </c>
      <c r="E892" s="32" t="s">
        <v>51</v>
      </c>
      <c r="F892" s="34">
        <v>27</v>
      </c>
      <c r="G892" s="35" t="s">
        <v>462</v>
      </c>
      <c r="H892" s="37" cm="1">
        <f t="array" ref="H892">IFERROR(SUMPRODUCT(Tracking[Amount], --(Tracking[Date]&lt;=Tracking[[#This Row],[Date]]), (Tracking[Type]&lt;&gt;"Income") * (-1) + (Tracking[Type]="Income")), "-")</f>
        <v>9855</v>
      </c>
      <c r="I892" s="95">
        <f>IF(AND(Tracking[[#This Row],[Type]]="Income", shift_late_income_status="Active", DAY(Tracking[[#This Row],[Date]])&gt;=shift_late_income_starting_day),
      DATE(YEAR(Tracking[[#This Row],[Date]]), MONTH(Tracking[[#This Row],[Date]])+1, 1),
      Tracking[[#This Row],[Date]])</f>
        <v>45934</v>
      </c>
    </row>
    <row r="893" spans="3:9" x14ac:dyDescent="0.2">
      <c r="C893" s="94">
        <v>45935</v>
      </c>
      <c r="D893" s="32" t="s">
        <v>47</v>
      </c>
      <c r="E893" s="32" t="s">
        <v>60</v>
      </c>
      <c r="F893" s="34">
        <v>10</v>
      </c>
      <c r="G893" s="35" t="s">
        <v>338</v>
      </c>
      <c r="H893" s="37" cm="1">
        <f t="array" ref="H893">IFERROR(SUMPRODUCT(Tracking[Amount], --(Tracking[Date]&lt;=Tracking[[#This Row],[Date]]), (Tracking[Type]&lt;&gt;"Income") * (-1) + (Tracking[Type]="Income")), "-")</f>
        <v>9705</v>
      </c>
      <c r="I893" s="95">
        <f>IF(AND(Tracking[[#This Row],[Type]]="Income", shift_late_income_status="Active", DAY(Tracking[[#This Row],[Date]])&gt;=shift_late_income_starting_day),
      DATE(YEAR(Tracking[[#This Row],[Date]]), MONTH(Tracking[[#This Row],[Date]])+1, 1),
      Tracking[[#This Row],[Date]])</f>
        <v>45935</v>
      </c>
    </row>
    <row r="894" spans="3:9" x14ac:dyDescent="0.2">
      <c r="C894" s="94">
        <v>45935</v>
      </c>
      <c r="D894" s="32" t="s">
        <v>47</v>
      </c>
      <c r="E894" s="32" t="s">
        <v>235</v>
      </c>
      <c r="F894" s="34">
        <v>38</v>
      </c>
      <c r="G894" s="35" t="s">
        <v>231</v>
      </c>
      <c r="H894" s="37" cm="1">
        <f t="array" ref="H894">IFERROR(SUMPRODUCT(Tracking[Amount], --(Tracking[Date]&lt;=Tracking[[#This Row],[Date]]), (Tracking[Type]&lt;&gt;"Income") * (-1) + (Tracking[Type]="Income")), "-")</f>
        <v>9705</v>
      </c>
      <c r="I894" s="95">
        <f>IF(AND(Tracking[[#This Row],[Type]]="Income", shift_late_income_status="Active", DAY(Tracking[[#This Row],[Date]])&gt;=shift_late_income_starting_day),
      DATE(YEAR(Tracking[[#This Row],[Date]]), MONTH(Tracking[[#This Row],[Date]])+1, 1),
      Tracking[[#This Row],[Date]])</f>
        <v>45935</v>
      </c>
    </row>
    <row r="895" spans="3:9" x14ac:dyDescent="0.2">
      <c r="C895" s="94">
        <v>45935</v>
      </c>
      <c r="D895" s="32" t="s">
        <v>47</v>
      </c>
      <c r="E895" s="32" t="s">
        <v>59</v>
      </c>
      <c r="F895" s="34">
        <v>100</v>
      </c>
      <c r="G895" s="35" t="s">
        <v>418</v>
      </c>
      <c r="H895" s="37" cm="1">
        <f t="array" ref="H895">IFERROR(SUMPRODUCT(Tracking[Amount], --(Tracking[Date]&lt;=Tracking[[#This Row],[Date]]), (Tracking[Type]&lt;&gt;"Income") * (-1) + (Tracking[Type]="Income")), "-")</f>
        <v>9705</v>
      </c>
      <c r="I895" s="95">
        <f>IF(AND(Tracking[[#This Row],[Type]]="Income", shift_late_income_status="Active", DAY(Tracking[[#This Row],[Date]])&gt;=shift_late_income_starting_day),
      DATE(YEAR(Tracking[[#This Row],[Date]]), MONTH(Tracking[[#This Row],[Date]])+1, 1),
      Tracking[[#This Row],[Date]])</f>
        <v>45935</v>
      </c>
    </row>
    <row r="896" spans="3:9" x14ac:dyDescent="0.2">
      <c r="C896" s="94">
        <v>45935</v>
      </c>
      <c r="D896" s="32" t="s">
        <v>47</v>
      </c>
      <c r="E896" s="32" t="s">
        <v>48</v>
      </c>
      <c r="F896" s="34">
        <v>2</v>
      </c>
      <c r="G896" s="35"/>
      <c r="H896" s="37" cm="1">
        <f t="array" ref="H896">IFERROR(SUMPRODUCT(Tracking[Amount], --(Tracking[Date]&lt;=Tracking[[#This Row],[Date]]), (Tracking[Type]&lt;&gt;"Income") * (-1) + (Tracking[Type]="Income")), "-")</f>
        <v>9705</v>
      </c>
      <c r="I896" s="95">
        <f>IF(AND(Tracking[[#This Row],[Type]]="Income", shift_late_income_status="Active", DAY(Tracking[[#This Row],[Date]])&gt;=shift_late_income_starting_day),
      DATE(YEAR(Tracking[[#This Row],[Date]]), MONTH(Tracking[[#This Row],[Date]])+1, 1),
      Tracking[[#This Row],[Date]])</f>
        <v>45935</v>
      </c>
    </row>
    <row r="897" spans="3:9" x14ac:dyDescent="0.2">
      <c r="C897" s="94">
        <v>45932</v>
      </c>
      <c r="D897" s="32" t="s">
        <v>47</v>
      </c>
      <c r="E897" s="32" t="s">
        <v>59</v>
      </c>
      <c r="F897" s="34">
        <v>20</v>
      </c>
      <c r="G897" s="35" t="s">
        <v>547</v>
      </c>
      <c r="H897" s="37" cm="1">
        <f t="array" ref="H897">IFERROR(SUMPRODUCT(Tracking[Amount], --(Tracking[Date]&lt;=Tracking[[#This Row],[Date]]), (Tracking[Type]&lt;&gt;"Income") * (-1) + (Tracking[Type]="Income")), "-")</f>
        <v>10130</v>
      </c>
      <c r="I897" s="95">
        <f>IF(AND(Tracking[[#This Row],[Type]]="Income", shift_late_income_status="Active", DAY(Tracking[[#This Row],[Date]])&gt;=shift_late_income_starting_day),
      DATE(YEAR(Tracking[[#This Row],[Date]]), MONTH(Tracking[[#This Row],[Date]])+1, 1),
      Tracking[[#This Row],[Date]])</f>
        <v>45932</v>
      </c>
    </row>
    <row r="898" spans="3:9" x14ac:dyDescent="0.2">
      <c r="C898" s="94">
        <v>45936</v>
      </c>
      <c r="D898" s="32" t="s">
        <v>47</v>
      </c>
      <c r="E898" s="32" t="s">
        <v>58</v>
      </c>
      <c r="F898" s="34">
        <v>125</v>
      </c>
      <c r="G898" s="35" t="s">
        <v>446</v>
      </c>
      <c r="H898" s="37" cm="1">
        <f t="array" ref="H898">IFERROR(SUMPRODUCT(Tracking[Amount], --(Tracking[Date]&lt;=Tracking[[#This Row],[Date]]), (Tracking[Type]&lt;&gt;"Income") * (-1) + (Tracking[Type]="Income")), "-")</f>
        <v>9331</v>
      </c>
      <c r="I898" s="95">
        <f>IF(AND(Tracking[[#This Row],[Type]]="Income", shift_late_income_status="Active", DAY(Tracking[[#This Row],[Date]])&gt;=shift_late_income_starting_day),
      DATE(YEAR(Tracking[[#This Row],[Date]]), MONTH(Tracking[[#This Row],[Date]])+1, 1),
      Tracking[[#This Row],[Date]])</f>
        <v>45936</v>
      </c>
    </row>
    <row r="899" spans="3:9" x14ac:dyDescent="0.2">
      <c r="C899" s="94">
        <v>45936</v>
      </c>
      <c r="D899" s="32" t="s">
        <v>47</v>
      </c>
      <c r="E899" s="32" t="s">
        <v>58</v>
      </c>
      <c r="F899" s="34">
        <v>67</v>
      </c>
      <c r="G899" s="35" t="s">
        <v>487</v>
      </c>
      <c r="H899" s="37" cm="1">
        <f t="array" ref="H899">IFERROR(SUMPRODUCT(Tracking[Amount], --(Tracking[Date]&lt;=Tracking[[#This Row],[Date]]), (Tracking[Type]&lt;&gt;"Income") * (-1) + (Tracking[Type]="Income")), "-")</f>
        <v>9331</v>
      </c>
      <c r="I899" s="95">
        <f>IF(AND(Tracking[[#This Row],[Type]]="Income", shift_late_income_status="Active", DAY(Tracking[[#This Row],[Date]])&gt;=shift_late_income_starting_day),
      DATE(YEAR(Tracking[[#This Row],[Date]]), MONTH(Tracking[[#This Row],[Date]])+1, 1),
      Tracking[[#This Row],[Date]])</f>
        <v>45936</v>
      </c>
    </row>
    <row r="900" spans="3:9" x14ac:dyDescent="0.2">
      <c r="C900" s="94">
        <v>45936</v>
      </c>
      <c r="D900" s="32" t="s">
        <v>47</v>
      </c>
      <c r="E900" s="32" t="s">
        <v>59</v>
      </c>
      <c r="F900" s="34">
        <v>100</v>
      </c>
      <c r="G900" s="35" t="s">
        <v>418</v>
      </c>
      <c r="H900" s="37" cm="1">
        <f t="array" ref="H900">IFERROR(SUMPRODUCT(Tracking[Amount], --(Tracking[Date]&lt;=Tracking[[#This Row],[Date]]), (Tracking[Type]&lt;&gt;"Income") * (-1) + (Tracking[Type]="Income")), "-")</f>
        <v>9331</v>
      </c>
      <c r="I900" s="95">
        <f>IF(AND(Tracking[[#This Row],[Type]]="Income", shift_late_income_status="Active", DAY(Tracking[[#This Row],[Date]])&gt;=shift_late_income_starting_day),
      DATE(YEAR(Tracking[[#This Row],[Date]]), MONTH(Tracking[[#This Row],[Date]])+1, 1),
      Tracking[[#This Row],[Date]])</f>
        <v>45936</v>
      </c>
    </row>
    <row r="901" spans="3:9" x14ac:dyDescent="0.2">
      <c r="C901" s="94">
        <v>45936</v>
      </c>
      <c r="D901" s="32" t="s">
        <v>47</v>
      </c>
      <c r="E901" s="32" t="s">
        <v>50</v>
      </c>
      <c r="F901" s="34">
        <v>82</v>
      </c>
      <c r="G901" s="35"/>
      <c r="H901" s="37" cm="1">
        <f t="array" ref="H901">IFERROR(SUMPRODUCT(Tracking[Amount], --(Tracking[Date]&lt;=Tracking[[#This Row],[Date]]), (Tracking[Type]&lt;&gt;"Income") * (-1) + (Tracking[Type]="Income")), "-")</f>
        <v>9331</v>
      </c>
      <c r="I901" s="95">
        <f>IF(AND(Tracking[[#This Row],[Type]]="Income", shift_late_income_status="Active", DAY(Tracking[[#This Row],[Date]])&gt;=shift_late_income_starting_day),
      DATE(YEAR(Tracking[[#This Row],[Date]]), MONTH(Tracking[[#This Row],[Date]])+1, 1),
      Tracking[[#This Row],[Date]])</f>
        <v>45936</v>
      </c>
    </row>
    <row r="902" spans="3:9" x14ac:dyDescent="0.2">
      <c r="C902" s="94">
        <v>45937</v>
      </c>
      <c r="D902" s="32" t="s">
        <v>47</v>
      </c>
      <c r="E902" s="32" t="s">
        <v>51</v>
      </c>
      <c r="F902" s="34">
        <v>177</v>
      </c>
      <c r="G902" s="35" t="s">
        <v>568</v>
      </c>
      <c r="H902" s="37" cm="1">
        <f t="array" ref="H902">IFERROR(SUMPRODUCT(Tracking[Amount], --(Tracking[Date]&lt;=Tracking[[#This Row],[Date]]), (Tracking[Type]&lt;&gt;"Income") * (-1) + (Tracking[Type]="Income")), "-")</f>
        <v>9104</v>
      </c>
      <c r="I902" s="95">
        <f>IF(AND(Tracking[[#This Row],[Type]]="Income", shift_late_income_status="Active", DAY(Tracking[[#This Row],[Date]])&gt;=shift_late_income_starting_day),
      DATE(YEAR(Tracking[[#This Row],[Date]]), MONTH(Tracking[[#This Row],[Date]])+1, 1),
      Tracking[[#This Row],[Date]])</f>
        <v>45937</v>
      </c>
    </row>
    <row r="903" spans="3:9" x14ac:dyDescent="0.2">
      <c r="C903" s="94">
        <v>45937</v>
      </c>
      <c r="D903" s="32" t="s">
        <v>47</v>
      </c>
      <c r="E903" s="32" t="s">
        <v>50</v>
      </c>
      <c r="F903" s="34">
        <v>22</v>
      </c>
      <c r="G903" s="35"/>
      <c r="H903" s="37" cm="1">
        <f t="array" ref="H903">IFERROR(SUMPRODUCT(Tracking[Amount], --(Tracking[Date]&lt;=Tracking[[#This Row],[Date]]), (Tracking[Type]&lt;&gt;"Income") * (-1) + (Tracking[Type]="Income")), "-")</f>
        <v>9104</v>
      </c>
      <c r="I903" s="95">
        <f>IF(AND(Tracking[[#This Row],[Type]]="Income", shift_late_income_status="Active", DAY(Tracking[[#This Row],[Date]])&gt;=shift_late_income_starting_day),
      DATE(YEAR(Tracking[[#This Row],[Date]]), MONTH(Tracking[[#This Row],[Date]])+1, 1),
      Tracking[[#This Row],[Date]])</f>
        <v>45937</v>
      </c>
    </row>
    <row r="904" spans="3:9" x14ac:dyDescent="0.2">
      <c r="C904" s="94">
        <v>45937</v>
      </c>
      <c r="D904" s="32" t="s">
        <v>47</v>
      </c>
      <c r="E904" s="32" t="s">
        <v>48</v>
      </c>
      <c r="F904" s="34">
        <v>28</v>
      </c>
      <c r="G904" s="35"/>
      <c r="H904" s="37" cm="1">
        <f t="array" ref="H904">IFERROR(SUMPRODUCT(Tracking[Amount], --(Tracking[Date]&lt;=Tracking[[#This Row],[Date]]), (Tracking[Type]&lt;&gt;"Income") * (-1) + (Tracking[Type]="Income")), "-")</f>
        <v>9104</v>
      </c>
      <c r="I904" s="95">
        <f>IF(AND(Tracking[[#This Row],[Type]]="Income", shift_late_income_status="Active", DAY(Tracking[[#This Row],[Date]])&gt;=shift_late_income_starting_day),
      DATE(YEAR(Tracking[[#This Row],[Date]]), MONTH(Tracking[[#This Row],[Date]])+1, 1),
      Tracking[[#This Row],[Date]])</f>
        <v>45937</v>
      </c>
    </row>
    <row r="905" spans="3:9" x14ac:dyDescent="0.2">
      <c r="C905" s="94">
        <v>45938</v>
      </c>
      <c r="D905" s="32" t="s">
        <v>47</v>
      </c>
      <c r="E905" s="32" t="s">
        <v>59</v>
      </c>
      <c r="F905" s="34">
        <v>45</v>
      </c>
      <c r="G905" s="35" t="s">
        <v>554</v>
      </c>
      <c r="H905" s="37" cm="1">
        <f t="array" ref="H905">IFERROR(SUMPRODUCT(Tracking[Amount], --(Tracking[Date]&lt;=Tracking[[#This Row],[Date]]), (Tracking[Type]&lt;&gt;"Income") * (-1) + (Tracking[Type]="Income")), "-")</f>
        <v>9059</v>
      </c>
      <c r="I905" s="95">
        <f>IF(AND(Tracking[[#This Row],[Type]]="Income", shift_late_income_status="Active", DAY(Tracking[[#This Row],[Date]])&gt;=shift_late_income_starting_day),
      DATE(YEAR(Tracking[[#This Row],[Date]]), MONTH(Tracking[[#This Row],[Date]])+1, 1),
      Tracking[[#This Row],[Date]])</f>
        <v>45938</v>
      </c>
    </row>
    <row r="906" spans="3:9" x14ac:dyDescent="0.2">
      <c r="C906" s="94">
        <v>45939</v>
      </c>
      <c r="D906" s="32" t="s">
        <v>47</v>
      </c>
      <c r="E906" s="32" t="s">
        <v>50</v>
      </c>
      <c r="F906" s="34">
        <v>3500</v>
      </c>
      <c r="G906" s="35" t="s">
        <v>569</v>
      </c>
      <c r="H906" s="37" cm="1">
        <f t="array" ref="H906">IFERROR(SUMPRODUCT(Tracking[Amount], --(Tracking[Date]&lt;=Tracking[[#This Row],[Date]]), (Tracking[Type]&lt;&gt;"Income") * (-1) + (Tracking[Type]="Income")), "-")</f>
        <v>5541</v>
      </c>
      <c r="I906" s="95">
        <f>IF(AND(Tracking[[#This Row],[Type]]="Income", shift_late_income_status="Active", DAY(Tracking[[#This Row],[Date]])&gt;=shift_late_income_starting_day),
      DATE(YEAR(Tracking[[#This Row],[Date]]), MONTH(Tracking[[#This Row],[Date]])+1, 1),
      Tracking[[#This Row],[Date]])</f>
        <v>45939</v>
      </c>
    </row>
    <row r="907" spans="3:9" x14ac:dyDescent="0.2">
      <c r="C907" s="94">
        <v>45939</v>
      </c>
      <c r="D907" s="32" t="s">
        <v>47</v>
      </c>
      <c r="E907" s="32" t="s">
        <v>59</v>
      </c>
      <c r="F907" s="34">
        <v>13</v>
      </c>
      <c r="G907" s="35" t="s">
        <v>254</v>
      </c>
      <c r="H907" s="37" cm="1">
        <f t="array" ref="H907">IFERROR(SUMPRODUCT(Tracking[Amount], --(Tracking[Date]&lt;=Tracking[[#This Row],[Date]]), (Tracking[Type]&lt;&gt;"Income") * (-1) + (Tracking[Type]="Income")), "-")</f>
        <v>5541</v>
      </c>
      <c r="I907" s="95">
        <f>IF(AND(Tracking[[#This Row],[Type]]="Income", shift_late_income_status="Active", DAY(Tracking[[#This Row],[Date]])&gt;=shift_late_income_starting_day),
      DATE(YEAR(Tracking[[#This Row],[Date]]), MONTH(Tracking[[#This Row],[Date]])+1, 1),
      Tracking[[#This Row],[Date]])</f>
        <v>45939</v>
      </c>
    </row>
    <row r="908" spans="3:9" x14ac:dyDescent="0.2">
      <c r="C908" s="94">
        <v>45939</v>
      </c>
      <c r="D908" s="32" t="s">
        <v>47</v>
      </c>
      <c r="E908" s="32" t="s">
        <v>48</v>
      </c>
      <c r="F908" s="34">
        <v>5</v>
      </c>
      <c r="G908" s="35"/>
      <c r="H908" s="37" cm="1">
        <f t="array" ref="H908">IFERROR(SUMPRODUCT(Tracking[Amount], --(Tracking[Date]&lt;=Tracking[[#This Row],[Date]]), (Tracking[Type]&lt;&gt;"Income") * (-1) + (Tracking[Type]="Income")), "-")</f>
        <v>5541</v>
      </c>
      <c r="I908" s="95">
        <f>IF(AND(Tracking[[#This Row],[Type]]="Income", shift_late_income_status="Active", DAY(Tracking[[#This Row],[Date]])&gt;=shift_late_income_starting_day),
      DATE(YEAR(Tracking[[#This Row],[Date]]), MONTH(Tracking[[#This Row],[Date]])+1, 1),
      Tracking[[#This Row],[Date]])</f>
        <v>45939</v>
      </c>
    </row>
    <row r="909" spans="3:9" x14ac:dyDescent="0.2">
      <c r="C909" s="94">
        <v>45940</v>
      </c>
      <c r="D909" s="32" t="s">
        <v>47</v>
      </c>
      <c r="E909" s="32" t="s">
        <v>48</v>
      </c>
      <c r="F909" s="34">
        <v>18</v>
      </c>
      <c r="G909" s="35"/>
      <c r="H909" s="37" cm="1">
        <f t="array" ref="H909">IFERROR(SUMPRODUCT(Tracking[Amount], --(Tracking[Date]&lt;=Tracking[[#This Row],[Date]]), (Tracking[Type]&lt;&gt;"Income") * (-1) + (Tracking[Type]="Income")), "-")</f>
        <v>5423</v>
      </c>
      <c r="I909" s="95">
        <f>IF(AND(Tracking[[#This Row],[Type]]="Income", shift_late_income_status="Active", DAY(Tracking[[#This Row],[Date]])&gt;=shift_late_income_starting_day),
      DATE(YEAR(Tracking[[#This Row],[Date]]), MONTH(Tracking[[#This Row],[Date]])+1, 1),
      Tracking[[#This Row],[Date]])</f>
        <v>45940</v>
      </c>
    </row>
    <row r="910" spans="3:9" x14ac:dyDescent="0.2">
      <c r="C910" s="94">
        <v>45940</v>
      </c>
      <c r="D910" s="32" t="s">
        <v>47</v>
      </c>
      <c r="E910" s="32" t="s">
        <v>51</v>
      </c>
      <c r="F910" s="34">
        <v>100</v>
      </c>
      <c r="G910" s="35" t="s">
        <v>570</v>
      </c>
      <c r="H910" s="37" cm="1">
        <f t="array" ref="H910">IFERROR(SUMPRODUCT(Tracking[Amount], --(Tracking[Date]&lt;=Tracking[[#This Row],[Date]]), (Tracking[Type]&lt;&gt;"Income") * (-1) + (Tracking[Type]="Income")), "-")</f>
        <v>5423</v>
      </c>
      <c r="I910" s="95">
        <f>IF(AND(Tracking[[#This Row],[Type]]="Income", shift_late_income_status="Active", DAY(Tracking[[#This Row],[Date]])&gt;=shift_late_income_starting_day),
      DATE(YEAR(Tracking[[#This Row],[Date]]), MONTH(Tracking[[#This Row],[Date]])+1, 1),
      Tracking[[#This Row],[Date]])</f>
        <v>45940</v>
      </c>
    </row>
    <row r="911" spans="3:9" x14ac:dyDescent="0.2">
      <c r="C911" s="94">
        <v>45941</v>
      </c>
      <c r="D911" s="32" t="s">
        <v>47</v>
      </c>
      <c r="E911" s="32" t="s">
        <v>56</v>
      </c>
      <c r="F911" s="34">
        <v>264</v>
      </c>
      <c r="G911" s="35" t="s">
        <v>245</v>
      </c>
      <c r="H911" s="37" cm="1">
        <f t="array" ref="H911">IFERROR(SUMPRODUCT(Tracking[Amount], --(Tracking[Date]&lt;=Tracking[[#This Row],[Date]]), (Tracking[Type]&lt;&gt;"Income") * (-1) + (Tracking[Type]="Income")), "-")</f>
        <v>5115</v>
      </c>
      <c r="I911" s="95">
        <f>IF(AND(Tracking[[#This Row],[Type]]="Income", shift_late_income_status="Active", DAY(Tracking[[#This Row],[Date]])&gt;=shift_late_income_starting_day),
      DATE(YEAR(Tracking[[#This Row],[Date]]), MONTH(Tracking[[#This Row],[Date]])+1, 1),
      Tracking[[#This Row],[Date]])</f>
        <v>45941</v>
      </c>
    </row>
    <row r="912" spans="3:9" x14ac:dyDescent="0.2">
      <c r="C912" s="94">
        <v>45941</v>
      </c>
      <c r="D912" s="32" t="s">
        <v>47</v>
      </c>
      <c r="E912" s="32" t="s">
        <v>48</v>
      </c>
      <c r="F912" s="34">
        <v>32</v>
      </c>
      <c r="G912" s="35"/>
      <c r="H912" s="37" cm="1">
        <f t="array" ref="H912">IFERROR(SUMPRODUCT(Tracking[Amount], --(Tracking[Date]&lt;=Tracking[[#This Row],[Date]]), (Tracking[Type]&lt;&gt;"Income") * (-1) + (Tracking[Type]="Income")), "-")</f>
        <v>5115</v>
      </c>
      <c r="I912" s="95">
        <f>IF(AND(Tracking[[#This Row],[Type]]="Income", shift_late_income_status="Active", DAY(Tracking[[#This Row],[Date]])&gt;=shift_late_income_starting_day),
      DATE(YEAR(Tracking[[#This Row],[Date]]), MONTH(Tracking[[#This Row],[Date]])+1, 1),
      Tracking[[#This Row],[Date]])</f>
        <v>45941</v>
      </c>
    </row>
    <row r="913" spans="3:9" x14ac:dyDescent="0.2">
      <c r="C913" s="94">
        <v>45941</v>
      </c>
      <c r="D913" s="32" t="s">
        <v>47</v>
      </c>
      <c r="E913" s="32" t="s">
        <v>50</v>
      </c>
      <c r="F913" s="34">
        <v>12</v>
      </c>
      <c r="G913" s="35"/>
      <c r="H913" s="37" cm="1">
        <f t="array" ref="H913">IFERROR(SUMPRODUCT(Tracking[Amount], --(Tracking[Date]&lt;=Tracking[[#This Row],[Date]]), (Tracking[Type]&lt;&gt;"Income") * (-1) + (Tracking[Type]="Income")), "-")</f>
        <v>5115</v>
      </c>
      <c r="I913" s="95">
        <f>IF(AND(Tracking[[#This Row],[Type]]="Income", shift_late_income_status="Active", DAY(Tracking[[#This Row],[Date]])&gt;=shift_late_income_starting_day),
      DATE(YEAR(Tracking[[#This Row],[Date]]), MONTH(Tracking[[#This Row],[Date]])+1, 1),
      Tracking[[#This Row],[Date]])</f>
        <v>45941</v>
      </c>
    </row>
    <row r="914" spans="3:9" x14ac:dyDescent="0.2">
      <c r="C914" s="94">
        <v>45942</v>
      </c>
      <c r="D914" s="32" t="s">
        <v>47</v>
      </c>
      <c r="E914" s="32" t="s">
        <v>51</v>
      </c>
      <c r="F914" s="34">
        <v>13</v>
      </c>
      <c r="G914" s="35"/>
      <c r="H914" s="37" cm="1">
        <f t="array" ref="H914">IFERROR(SUMPRODUCT(Tracking[Amount], --(Tracking[Date]&lt;=Tracking[[#This Row],[Date]]), (Tracking[Type]&lt;&gt;"Income") * (-1) + (Tracking[Type]="Income")), "-")</f>
        <v>5083</v>
      </c>
      <c r="I914" s="95">
        <f>IF(AND(Tracking[[#This Row],[Type]]="Income", shift_late_income_status="Active", DAY(Tracking[[#This Row],[Date]])&gt;=shift_late_income_starting_day),
      DATE(YEAR(Tracking[[#This Row],[Date]]), MONTH(Tracking[[#This Row],[Date]])+1, 1),
      Tracking[[#This Row],[Date]])</f>
        <v>45942</v>
      </c>
    </row>
    <row r="915" spans="3:9" x14ac:dyDescent="0.2">
      <c r="C915" s="94">
        <v>45942</v>
      </c>
      <c r="D915" s="32" t="s">
        <v>47</v>
      </c>
      <c r="E915" s="32" t="s">
        <v>48</v>
      </c>
      <c r="F915" s="34">
        <v>8</v>
      </c>
      <c r="G915" s="35"/>
      <c r="H915" s="37" cm="1">
        <f t="array" ref="H915">IFERROR(SUMPRODUCT(Tracking[Amount], --(Tracking[Date]&lt;=Tracking[[#This Row],[Date]]), (Tracking[Type]&lt;&gt;"Income") * (-1) + (Tracking[Type]="Income")), "-")</f>
        <v>5083</v>
      </c>
      <c r="I915" s="95">
        <f>IF(AND(Tracking[[#This Row],[Type]]="Income", shift_late_income_status="Active", DAY(Tracking[[#This Row],[Date]])&gt;=shift_late_income_starting_day),
      DATE(YEAR(Tracking[[#This Row],[Date]]), MONTH(Tracking[[#This Row],[Date]])+1, 1),
      Tracking[[#This Row],[Date]])</f>
        <v>45942</v>
      </c>
    </row>
    <row r="916" spans="3:9" x14ac:dyDescent="0.2">
      <c r="C916" s="94">
        <v>45942</v>
      </c>
      <c r="D916" s="32" t="s">
        <v>47</v>
      </c>
      <c r="E916" s="32" t="s">
        <v>49</v>
      </c>
      <c r="F916" s="34">
        <v>11</v>
      </c>
      <c r="G916" s="35"/>
      <c r="H916" s="37" cm="1">
        <f t="array" ref="H916">IFERROR(SUMPRODUCT(Tracking[Amount], --(Tracking[Date]&lt;=Tracking[[#This Row],[Date]]), (Tracking[Type]&lt;&gt;"Income") * (-1) + (Tracking[Type]="Income")), "-")</f>
        <v>5083</v>
      </c>
      <c r="I916" s="95">
        <f>IF(AND(Tracking[[#This Row],[Type]]="Income", shift_late_income_status="Active", DAY(Tracking[[#This Row],[Date]])&gt;=shift_late_income_starting_day),
      DATE(YEAR(Tracking[[#This Row],[Date]]), MONTH(Tracking[[#This Row],[Date]])+1, 1),
      Tracking[[#This Row],[Date]])</f>
        <v>45942</v>
      </c>
    </row>
    <row r="917" spans="3:9" x14ac:dyDescent="0.2">
      <c r="C917" s="94">
        <v>45943</v>
      </c>
      <c r="D917" s="32" t="s">
        <v>47</v>
      </c>
      <c r="E917" s="32" t="s">
        <v>48</v>
      </c>
      <c r="F917" s="34">
        <v>8</v>
      </c>
      <c r="G917" s="35"/>
      <c r="H917" s="37" cm="1">
        <f t="array" ref="H917">IFERROR(SUMPRODUCT(Tracking[Amount], --(Tracking[Date]&lt;=Tracking[[#This Row],[Date]]), (Tracking[Type]&lt;&gt;"Income") * (-1) + (Tracking[Type]="Income")), "-")</f>
        <v>5002</v>
      </c>
      <c r="I917" s="95">
        <f>IF(AND(Tracking[[#This Row],[Type]]="Income", shift_late_income_status="Active", DAY(Tracking[[#This Row],[Date]])&gt;=shift_late_income_starting_day),
      DATE(YEAR(Tracking[[#This Row],[Date]]), MONTH(Tracking[[#This Row],[Date]])+1, 1),
      Tracking[[#This Row],[Date]])</f>
        <v>45943</v>
      </c>
    </row>
    <row r="918" spans="3:9" x14ac:dyDescent="0.2">
      <c r="C918" s="94">
        <v>45943</v>
      </c>
      <c r="D918" s="32" t="s">
        <v>47</v>
      </c>
      <c r="E918" s="32" t="s">
        <v>50</v>
      </c>
      <c r="F918" s="34">
        <v>31</v>
      </c>
      <c r="G918" s="35"/>
      <c r="H918" s="37" cm="1">
        <f t="array" ref="H918">IFERROR(SUMPRODUCT(Tracking[Amount], --(Tracking[Date]&lt;=Tracking[[#This Row],[Date]]), (Tracking[Type]&lt;&gt;"Income") * (-1) + (Tracking[Type]="Income")), "-")</f>
        <v>5002</v>
      </c>
      <c r="I918" s="95">
        <f>IF(AND(Tracking[[#This Row],[Type]]="Income", shift_late_income_status="Active", DAY(Tracking[[#This Row],[Date]])&gt;=shift_late_income_starting_day),
      DATE(YEAR(Tracking[[#This Row],[Date]]), MONTH(Tracking[[#This Row],[Date]])+1, 1),
      Tracking[[#This Row],[Date]])</f>
        <v>45943</v>
      </c>
    </row>
    <row r="919" spans="3:9" x14ac:dyDescent="0.2">
      <c r="C919" s="94">
        <v>45944</v>
      </c>
      <c r="D919" s="32" t="s">
        <v>47</v>
      </c>
      <c r="E919" s="32" t="s">
        <v>52</v>
      </c>
      <c r="F919" s="34">
        <v>80</v>
      </c>
      <c r="G919" s="35" t="s">
        <v>415</v>
      </c>
      <c r="H919" s="37" cm="1">
        <f t="array" ref="H919">IFERROR(SUMPRODUCT(Tracking[Amount], --(Tracking[Date]&lt;=Tracking[[#This Row],[Date]]), (Tracking[Type]&lt;&gt;"Income") * (-1) + (Tracking[Type]="Income")), "-")</f>
        <v>4915</v>
      </c>
      <c r="I919" s="95">
        <f>IF(AND(Tracking[[#This Row],[Type]]="Income", shift_late_income_status="Active", DAY(Tracking[[#This Row],[Date]])&gt;=shift_late_income_starting_day),
      DATE(YEAR(Tracking[[#This Row],[Date]]), MONTH(Tracking[[#This Row],[Date]])+1, 1),
      Tracking[[#This Row],[Date]])</f>
        <v>45944</v>
      </c>
    </row>
    <row r="920" spans="3:9" x14ac:dyDescent="0.2">
      <c r="C920" s="94">
        <v>45944</v>
      </c>
      <c r="D920" s="32" t="s">
        <v>47</v>
      </c>
      <c r="E920" s="32" t="s">
        <v>52</v>
      </c>
      <c r="F920" s="34">
        <v>7</v>
      </c>
      <c r="G920" s="35" t="s">
        <v>358</v>
      </c>
      <c r="H920" s="37" cm="1">
        <f t="array" ref="H920">IFERROR(SUMPRODUCT(Tracking[Amount], --(Tracking[Date]&lt;=Tracking[[#This Row],[Date]]), (Tracking[Type]&lt;&gt;"Income") * (-1) + (Tracking[Type]="Income")), "-")</f>
        <v>4915</v>
      </c>
      <c r="I920" s="95">
        <f>IF(AND(Tracking[[#This Row],[Type]]="Income", shift_late_income_status="Active", DAY(Tracking[[#This Row],[Date]])&gt;=shift_late_income_starting_day),
      DATE(YEAR(Tracking[[#This Row],[Date]]), MONTH(Tracking[[#This Row],[Date]])+1, 1),
      Tracking[[#This Row],[Date]])</f>
        <v>45944</v>
      </c>
    </row>
    <row r="921" spans="3:9" x14ac:dyDescent="0.2">
      <c r="C921" s="94">
        <v>45945</v>
      </c>
      <c r="D921" s="32" t="s">
        <v>47</v>
      </c>
      <c r="E921" s="32" t="s">
        <v>48</v>
      </c>
      <c r="F921" s="34">
        <v>74</v>
      </c>
      <c r="G921" s="35" t="s">
        <v>358</v>
      </c>
      <c r="H921" s="37" cm="1">
        <f t="array" ref="H921">IFERROR(SUMPRODUCT(Tracking[Amount], --(Tracking[Date]&lt;=Tracking[[#This Row],[Date]]), (Tracking[Type]&lt;&gt;"Income") * (-1) + (Tracking[Type]="Income")), "-")</f>
        <v>4834</v>
      </c>
      <c r="I921" s="95">
        <f>IF(AND(Tracking[[#This Row],[Type]]="Income", shift_late_income_status="Active", DAY(Tracking[[#This Row],[Date]])&gt;=shift_late_income_starting_day),
      DATE(YEAR(Tracking[[#This Row],[Date]]), MONTH(Tracking[[#This Row],[Date]])+1, 1),
      Tracking[[#This Row],[Date]])</f>
        <v>45945</v>
      </c>
    </row>
    <row r="922" spans="3:9" x14ac:dyDescent="0.2">
      <c r="C922" s="94">
        <v>45946</v>
      </c>
      <c r="D922" s="32" t="s">
        <v>47</v>
      </c>
      <c r="E922" s="32" t="s">
        <v>56</v>
      </c>
      <c r="F922" s="34">
        <v>1600</v>
      </c>
      <c r="G922" s="35" t="s">
        <v>571</v>
      </c>
      <c r="H922" s="37" cm="1">
        <f t="array" ref="H922">IFERROR(SUMPRODUCT(Tracking[Amount], --(Tracking[Date]&lt;=Tracking[[#This Row],[Date]]), (Tracking[Type]&lt;&gt;"Income") * (-1) + (Tracking[Type]="Income")), "-")</f>
        <v>3128</v>
      </c>
      <c r="I922" s="95">
        <f>IF(AND(Tracking[[#This Row],[Type]]="Income", shift_late_income_status="Active", DAY(Tracking[[#This Row],[Date]])&gt;=shift_late_income_starting_day),
      DATE(YEAR(Tracking[[#This Row],[Date]]), MONTH(Tracking[[#This Row],[Date]])+1, 1),
      Tracking[[#This Row],[Date]])</f>
        <v>45946</v>
      </c>
    </row>
    <row r="923" spans="3:9" x14ac:dyDescent="0.2">
      <c r="C923" s="94">
        <v>45946</v>
      </c>
      <c r="D923" s="32" t="s">
        <v>47</v>
      </c>
      <c r="E923" s="32" t="s">
        <v>48</v>
      </c>
      <c r="F923" s="34">
        <v>17</v>
      </c>
      <c r="G923" s="35"/>
      <c r="H923" s="37" cm="1">
        <f t="array" ref="H923">IFERROR(SUMPRODUCT(Tracking[Amount], --(Tracking[Date]&lt;=Tracking[[#This Row],[Date]]), (Tracking[Type]&lt;&gt;"Income") * (-1) + (Tracking[Type]="Income")), "-")</f>
        <v>3128</v>
      </c>
      <c r="I923" s="95">
        <f>IF(AND(Tracking[[#This Row],[Type]]="Income", shift_late_income_status="Active", DAY(Tracking[[#This Row],[Date]])&gt;=shift_late_income_starting_day),
      DATE(YEAR(Tracking[[#This Row],[Date]]), MONTH(Tracking[[#This Row],[Date]])+1, 1),
      Tracking[[#This Row],[Date]])</f>
        <v>45946</v>
      </c>
    </row>
    <row r="924" spans="3:9" x14ac:dyDescent="0.2">
      <c r="C924" s="94">
        <v>45946</v>
      </c>
      <c r="D924" s="32" t="s">
        <v>47</v>
      </c>
      <c r="E924" s="32" t="s">
        <v>44</v>
      </c>
      <c r="F924" s="34">
        <v>20</v>
      </c>
      <c r="G924" s="35" t="s">
        <v>432</v>
      </c>
      <c r="H924" s="37" cm="1">
        <f t="array" ref="H924">IFERROR(SUMPRODUCT(Tracking[Amount], --(Tracking[Date]&lt;=Tracking[[#This Row],[Date]]), (Tracking[Type]&lt;&gt;"Income") * (-1) + (Tracking[Type]="Income")), "-")</f>
        <v>3128</v>
      </c>
      <c r="I924" s="95">
        <f>IF(AND(Tracking[[#This Row],[Type]]="Income", shift_late_income_status="Active", DAY(Tracking[[#This Row],[Date]])&gt;=shift_late_income_starting_day),
      DATE(YEAR(Tracking[[#This Row],[Date]]), MONTH(Tracking[[#This Row],[Date]])+1, 1),
      Tracking[[#This Row],[Date]])</f>
        <v>45946</v>
      </c>
    </row>
    <row r="925" spans="3:9" x14ac:dyDescent="0.2">
      <c r="C925" s="94">
        <v>45946</v>
      </c>
      <c r="D925" s="32" t="s">
        <v>47</v>
      </c>
      <c r="E925" s="32" t="s">
        <v>49</v>
      </c>
      <c r="F925" s="34">
        <v>48</v>
      </c>
      <c r="G925" s="35" t="s">
        <v>572</v>
      </c>
      <c r="H925" s="37" cm="1">
        <f t="array" ref="H925">IFERROR(SUMPRODUCT(Tracking[Amount], --(Tracking[Date]&lt;=Tracking[[#This Row],[Date]]), (Tracking[Type]&lt;&gt;"Income") * (-1) + (Tracking[Type]="Income")), "-")</f>
        <v>3128</v>
      </c>
      <c r="I925" s="95">
        <f>IF(AND(Tracking[[#This Row],[Type]]="Income", shift_late_income_status="Active", DAY(Tracking[[#This Row],[Date]])&gt;=shift_late_income_starting_day),
      DATE(YEAR(Tracking[[#This Row],[Date]]), MONTH(Tracking[[#This Row],[Date]])+1, 1),
      Tracking[[#This Row],[Date]])</f>
        <v>45946</v>
      </c>
    </row>
    <row r="926" spans="3:9" x14ac:dyDescent="0.2">
      <c r="C926" s="94">
        <v>45947</v>
      </c>
      <c r="D926" s="32" t="s">
        <v>47</v>
      </c>
      <c r="E926" s="32" t="s">
        <v>48</v>
      </c>
      <c r="F926" s="34">
        <v>22</v>
      </c>
      <c r="G926" s="35"/>
      <c r="H926" s="37" cm="1">
        <f t="array" ref="H926">IFERROR(SUMPRODUCT(Tracking[Amount], --(Tracking[Date]&lt;=Tracking[[#This Row],[Date]]), (Tracking[Type]&lt;&gt;"Income") * (-1) + (Tracking[Type]="Income")), "-")</f>
        <v>3106</v>
      </c>
      <c r="I926" s="95">
        <f>IF(AND(Tracking[[#This Row],[Type]]="Income", shift_late_income_status="Active", DAY(Tracking[[#This Row],[Date]])&gt;=shift_late_income_starting_day),
      DATE(YEAR(Tracking[[#This Row],[Date]]), MONTH(Tracking[[#This Row],[Date]])+1, 1),
      Tracking[[#This Row],[Date]])</f>
        <v>45947</v>
      </c>
    </row>
    <row r="927" spans="3:9" x14ac:dyDescent="0.2">
      <c r="C927" s="94">
        <v>45948</v>
      </c>
      <c r="D927" s="32" t="s">
        <v>47</v>
      </c>
      <c r="E927" s="32" t="s">
        <v>49</v>
      </c>
      <c r="F927" s="34">
        <v>55</v>
      </c>
      <c r="G927" s="35" t="s">
        <v>573</v>
      </c>
      <c r="H927" s="37" cm="1">
        <f t="array" ref="H927">IFERROR(SUMPRODUCT(Tracking[Amount], --(Tracking[Date]&lt;=Tracking[[#This Row],[Date]]), (Tracking[Type]&lt;&gt;"Income") * (-1) + (Tracking[Type]="Income")), "-")</f>
        <v>3020</v>
      </c>
      <c r="I927" s="95">
        <f>IF(AND(Tracking[[#This Row],[Type]]="Income", shift_late_income_status="Active", DAY(Tracking[[#This Row],[Date]])&gt;=shift_late_income_starting_day),
      DATE(YEAR(Tracking[[#This Row],[Date]]), MONTH(Tracking[[#This Row],[Date]])+1, 1),
      Tracking[[#This Row],[Date]])</f>
        <v>45948</v>
      </c>
    </row>
    <row r="928" spans="3:9" x14ac:dyDescent="0.2">
      <c r="C928" s="94">
        <v>45948</v>
      </c>
      <c r="D928" s="32" t="s">
        <v>47</v>
      </c>
      <c r="E928" s="32" t="s">
        <v>48</v>
      </c>
      <c r="F928" s="34">
        <v>31</v>
      </c>
      <c r="G928" s="35"/>
      <c r="H928" s="37" cm="1">
        <f t="array" ref="H928">IFERROR(SUMPRODUCT(Tracking[Amount], --(Tracking[Date]&lt;=Tracking[[#This Row],[Date]]), (Tracking[Type]&lt;&gt;"Income") * (-1) + (Tracking[Type]="Income")), "-")</f>
        <v>3020</v>
      </c>
      <c r="I928" s="95">
        <f>IF(AND(Tracking[[#This Row],[Type]]="Income", shift_late_income_status="Active", DAY(Tracking[[#This Row],[Date]])&gt;=shift_late_income_starting_day),
      DATE(YEAR(Tracking[[#This Row],[Date]]), MONTH(Tracking[[#This Row],[Date]])+1, 1),
      Tracking[[#This Row],[Date]])</f>
        <v>45948</v>
      </c>
    </row>
    <row r="929" spans="3:9" x14ac:dyDescent="0.2">
      <c r="C929" s="94">
        <v>45949</v>
      </c>
      <c r="D929" s="32" t="s">
        <v>47</v>
      </c>
      <c r="E929" s="32" t="s">
        <v>51</v>
      </c>
      <c r="F929" s="34">
        <v>108</v>
      </c>
      <c r="G929" s="35" t="s">
        <v>354</v>
      </c>
      <c r="H929" s="37" cm="1">
        <f t="array" ref="H929">IFERROR(SUMPRODUCT(Tracking[Amount], --(Tracking[Date]&lt;=Tracking[[#This Row],[Date]]), (Tracking[Type]&lt;&gt;"Income") * (-1) + (Tracking[Type]="Income")), "-")</f>
        <v>2656</v>
      </c>
      <c r="I929" s="95">
        <f>IF(AND(Tracking[[#This Row],[Type]]="Income", shift_late_income_status="Active", DAY(Tracking[[#This Row],[Date]])&gt;=shift_late_income_starting_day),
      DATE(YEAR(Tracking[[#This Row],[Date]]), MONTH(Tracking[[#This Row],[Date]])+1, 1),
      Tracking[[#This Row],[Date]])</f>
        <v>45949</v>
      </c>
    </row>
    <row r="930" spans="3:9" x14ac:dyDescent="0.2">
      <c r="C930" s="94">
        <v>45945</v>
      </c>
      <c r="D930" s="32" t="s">
        <v>47</v>
      </c>
      <c r="E930" s="32" t="s">
        <v>59</v>
      </c>
      <c r="F930" s="34">
        <v>7</v>
      </c>
      <c r="G930" s="35" t="s">
        <v>574</v>
      </c>
      <c r="H930" s="37" cm="1">
        <f t="array" ref="H930">IFERROR(SUMPRODUCT(Tracking[Amount], --(Tracking[Date]&lt;=Tracking[[#This Row],[Date]]), (Tracking[Type]&lt;&gt;"Income") * (-1) + (Tracking[Type]="Income")), "-")</f>
        <v>4834</v>
      </c>
      <c r="I930" s="95">
        <f>IF(AND(Tracking[[#This Row],[Type]]="Income", shift_late_income_status="Active", DAY(Tracking[[#This Row],[Date]])&gt;=shift_late_income_starting_day),
      DATE(YEAR(Tracking[[#This Row],[Date]]), MONTH(Tracking[[#This Row],[Date]])+1, 1),
      Tracking[[#This Row],[Date]])</f>
        <v>45945</v>
      </c>
    </row>
    <row r="931" spans="3:9" x14ac:dyDescent="0.2">
      <c r="C931" s="94">
        <v>45949</v>
      </c>
      <c r="D931" s="32" t="s">
        <v>47</v>
      </c>
      <c r="E931" s="32" t="s">
        <v>58</v>
      </c>
      <c r="F931" s="34">
        <v>137</v>
      </c>
      <c r="G931" s="35" t="s">
        <v>422</v>
      </c>
      <c r="H931" s="37" cm="1">
        <f t="array" ref="H931">IFERROR(SUMPRODUCT(Tracking[Amount], --(Tracking[Date]&lt;=Tracking[[#This Row],[Date]]), (Tracking[Type]&lt;&gt;"Income") * (-1) + (Tracking[Type]="Income")), "-")</f>
        <v>2656</v>
      </c>
      <c r="I931" s="95">
        <f>IF(AND(Tracking[[#This Row],[Type]]="Income", shift_late_income_status="Active", DAY(Tracking[[#This Row],[Date]])&gt;=shift_late_income_starting_day),
      DATE(YEAR(Tracking[[#This Row],[Date]]), MONTH(Tracking[[#This Row],[Date]])+1, 1),
      Tracking[[#This Row],[Date]])</f>
        <v>45949</v>
      </c>
    </row>
    <row r="932" spans="3:9" x14ac:dyDescent="0.2">
      <c r="C932" s="94">
        <v>45946</v>
      </c>
      <c r="D932" s="32" t="s">
        <v>47</v>
      </c>
      <c r="E932" s="32" t="s">
        <v>59</v>
      </c>
      <c r="F932" s="34">
        <v>21</v>
      </c>
      <c r="G932" s="35" t="s">
        <v>218</v>
      </c>
      <c r="H932" s="37" cm="1">
        <f t="array" ref="H932">IFERROR(SUMPRODUCT(Tracking[Amount], --(Tracking[Date]&lt;=Tracking[[#This Row],[Date]]), (Tracking[Type]&lt;&gt;"Income") * (-1) + (Tracking[Type]="Income")), "-")</f>
        <v>3128</v>
      </c>
      <c r="I932" s="95">
        <f>IF(AND(Tracking[[#This Row],[Type]]="Income", shift_late_income_status="Active", DAY(Tracking[[#This Row],[Date]])&gt;=shift_late_income_starting_day),
      DATE(YEAR(Tracking[[#This Row],[Date]]), MONTH(Tracking[[#This Row],[Date]])+1, 1),
      Tracking[[#This Row],[Date]])</f>
        <v>45946</v>
      </c>
    </row>
    <row r="933" spans="3:9" x14ac:dyDescent="0.2">
      <c r="C933" s="94">
        <v>45949</v>
      </c>
      <c r="D933" s="32" t="s">
        <v>47</v>
      </c>
      <c r="E933" s="32" t="s">
        <v>235</v>
      </c>
      <c r="F933" s="34">
        <v>44</v>
      </c>
      <c r="G933" s="35" t="s">
        <v>413</v>
      </c>
      <c r="H933" s="37" cm="1">
        <f t="array" ref="H933">IFERROR(SUMPRODUCT(Tracking[Amount], --(Tracking[Date]&lt;=Tracking[[#This Row],[Date]]), (Tracking[Type]&lt;&gt;"Income") * (-1) + (Tracking[Type]="Income")), "-")</f>
        <v>2656</v>
      </c>
      <c r="I933" s="95">
        <f>IF(AND(Tracking[[#This Row],[Type]]="Income", shift_late_income_status="Active", DAY(Tracking[[#This Row],[Date]])&gt;=shift_late_income_starting_day),
      DATE(YEAR(Tracking[[#This Row],[Date]]), MONTH(Tracking[[#This Row],[Date]])+1, 1),
      Tracking[[#This Row],[Date]])</f>
        <v>45949</v>
      </c>
    </row>
    <row r="934" spans="3:9" x14ac:dyDescent="0.2">
      <c r="C934" s="94">
        <v>45949</v>
      </c>
      <c r="D934" s="32" t="s">
        <v>47</v>
      </c>
      <c r="E934" s="32" t="s">
        <v>52</v>
      </c>
      <c r="F934" s="34">
        <v>75</v>
      </c>
      <c r="G934" s="35" t="s">
        <v>358</v>
      </c>
      <c r="H934" s="37" cm="1">
        <f t="array" ref="H934">IFERROR(SUMPRODUCT(Tracking[Amount], --(Tracking[Date]&lt;=Tracking[[#This Row],[Date]]), (Tracking[Type]&lt;&gt;"Income") * (-1) + (Tracking[Type]="Income")), "-")</f>
        <v>2656</v>
      </c>
      <c r="I934" s="95">
        <f>IF(AND(Tracking[[#This Row],[Type]]="Income", shift_late_income_status="Active", DAY(Tracking[[#This Row],[Date]])&gt;=shift_late_income_starting_day),
      DATE(YEAR(Tracking[[#This Row],[Date]]), MONTH(Tracking[[#This Row],[Date]])+1, 1),
      Tracking[[#This Row],[Date]])</f>
        <v>45949</v>
      </c>
    </row>
    <row r="935" spans="3:9" x14ac:dyDescent="0.2">
      <c r="C935" s="94">
        <v>45943</v>
      </c>
      <c r="D935" s="32" t="s">
        <v>47</v>
      </c>
      <c r="E935" s="32" t="s">
        <v>59</v>
      </c>
      <c r="F935" s="34">
        <v>42</v>
      </c>
      <c r="G935" s="35" t="s">
        <v>523</v>
      </c>
      <c r="H935" s="37" cm="1">
        <f t="array" ref="H935">IFERROR(SUMPRODUCT(Tracking[Amount], --(Tracking[Date]&lt;=Tracking[[#This Row],[Date]]), (Tracking[Type]&lt;&gt;"Income") * (-1) + (Tracking[Type]="Income")), "-")</f>
        <v>5002</v>
      </c>
      <c r="I935" s="95">
        <f>IF(AND(Tracking[[#This Row],[Type]]="Income", shift_late_income_status="Active", DAY(Tracking[[#This Row],[Date]])&gt;=shift_late_income_starting_day),
      DATE(YEAR(Tracking[[#This Row],[Date]]), MONTH(Tracking[[#This Row],[Date]])+1, 1),
      Tracking[[#This Row],[Date]])</f>
        <v>45943</v>
      </c>
    </row>
    <row r="936" spans="3:9" x14ac:dyDescent="0.2">
      <c r="C936" s="94">
        <v>45950</v>
      </c>
      <c r="D936" s="32" t="s">
        <v>47</v>
      </c>
      <c r="E936" s="32" t="s">
        <v>48</v>
      </c>
      <c r="F936" s="34">
        <v>51</v>
      </c>
      <c r="G936" s="35"/>
      <c r="H936" s="37" cm="1">
        <f t="array" ref="H936">IFERROR(SUMPRODUCT(Tracking[Amount], --(Tracking[Date]&lt;=Tracking[[#This Row],[Date]]), (Tracking[Type]&lt;&gt;"Income") * (-1) + (Tracking[Type]="Income")), "-")</f>
        <v>2605</v>
      </c>
      <c r="I936" s="95">
        <f>IF(AND(Tracking[[#This Row],[Type]]="Income", shift_late_income_status="Active", DAY(Tracking[[#This Row],[Date]])&gt;=shift_late_income_starting_day),
      DATE(YEAR(Tracking[[#This Row],[Date]]), MONTH(Tracking[[#This Row],[Date]])+1, 1),
      Tracking[[#This Row],[Date]])</f>
        <v>45950</v>
      </c>
    </row>
    <row r="937" spans="3:9" x14ac:dyDescent="0.2">
      <c r="C937" s="94">
        <v>45951</v>
      </c>
      <c r="D937" s="32" t="s">
        <v>47</v>
      </c>
      <c r="E937" s="32" t="s">
        <v>44</v>
      </c>
      <c r="F937" s="34">
        <v>118</v>
      </c>
      <c r="G937" s="35" t="s">
        <v>575</v>
      </c>
      <c r="H937" s="37" cm="1">
        <f t="array" ref="H937">IFERROR(SUMPRODUCT(Tracking[Amount], --(Tracking[Date]&lt;=Tracking[[#This Row],[Date]]), (Tracking[Type]&lt;&gt;"Income") * (-1) + (Tracking[Type]="Income")), "-")</f>
        <v>2393</v>
      </c>
      <c r="I937" s="95">
        <f>IF(AND(Tracking[[#This Row],[Type]]="Income", shift_late_income_status="Active", DAY(Tracking[[#This Row],[Date]])&gt;=shift_late_income_starting_day),
      DATE(YEAR(Tracking[[#This Row],[Date]]), MONTH(Tracking[[#This Row],[Date]])+1, 1),
      Tracking[[#This Row],[Date]])</f>
        <v>45951</v>
      </c>
    </row>
    <row r="938" spans="3:9" x14ac:dyDescent="0.2">
      <c r="C938" s="94">
        <v>45951</v>
      </c>
      <c r="D938" s="32" t="s">
        <v>47</v>
      </c>
      <c r="E938" s="32" t="s">
        <v>235</v>
      </c>
      <c r="F938" s="34">
        <v>56</v>
      </c>
      <c r="G938" s="35" t="s">
        <v>231</v>
      </c>
      <c r="H938" s="37" cm="1">
        <f t="array" ref="H938">IFERROR(SUMPRODUCT(Tracking[Amount], --(Tracking[Date]&lt;=Tracking[[#This Row],[Date]]), (Tracking[Type]&lt;&gt;"Income") * (-1) + (Tracking[Type]="Income")), "-")</f>
        <v>2393</v>
      </c>
      <c r="I938" s="95">
        <f>IF(AND(Tracking[[#This Row],[Type]]="Income", shift_late_income_status="Active", DAY(Tracking[[#This Row],[Date]])&gt;=shift_late_income_starting_day),
      DATE(YEAR(Tracking[[#This Row],[Date]]), MONTH(Tracking[[#This Row],[Date]])+1, 1),
      Tracking[[#This Row],[Date]])</f>
        <v>45951</v>
      </c>
    </row>
    <row r="939" spans="3:9" x14ac:dyDescent="0.2">
      <c r="C939" s="94">
        <v>45951</v>
      </c>
      <c r="D939" s="32" t="s">
        <v>47</v>
      </c>
      <c r="E939" s="32" t="s">
        <v>56</v>
      </c>
      <c r="F939" s="34">
        <v>38</v>
      </c>
      <c r="G939" s="35" t="s">
        <v>576</v>
      </c>
      <c r="H939" s="37" cm="1">
        <f t="array" ref="H939">IFERROR(SUMPRODUCT(Tracking[Amount], --(Tracking[Date]&lt;=Tracking[[#This Row],[Date]]), (Tracking[Type]&lt;&gt;"Income") * (-1) + (Tracking[Type]="Income")), "-")</f>
        <v>2393</v>
      </c>
      <c r="I939" s="95">
        <f>IF(AND(Tracking[[#This Row],[Type]]="Income", shift_late_income_status="Active", DAY(Tracking[[#This Row],[Date]])&gt;=shift_late_income_starting_day),
      DATE(YEAR(Tracking[[#This Row],[Date]]), MONTH(Tracking[[#This Row],[Date]])+1, 1),
      Tracking[[#This Row],[Date]])</f>
        <v>45951</v>
      </c>
    </row>
    <row r="940" spans="3:9" x14ac:dyDescent="0.2">
      <c r="C940" s="94">
        <v>45952</v>
      </c>
      <c r="D940" s="32" t="s">
        <v>47</v>
      </c>
      <c r="E940" s="32" t="s">
        <v>48</v>
      </c>
      <c r="F940" s="34">
        <v>42</v>
      </c>
      <c r="G940" s="35"/>
      <c r="H940" s="37" cm="1">
        <f t="array" ref="H940">IFERROR(SUMPRODUCT(Tracking[Amount], --(Tracking[Date]&lt;=Tracking[[#This Row],[Date]]), (Tracking[Type]&lt;&gt;"Income") * (-1) + (Tracking[Type]="Income")), "-")</f>
        <v>2564</v>
      </c>
      <c r="I940" s="95">
        <f>IF(AND(Tracking[[#This Row],[Type]]="Income", shift_late_income_status="Active", DAY(Tracking[[#This Row],[Date]])&gt;=shift_late_income_starting_day),
      DATE(YEAR(Tracking[[#This Row],[Date]]), MONTH(Tracking[[#This Row],[Date]])+1, 1),
      Tracking[[#This Row],[Date]])</f>
        <v>45952</v>
      </c>
    </row>
    <row r="941" spans="3:9" x14ac:dyDescent="0.2">
      <c r="C941" s="94">
        <v>45952</v>
      </c>
      <c r="D941" s="32" t="s">
        <v>40</v>
      </c>
      <c r="E941" s="32" t="s">
        <v>43</v>
      </c>
      <c r="F941" s="34">
        <v>250</v>
      </c>
      <c r="G941" s="35"/>
      <c r="H941" s="37" cm="1">
        <f t="array" ref="H941">IFERROR(SUMPRODUCT(Tracking[Amount], --(Tracking[Date]&lt;=Tracking[[#This Row],[Date]]), (Tracking[Type]&lt;&gt;"Income") * (-1) + (Tracking[Type]="Income")), "-")</f>
        <v>2564</v>
      </c>
      <c r="I941" s="95">
        <f>IF(AND(Tracking[[#This Row],[Type]]="Income", shift_late_income_status="Active", DAY(Tracking[[#This Row],[Date]])&gt;=shift_late_income_starting_day),
      DATE(YEAR(Tracking[[#This Row],[Date]]), MONTH(Tracking[[#This Row],[Date]])+1, 1),
      Tracking[[#This Row],[Date]])</f>
        <v>45952</v>
      </c>
    </row>
    <row r="942" spans="3:9" x14ac:dyDescent="0.2">
      <c r="C942" s="94">
        <v>45952</v>
      </c>
      <c r="D942" s="32" t="s">
        <v>47</v>
      </c>
      <c r="E942" s="32" t="s">
        <v>49</v>
      </c>
      <c r="F942" s="34">
        <v>37</v>
      </c>
      <c r="G942" s="35"/>
      <c r="H942" s="37" cm="1">
        <f t="array" ref="H942">IFERROR(SUMPRODUCT(Tracking[Amount], --(Tracking[Date]&lt;=Tracking[[#This Row],[Date]]), (Tracking[Type]&lt;&gt;"Income") * (-1) + (Tracking[Type]="Income")), "-")</f>
        <v>2564</v>
      </c>
      <c r="I942" s="95">
        <f>IF(AND(Tracking[[#This Row],[Type]]="Income", shift_late_income_status="Active", DAY(Tracking[[#This Row],[Date]])&gt;=shift_late_income_starting_day),
      DATE(YEAR(Tracking[[#This Row],[Date]]), MONTH(Tracking[[#This Row],[Date]])+1, 1),
      Tracking[[#This Row],[Date]])</f>
        <v>45952</v>
      </c>
    </row>
    <row r="943" spans="3:9" x14ac:dyDescent="0.2">
      <c r="C943" s="94">
        <v>45953</v>
      </c>
      <c r="D943" s="32" t="s">
        <v>47</v>
      </c>
      <c r="E943" s="32" t="s">
        <v>56</v>
      </c>
      <c r="F943" s="34">
        <v>650</v>
      </c>
      <c r="G943" s="35" t="s">
        <v>577</v>
      </c>
      <c r="H943" s="37" cm="1">
        <f t="array" ref="H943">IFERROR(SUMPRODUCT(Tracking[Amount], --(Tracking[Date]&lt;=Tracking[[#This Row],[Date]]), (Tracking[Type]&lt;&gt;"Income") * (-1) + (Tracking[Type]="Income")), "-")</f>
        <v>1710</v>
      </c>
      <c r="I943" s="95">
        <f>IF(AND(Tracking[[#This Row],[Type]]="Income", shift_late_income_status="Active", DAY(Tracking[[#This Row],[Date]])&gt;=shift_late_income_starting_day),
      DATE(YEAR(Tracking[[#This Row],[Date]]), MONTH(Tracking[[#This Row],[Date]])+1, 1),
      Tracking[[#This Row],[Date]])</f>
        <v>45953</v>
      </c>
    </row>
    <row r="944" spans="3:9" x14ac:dyDescent="0.2">
      <c r="C944" s="94">
        <v>45953</v>
      </c>
      <c r="D944" s="32" t="s">
        <v>47</v>
      </c>
      <c r="E944" s="32" t="s">
        <v>52</v>
      </c>
      <c r="F944" s="34">
        <v>200</v>
      </c>
      <c r="G944" s="35" t="s">
        <v>578</v>
      </c>
      <c r="H944" s="37" cm="1">
        <f t="array" ref="H944">IFERROR(SUMPRODUCT(Tracking[Amount], --(Tracking[Date]&lt;=Tracking[[#This Row],[Date]]), (Tracking[Type]&lt;&gt;"Income") * (-1) + (Tracking[Type]="Income")), "-")</f>
        <v>1710</v>
      </c>
      <c r="I944" s="95">
        <f>IF(AND(Tracking[[#This Row],[Type]]="Income", shift_late_income_status="Active", DAY(Tracking[[#This Row],[Date]])&gt;=shift_late_income_starting_day),
      DATE(YEAR(Tracking[[#This Row],[Date]]), MONTH(Tracking[[#This Row],[Date]])+1, 1),
      Tracking[[#This Row],[Date]])</f>
        <v>45953</v>
      </c>
    </row>
    <row r="945" spans="3:9" x14ac:dyDescent="0.2">
      <c r="C945" s="94">
        <v>45953</v>
      </c>
      <c r="D945" s="32" t="s">
        <v>47</v>
      </c>
      <c r="E945" s="32" t="s">
        <v>48</v>
      </c>
      <c r="F945" s="34">
        <v>4</v>
      </c>
      <c r="G945" s="35"/>
      <c r="H945" s="37" cm="1">
        <f t="array" ref="H945">IFERROR(SUMPRODUCT(Tracking[Amount], --(Tracking[Date]&lt;=Tracking[[#This Row],[Date]]), (Tracking[Type]&lt;&gt;"Income") * (-1) + (Tracking[Type]="Income")), "-")</f>
        <v>1710</v>
      </c>
      <c r="I945" s="95">
        <f>IF(AND(Tracking[[#This Row],[Type]]="Income", shift_late_income_status="Active", DAY(Tracking[[#This Row],[Date]])&gt;=shift_late_income_starting_day),
      DATE(YEAR(Tracking[[#This Row],[Date]]), MONTH(Tracking[[#This Row],[Date]])+1, 1),
      Tracking[[#This Row],[Date]])</f>
        <v>45953</v>
      </c>
    </row>
    <row r="946" spans="3:9" x14ac:dyDescent="0.2">
      <c r="C946" s="94">
        <v>45954</v>
      </c>
      <c r="D946" s="32" t="s">
        <v>47</v>
      </c>
      <c r="E946" s="32" t="s">
        <v>51</v>
      </c>
      <c r="F946" s="34">
        <v>65</v>
      </c>
      <c r="G946" s="35" t="s">
        <v>579</v>
      </c>
      <c r="H946" s="37" cm="1">
        <f t="array" ref="H946">IFERROR(SUMPRODUCT(Tracking[Amount], --(Tracking[Date]&lt;=Tracking[[#This Row],[Date]]), (Tracking[Type]&lt;&gt;"Income") * (-1) + (Tracking[Type]="Income")), "-")</f>
        <v>1519</v>
      </c>
      <c r="I946" s="95">
        <f>IF(AND(Tracking[[#This Row],[Type]]="Income", shift_late_income_status="Active", DAY(Tracking[[#This Row],[Date]])&gt;=shift_late_income_starting_day),
      DATE(YEAR(Tracking[[#This Row],[Date]]), MONTH(Tracking[[#This Row],[Date]])+1, 1),
      Tracking[[#This Row],[Date]])</f>
        <v>45954</v>
      </c>
    </row>
    <row r="947" spans="3:9" x14ac:dyDescent="0.2">
      <c r="C947" s="94">
        <v>45954</v>
      </c>
      <c r="D947" s="32" t="s">
        <v>47</v>
      </c>
      <c r="E947" s="32" t="s">
        <v>58</v>
      </c>
      <c r="F947" s="34">
        <v>110</v>
      </c>
      <c r="G947" s="35" t="s">
        <v>435</v>
      </c>
      <c r="H947" s="37" cm="1">
        <f t="array" ref="H947">IFERROR(SUMPRODUCT(Tracking[Amount], --(Tracking[Date]&lt;=Tracking[[#This Row],[Date]]), (Tracking[Type]&lt;&gt;"Income") * (-1) + (Tracking[Type]="Income")), "-")</f>
        <v>1519</v>
      </c>
      <c r="I947" s="95">
        <f>IF(AND(Tracking[[#This Row],[Type]]="Income", shift_late_income_status="Active", DAY(Tracking[[#This Row],[Date]])&gt;=shift_late_income_starting_day),
      DATE(YEAR(Tracking[[#This Row],[Date]]), MONTH(Tracking[[#This Row],[Date]])+1, 1),
      Tracking[[#This Row],[Date]])</f>
        <v>45954</v>
      </c>
    </row>
    <row r="948" spans="3:9" x14ac:dyDescent="0.2">
      <c r="C948" s="94">
        <v>45955</v>
      </c>
      <c r="D948" s="32" t="s">
        <v>47</v>
      </c>
      <c r="E948" s="32" t="s">
        <v>49</v>
      </c>
      <c r="F948" s="34">
        <v>86</v>
      </c>
      <c r="G948" s="35" t="s">
        <v>485</v>
      </c>
      <c r="H948" s="37" cm="1">
        <f t="array" ref="H948">IFERROR(SUMPRODUCT(Tracking[Amount], --(Tracking[Date]&lt;=Tracking[[#This Row],[Date]]), (Tracking[Type]&lt;&gt;"Income") * (-1) + (Tracking[Type]="Income")), "-")</f>
        <v>1297</v>
      </c>
      <c r="I948" s="95">
        <f>IF(AND(Tracking[[#This Row],[Type]]="Income", shift_late_income_status="Active", DAY(Tracking[[#This Row],[Date]])&gt;=shift_late_income_starting_day),
      DATE(YEAR(Tracking[[#This Row],[Date]]), MONTH(Tracking[[#This Row],[Date]])+1, 1),
      Tracking[[#This Row],[Date]])</f>
        <v>45955</v>
      </c>
    </row>
    <row r="949" spans="3:9" x14ac:dyDescent="0.2">
      <c r="C949" s="94">
        <v>45955</v>
      </c>
      <c r="D949" s="32" t="s">
        <v>47</v>
      </c>
      <c r="E949" s="32" t="s">
        <v>48</v>
      </c>
      <c r="F949" s="34">
        <v>41</v>
      </c>
      <c r="G949" s="35" t="s">
        <v>580</v>
      </c>
      <c r="H949" s="37" cm="1">
        <f t="array" ref="H949">IFERROR(SUMPRODUCT(Tracking[Amount], --(Tracking[Date]&lt;=Tracking[[#This Row],[Date]]), (Tracking[Type]&lt;&gt;"Income") * (-1) + (Tracking[Type]="Income")), "-")</f>
        <v>1297</v>
      </c>
      <c r="I949" s="95">
        <f>IF(AND(Tracking[[#This Row],[Type]]="Income", shift_late_income_status="Active", DAY(Tracking[[#This Row],[Date]])&gt;=shift_late_income_starting_day),
      DATE(YEAR(Tracking[[#This Row],[Date]]), MONTH(Tracking[[#This Row],[Date]])+1, 1),
      Tracking[[#This Row],[Date]])</f>
        <v>45955</v>
      </c>
    </row>
    <row r="950" spans="3:9" x14ac:dyDescent="0.2">
      <c r="C950" s="94">
        <v>45955</v>
      </c>
      <c r="D950" s="32" t="s">
        <v>47</v>
      </c>
      <c r="E950" s="32" t="s">
        <v>51</v>
      </c>
      <c r="F950" s="34">
        <v>17</v>
      </c>
      <c r="G950" s="35" t="s">
        <v>462</v>
      </c>
      <c r="H950" s="37" cm="1">
        <f t="array" ref="H950">IFERROR(SUMPRODUCT(Tracking[Amount], --(Tracking[Date]&lt;=Tracking[[#This Row],[Date]]), (Tracking[Type]&lt;&gt;"Income") * (-1) + (Tracking[Type]="Income")), "-")</f>
        <v>1297</v>
      </c>
      <c r="I950" s="95">
        <f>IF(AND(Tracking[[#This Row],[Type]]="Income", shift_late_income_status="Active", DAY(Tracking[[#This Row],[Date]])&gt;=shift_late_income_starting_day),
      DATE(YEAR(Tracking[[#This Row],[Date]]), MONTH(Tracking[[#This Row],[Date]])+1, 1),
      Tracking[[#This Row],[Date]])</f>
        <v>45955</v>
      </c>
    </row>
    <row r="951" spans="3:9" x14ac:dyDescent="0.2">
      <c r="C951" s="94">
        <v>45956</v>
      </c>
      <c r="D951" s="32" t="s">
        <v>47</v>
      </c>
      <c r="E951" s="32" t="s">
        <v>56</v>
      </c>
      <c r="F951" s="34">
        <v>1640</v>
      </c>
      <c r="G951" s="35" t="s">
        <v>571</v>
      </c>
      <c r="H951" s="37" cm="1">
        <f t="array" ref="H951">IFERROR(SUMPRODUCT(Tracking[Amount], --(Tracking[Date]&lt;=Tracking[[#This Row],[Date]]), (Tracking[Type]&lt;&gt;"Income") * (-1) + (Tracking[Type]="Income")), "-")</f>
        <v>-343</v>
      </c>
      <c r="I951" s="95">
        <f>IF(AND(Tracking[[#This Row],[Type]]="Income", shift_late_income_status="Active", DAY(Tracking[[#This Row],[Date]])&gt;=shift_late_income_starting_day),
      DATE(YEAR(Tracking[[#This Row],[Date]]), MONTH(Tracking[[#This Row],[Date]])+1, 1),
      Tracking[[#This Row],[Date]])</f>
        <v>45956</v>
      </c>
    </row>
    <row r="952" spans="3:9" x14ac:dyDescent="0.2">
      <c r="C952" s="94">
        <v>45957</v>
      </c>
      <c r="D952" s="32" t="s">
        <v>47</v>
      </c>
      <c r="E952" s="32" t="s">
        <v>57</v>
      </c>
      <c r="F952" s="34">
        <v>3215</v>
      </c>
      <c r="G952" s="35"/>
      <c r="H952" s="37" cm="1">
        <f t="array" ref="H952">IFERROR(SUMPRODUCT(Tracking[Amount], --(Tracking[Date]&lt;=Tracking[[#This Row],[Date]]), (Tracking[Type]&lt;&gt;"Income") * (-1) + (Tracking[Type]="Income")), "-")</f>
        <v>-3663</v>
      </c>
      <c r="I952" s="95">
        <f>IF(AND(Tracking[[#This Row],[Type]]="Income", shift_late_income_status="Active", DAY(Tracking[[#This Row],[Date]])&gt;=shift_late_income_starting_day),
      DATE(YEAR(Tracking[[#This Row],[Date]]), MONTH(Tracking[[#This Row],[Date]])+1, 1),
      Tracking[[#This Row],[Date]])</f>
        <v>45957</v>
      </c>
    </row>
    <row r="953" spans="3:9" x14ac:dyDescent="0.2">
      <c r="C953" s="94">
        <v>45957</v>
      </c>
      <c r="D953" s="32" t="s">
        <v>47</v>
      </c>
      <c r="E953" s="32" t="s">
        <v>51</v>
      </c>
      <c r="F953" s="34">
        <v>55</v>
      </c>
      <c r="G953" s="35" t="s">
        <v>358</v>
      </c>
      <c r="H953" s="37" cm="1">
        <f t="array" ref="H953">IFERROR(SUMPRODUCT(Tracking[Amount], --(Tracking[Date]&lt;=Tracking[[#This Row],[Date]]), (Tracking[Type]&lt;&gt;"Income") * (-1) + (Tracking[Type]="Income")), "-")</f>
        <v>-3663</v>
      </c>
      <c r="I953" s="95">
        <f>IF(AND(Tracking[[#This Row],[Type]]="Income", shift_late_income_status="Active", DAY(Tracking[[#This Row],[Date]])&gt;=shift_late_income_starting_day),
      DATE(YEAR(Tracking[[#This Row],[Date]]), MONTH(Tracking[[#This Row],[Date]])+1, 1),
      Tracking[[#This Row],[Date]])</f>
        <v>45957</v>
      </c>
    </row>
    <row r="954" spans="3:9" x14ac:dyDescent="0.2">
      <c r="C954" s="94">
        <v>45957</v>
      </c>
      <c r="D954" s="32" t="s">
        <v>47</v>
      </c>
      <c r="E954" s="32" t="s">
        <v>48</v>
      </c>
      <c r="F954" s="34">
        <v>50</v>
      </c>
      <c r="G954" s="35"/>
      <c r="H954" s="37" cm="1">
        <f t="array" ref="H954">IFERROR(SUMPRODUCT(Tracking[Amount], --(Tracking[Date]&lt;=Tracking[[#This Row],[Date]]), (Tracking[Type]&lt;&gt;"Income") * (-1) + (Tracking[Type]="Income")), "-")</f>
        <v>-3663</v>
      </c>
      <c r="I954" s="95">
        <f>IF(AND(Tracking[[#This Row],[Type]]="Income", shift_late_income_status="Active", DAY(Tracking[[#This Row],[Date]])&gt;=shift_late_income_starting_day),
      DATE(YEAR(Tracking[[#This Row],[Date]]), MONTH(Tracking[[#This Row],[Date]])+1, 1),
      Tracking[[#This Row],[Date]])</f>
        <v>45957</v>
      </c>
    </row>
    <row r="955" spans="3:9" x14ac:dyDescent="0.2">
      <c r="C955" s="94">
        <v>45958</v>
      </c>
      <c r="D955" s="32" t="s">
        <v>47</v>
      </c>
      <c r="E955" s="32" t="s">
        <v>48</v>
      </c>
      <c r="F955" s="34">
        <v>16</v>
      </c>
      <c r="G955" s="35"/>
      <c r="H955" s="37" cm="1">
        <f t="array" ref="H955">IFERROR(SUMPRODUCT(Tracking[Amount], --(Tracking[Date]&lt;=Tracking[[#This Row],[Date]]), (Tracking[Type]&lt;&gt;"Income") * (-1) + (Tracking[Type]="Income")), "-")</f>
        <v>-3679</v>
      </c>
      <c r="I955" s="95">
        <f>IF(AND(Tracking[[#This Row],[Type]]="Income", shift_late_income_status="Active", DAY(Tracking[[#This Row],[Date]])&gt;=shift_late_income_starting_day),
      DATE(YEAR(Tracking[[#This Row],[Date]]), MONTH(Tracking[[#This Row],[Date]])+1, 1),
      Tracking[[#This Row],[Date]])</f>
        <v>45958</v>
      </c>
    </row>
    <row r="956" spans="3:9" x14ac:dyDescent="0.2">
      <c r="C956" s="94">
        <v>45959</v>
      </c>
      <c r="D956" s="32" t="s">
        <v>47</v>
      </c>
      <c r="E956" s="32" t="s">
        <v>49</v>
      </c>
      <c r="F956" s="34">
        <v>39</v>
      </c>
      <c r="G956" s="35" t="s">
        <v>581</v>
      </c>
      <c r="H956" s="37" cm="1">
        <f t="array" ref="H956">IFERROR(SUMPRODUCT(Tracking[Amount], --(Tracking[Date]&lt;=Tracking[[#This Row],[Date]]), (Tracking[Type]&lt;&gt;"Income") * (-1) + (Tracking[Type]="Income")), "-")</f>
        <v>-3718</v>
      </c>
      <c r="I956" s="95">
        <f>IF(AND(Tracking[[#This Row],[Type]]="Income", shift_late_income_status="Active", DAY(Tracking[[#This Row],[Date]])&gt;=shift_late_income_starting_day),
      DATE(YEAR(Tracking[[#This Row],[Date]]), MONTH(Tracking[[#This Row],[Date]])+1, 1),
      Tracking[[#This Row],[Date]])</f>
        <v>45959</v>
      </c>
    </row>
    <row r="957" spans="3:9" x14ac:dyDescent="0.2">
      <c r="C957" s="94">
        <v>45954</v>
      </c>
      <c r="D957" s="32" t="s">
        <v>47</v>
      </c>
      <c r="E957" s="32" t="s">
        <v>59</v>
      </c>
      <c r="F957" s="34">
        <v>16</v>
      </c>
      <c r="G957" s="35" t="s">
        <v>271</v>
      </c>
      <c r="H957" s="37" cm="1">
        <f t="array" ref="H957">IFERROR(SUMPRODUCT(Tracking[Amount], --(Tracking[Date]&lt;=Tracking[[#This Row],[Date]]), (Tracking[Type]&lt;&gt;"Income") * (-1) + (Tracking[Type]="Income")), "-")</f>
        <v>1519</v>
      </c>
      <c r="I957" s="95">
        <f>IF(AND(Tracking[[#This Row],[Type]]="Income", shift_late_income_status="Active", DAY(Tracking[[#This Row],[Date]])&gt;=shift_late_income_starting_day),
      DATE(YEAR(Tracking[[#This Row],[Date]]), MONTH(Tracking[[#This Row],[Date]])+1, 1),
      Tracking[[#This Row],[Date]])</f>
        <v>45954</v>
      </c>
    </row>
    <row r="958" spans="3:9" x14ac:dyDescent="0.2">
      <c r="C958" s="94">
        <v>45955</v>
      </c>
      <c r="D958" s="32" t="s">
        <v>62</v>
      </c>
      <c r="E958" s="32" t="s">
        <v>63</v>
      </c>
      <c r="F958" s="34">
        <v>78</v>
      </c>
      <c r="G958" s="35"/>
      <c r="H958" s="37" cm="1">
        <f t="array" ref="H958">IFERROR(SUMPRODUCT(Tracking[Amount], --(Tracking[Date]&lt;=Tracking[[#This Row],[Date]]), (Tracking[Type]&lt;&gt;"Income") * (-1) + (Tracking[Type]="Income")), "-")</f>
        <v>1297</v>
      </c>
      <c r="I958" s="95">
        <f>IF(AND(Tracking[[#This Row],[Type]]="Income", shift_late_income_status="Active", DAY(Tracking[[#This Row],[Date]])&gt;=shift_late_income_starting_day),
      DATE(YEAR(Tracking[[#This Row],[Date]]), MONTH(Tracking[[#This Row],[Date]])+1, 1),
      Tracking[[#This Row],[Date]])</f>
        <v>45955</v>
      </c>
    </row>
    <row r="959" spans="3:9" x14ac:dyDescent="0.2">
      <c r="C959" s="94"/>
      <c r="D959" s="32"/>
      <c r="E959" s="32"/>
      <c r="F959" s="34"/>
      <c r="G959" s="35"/>
      <c r="H959" s="37" cm="1">
        <f t="array" ref="H959">IFERROR(SUMPRODUCT(Tracking[Amount], --(Tracking[Date]&lt;=Tracking[[#This Row],[Date]]), (Tracking[Type]&lt;&gt;"Income") * (-1) + (Tracking[Type]="Income")), "-")</f>
        <v>0</v>
      </c>
      <c r="I959" s="95">
        <f>IF(AND(Tracking[[#This Row],[Type]]="Income", shift_late_income_status="Active", DAY(Tracking[[#This Row],[Date]])&gt;=shift_late_income_starting_day),
      DATE(YEAR(Tracking[[#This Row],[Date]]), MONTH(Tracking[[#This Row],[Date]])+1, 1),
      Tracking[[#This Row],[Date]])</f>
        <v>0</v>
      </c>
    </row>
    <row r="960" spans="3:9" x14ac:dyDescent="0.2">
      <c r="C960" s="94"/>
      <c r="D960" s="32"/>
      <c r="E960" s="32"/>
      <c r="F960" s="34"/>
      <c r="G960" s="35"/>
      <c r="H960" s="37" cm="1">
        <f t="array" ref="H960">IFERROR(SUMPRODUCT(Tracking[Amount], --(Tracking[Date]&lt;=Tracking[[#This Row],[Date]]), (Tracking[Type]&lt;&gt;"Income") * (-1) + (Tracking[Type]="Income")), "-")</f>
        <v>0</v>
      </c>
      <c r="I960" s="95">
        <f>IF(AND(Tracking[[#This Row],[Type]]="Income", shift_late_income_status="Active", DAY(Tracking[[#This Row],[Date]])&gt;=shift_late_income_starting_day),
      DATE(YEAR(Tracking[[#This Row],[Date]]), MONTH(Tracking[[#This Row],[Date]])+1, 1),
      Tracking[[#This Row],[Date]])</f>
        <v>0</v>
      </c>
    </row>
    <row r="961" spans="3:9" x14ac:dyDescent="0.2">
      <c r="C961" s="94"/>
      <c r="D961" s="32"/>
      <c r="E961" s="32"/>
      <c r="F961" s="34"/>
      <c r="G961" s="35"/>
      <c r="H961" s="37" cm="1">
        <f t="array" ref="H961">IFERROR(SUMPRODUCT(Tracking[Amount], --(Tracking[Date]&lt;=Tracking[[#This Row],[Date]]), (Tracking[Type]&lt;&gt;"Income") * (-1) + (Tracking[Type]="Income")), "-")</f>
        <v>0</v>
      </c>
      <c r="I961" s="95">
        <f>IF(AND(Tracking[[#This Row],[Type]]="Income", shift_late_income_status="Active", DAY(Tracking[[#This Row],[Date]])&gt;=shift_late_income_starting_day),
      DATE(YEAR(Tracking[[#This Row],[Date]]), MONTH(Tracking[[#This Row],[Date]])+1, 1),
      Tracking[[#This Row],[Date]])</f>
        <v>0</v>
      </c>
    </row>
    <row r="962" spans="3:9" x14ac:dyDescent="0.2">
      <c r="C962" s="94"/>
      <c r="D962" s="32"/>
      <c r="E962" s="32"/>
      <c r="F962" s="34"/>
      <c r="G962" s="35"/>
      <c r="H962" s="37" cm="1">
        <f t="array" ref="H962">IFERROR(SUMPRODUCT(Tracking[Amount], --(Tracking[Date]&lt;=Tracking[[#This Row],[Date]]), (Tracking[Type]&lt;&gt;"Income") * (-1) + (Tracking[Type]="Income")), "-")</f>
        <v>0</v>
      </c>
      <c r="I962" s="95">
        <f>IF(AND(Tracking[[#This Row],[Type]]="Income", shift_late_income_status="Active", DAY(Tracking[[#This Row],[Date]])&gt;=shift_late_income_starting_day),
      DATE(YEAR(Tracking[[#This Row],[Date]]), MONTH(Tracking[[#This Row],[Date]])+1, 1),
      Tracking[[#This Row],[Date]])</f>
        <v>0</v>
      </c>
    </row>
    <row r="963" spans="3:9" x14ac:dyDescent="0.2">
      <c r="C963" s="94"/>
      <c r="D963" s="32"/>
      <c r="E963" s="32"/>
      <c r="F963" s="34"/>
      <c r="G963" s="35"/>
      <c r="H963" s="37" cm="1">
        <f t="array" ref="H963">IFERROR(SUMPRODUCT(Tracking[Amount], --(Tracking[Date]&lt;=Tracking[[#This Row],[Date]]), (Tracking[Type]&lt;&gt;"Income") * (-1) + (Tracking[Type]="Income")), "-")</f>
        <v>0</v>
      </c>
      <c r="I963" s="95">
        <f>IF(AND(Tracking[[#This Row],[Type]]="Income", shift_late_income_status="Active", DAY(Tracking[[#This Row],[Date]])&gt;=shift_late_income_starting_day),
      DATE(YEAR(Tracking[[#This Row],[Date]]), MONTH(Tracking[[#This Row],[Date]])+1, 1),
      Tracking[[#This Row],[Date]])</f>
        <v>0</v>
      </c>
    </row>
    <row r="964" spans="3:9" x14ac:dyDescent="0.2">
      <c r="C964" s="94"/>
      <c r="D964" s="32"/>
      <c r="E964" s="32"/>
      <c r="F964" s="34"/>
      <c r="G964" s="35"/>
      <c r="H964" s="37" cm="1">
        <f t="array" ref="H964">IFERROR(SUMPRODUCT(Tracking[Amount], --(Tracking[Date]&lt;=Tracking[[#This Row],[Date]]), (Tracking[Type]&lt;&gt;"Income") * (-1) + (Tracking[Type]="Income")), "-")</f>
        <v>0</v>
      </c>
      <c r="I964" s="95">
        <f>IF(AND(Tracking[[#This Row],[Type]]="Income", shift_late_income_status="Active", DAY(Tracking[[#This Row],[Date]])&gt;=shift_late_income_starting_day),
      DATE(YEAR(Tracking[[#This Row],[Date]]), MONTH(Tracking[[#This Row],[Date]])+1, 1),
      Tracking[[#This Row],[Date]])</f>
        <v>0</v>
      </c>
    </row>
    <row r="965" spans="3:9" x14ac:dyDescent="0.2">
      <c r="C965" s="94"/>
      <c r="D965" s="32"/>
      <c r="E965" s="32"/>
      <c r="F965" s="34"/>
      <c r="G965" s="35"/>
      <c r="H965" s="37" cm="1">
        <f t="array" ref="H965">IFERROR(SUMPRODUCT(Tracking[Amount], --(Tracking[Date]&lt;=Tracking[[#This Row],[Date]]), (Tracking[Type]&lt;&gt;"Income") * (-1) + (Tracking[Type]="Income")), "-")</f>
        <v>0</v>
      </c>
      <c r="I965" s="95">
        <f>IF(AND(Tracking[[#This Row],[Type]]="Income", shift_late_income_status="Active", DAY(Tracking[[#This Row],[Date]])&gt;=shift_late_income_starting_day),
      DATE(YEAR(Tracking[[#This Row],[Date]]), MONTH(Tracking[[#This Row],[Date]])+1, 1),
      Tracking[[#This Row],[Date]])</f>
        <v>0</v>
      </c>
    </row>
    <row r="966" spans="3:9" x14ac:dyDescent="0.2">
      <c r="C966" s="94"/>
      <c r="D966" s="32"/>
      <c r="E966" s="32"/>
      <c r="F966" s="34"/>
      <c r="G966" s="35"/>
      <c r="H966" s="37" cm="1">
        <f t="array" ref="H966">IFERROR(SUMPRODUCT(Tracking[Amount], --(Tracking[Date]&lt;=Tracking[[#This Row],[Date]]), (Tracking[Type]&lt;&gt;"Income") * (-1) + (Tracking[Type]="Income")), "-")</f>
        <v>0</v>
      </c>
      <c r="I966" s="95">
        <f>IF(AND(Tracking[[#This Row],[Type]]="Income", shift_late_income_status="Active", DAY(Tracking[[#This Row],[Date]])&gt;=shift_late_income_starting_day),
      DATE(YEAR(Tracking[[#This Row],[Date]]), MONTH(Tracking[[#This Row],[Date]])+1, 1),
      Tracking[[#This Row],[Date]])</f>
        <v>0</v>
      </c>
    </row>
    <row r="967" spans="3:9" x14ac:dyDescent="0.2">
      <c r="C967" s="94"/>
      <c r="D967" s="32"/>
      <c r="E967" s="32"/>
      <c r="F967" s="34"/>
      <c r="G967" s="35"/>
      <c r="H967" s="37" cm="1">
        <f t="array" ref="H967">IFERROR(SUMPRODUCT(Tracking[Amount], --(Tracking[Date]&lt;=Tracking[[#This Row],[Date]]), (Tracking[Type]&lt;&gt;"Income") * (-1) + (Tracking[Type]="Income")), "-")</f>
        <v>0</v>
      </c>
      <c r="I967" s="95">
        <f>IF(AND(Tracking[[#This Row],[Type]]="Income", shift_late_income_status="Active", DAY(Tracking[[#This Row],[Date]])&gt;=shift_late_income_starting_day),
      DATE(YEAR(Tracking[[#This Row],[Date]]), MONTH(Tracking[[#This Row],[Date]])+1, 1),
      Tracking[[#This Row],[Date]])</f>
        <v>0</v>
      </c>
    </row>
    <row r="968" spans="3:9" x14ac:dyDescent="0.2">
      <c r="C968" s="94"/>
      <c r="D968" s="32"/>
      <c r="E968" s="32"/>
      <c r="F968" s="34"/>
      <c r="G968" s="35"/>
      <c r="H968" s="37" cm="1">
        <f t="array" ref="H968">IFERROR(SUMPRODUCT(Tracking[Amount], --(Tracking[Date]&lt;=Tracking[[#This Row],[Date]]), (Tracking[Type]&lt;&gt;"Income") * (-1) + (Tracking[Type]="Income")), "-")</f>
        <v>0</v>
      </c>
      <c r="I968" s="95">
        <f>IF(AND(Tracking[[#This Row],[Type]]="Income", shift_late_income_status="Active", DAY(Tracking[[#This Row],[Date]])&gt;=shift_late_income_starting_day),
      DATE(YEAR(Tracking[[#This Row],[Date]]), MONTH(Tracking[[#This Row],[Date]])+1, 1),
      Tracking[[#This Row],[Date]])</f>
        <v>0</v>
      </c>
    </row>
    <row r="969" spans="3:9" x14ac:dyDescent="0.2">
      <c r="C969" s="94"/>
      <c r="D969" s="32"/>
      <c r="E969" s="32"/>
      <c r="F969" s="34"/>
      <c r="G969" s="35"/>
      <c r="H969" s="37" cm="1">
        <f t="array" ref="H969">IFERROR(SUMPRODUCT(Tracking[Amount], --(Tracking[Date]&lt;=Tracking[[#This Row],[Date]]), (Tracking[Type]&lt;&gt;"Income") * (-1) + (Tracking[Type]="Income")), "-")</f>
        <v>0</v>
      </c>
      <c r="I969" s="95">
        <f>IF(AND(Tracking[[#This Row],[Type]]="Income", shift_late_income_status="Active", DAY(Tracking[[#This Row],[Date]])&gt;=shift_late_income_starting_day),
      DATE(YEAR(Tracking[[#This Row],[Date]]), MONTH(Tracking[[#This Row],[Date]])+1, 1),
      Tracking[[#This Row],[Date]])</f>
        <v>0</v>
      </c>
    </row>
    <row r="970" spans="3:9" x14ac:dyDescent="0.2">
      <c r="C970" s="94"/>
      <c r="D970" s="32"/>
      <c r="E970" s="32"/>
      <c r="F970" s="34"/>
      <c r="G970" s="35"/>
      <c r="H970" s="37" cm="1">
        <f t="array" ref="H970">IFERROR(SUMPRODUCT(Tracking[Amount], --(Tracking[Date]&lt;=Tracking[[#This Row],[Date]]), (Tracking[Type]&lt;&gt;"Income") * (-1) + (Tracking[Type]="Income")), "-")</f>
        <v>0</v>
      </c>
      <c r="I970" s="95">
        <f>IF(AND(Tracking[[#This Row],[Type]]="Income", shift_late_income_status="Active", DAY(Tracking[[#This Row],[Date]])&gt;=shift_late_income_starting_day),
      DATE(YEAR(Tracking[[#This Row],[Date]]), MONTH(Tracking[[#This Row],[Date]])+1, 1),
      Tracking[[#This Row],[Date]])</f>
        <v>0</v>
      </c>
    </row>
    <row r="971" spans="3:9" x14ac:dyDescent="0.2">
      <c r="C971" s="94"/>
      <c r="D971" s="32"/>
      <c r="E971" s="32"/>
      <c r="F971" s="34"/>
      <c r="G971" s="35"/>
      <c r="H971" s="37" cm="1">
        <f t="array" ref="H971">IFERROR(SUMPRODUCT(Tracking[Amount], --(Tracking[Date]&lt;=Tracking[[#This Row],[Date]]), (Tracking[Type]&lt;&gt;"Income") * (-1) + (Tracking[Type]="Income")), "-")</f>
        <v>0</v>
      </c>
      <c r="I971" s="95">
        <f>IF(AND(Tracking[[#This Row],[Type]]="Income", shift_late_income_status="Active", DAY(Tracking[[#This Row],[Date]])&gt;=shift_late_income_starting_day),
      DATE(YEAR(Tracking[[#This Row],[Date]]), MONTH(Tracking[[#This Row],[Date]])+1, 1),
      Tracking[[#This Row],[Date]])</f>
        <v>0</v>
      </c>
    </row>
    <row r="972" spans="3:9" x14ac:dyDescent="0.2">
      <c r="C972" s="94"/>
      <c r="D972" s="32"/>
      <c r="E972" s="32"/>
      <c r="F972" s="34"/>
      <c r="G972" s="35"/>
      <c r="H972" s="37" cm="1">
        <f t="array" ref="H972">IFERROR(SUMPRODUCT(Tracking[Amount], --(Tracking[Date]&lt;=Tracking[[#This Row],[Date]]), (Tracking[Type]&lt;&gt;"Income") * (-1) + (Tracking[Type]="Income")), "-")</f>
        <v>0</v>
      </c>
      <c r="I972" s="95">
        <f>IF(AND(Tracking[[#This Row],[Type]]="Income", shift_late_income_status="Active", DAY(Tracking[[#This Row],[Date]])&gt;=shift_late_income_starting_day),
      DATE(YEAR(Tracking[[#This Row],[Date]]), MONTH(Tracking[[#This Row],[Date]])+1, 1),
      Tracking[[#This Row],[Date]])</f>
        <v>0</v>
      </c>
    </row>
    <row r="973" spans="3:9" x14ac:dyDescent="0.2">
      <c r="C973" s="94"/>
      <c r="D973" s="32"/>
      <c r="E973" s="32"/>
      <c r="F973" s="34"/>
      <c r="G973" s="35"/>
      <c r="H973" s="37" cm="1">
        <f t="array" ref="H973">IFERROR(SUMPRODUCT(Tracking[Amount], --(Tracking[Date]&lt;=Tracking[[#This Row],[Date]]), (Tracking[Type]&lt;&gt;"Income") * (-1) + (Tracking[Type]="Income")), "-")</f>
        <v>0</v>
      </c>
      <c r="I973" s="95">
        <f>IF(AND(Tracking[[#This Row],[Type]]="Income", shift_late_income_status="Active", DAY(Tracking[[#This Row],[Date]])&gt;=shift_late_income_starting_day),
      DATE(YEAR(Tracking[[#This Row],[Date]]), MONTH(Tracking[[#This Row],[Date]])+1, 1),
      Tracking[[#This Row],[Date]])</f>
        <v>0</v>
      </c>
    </row>
    <row r="974" spans="3:9" x14ac:dyDescent="0.2">
      <c r="C974" s="94"/>
      <c r="D974" s="32"/>
      <c r="E974" s="32"/>
      <c r="F974" s="34"/>
      <c r="G974" s="35"/>
      <c r="H974" s="37" cm="1">
        <f t="array" ref="H974">IFERROR(SUMPRODUCT(Tracking[Amount], --(Tracking[Date]&lt;=Tracking[[#This Row],[Date]]), (Tracking[Type]&lt;&gt;"Income") * (-1) + (Tracking[Type]="Income")), "-")</f>
        <v>0</v>
      </c>
      <c r="I974" s="95">
        <f>IF(AND(Tracking[[#This Row],[Type]]="Income", shift_late_income_status="Active", DAY(Tracking[[#This Row],[Date]])&gt;=shift_late_income_starting_day),
      DATE(YEAR(Tracking[[#This Row],[Date]]), MONTH(Tracking[[#This Row],[Date]])+1, 1),
      Tracking[[#This Row],[Date]])</f>
        <v>0</v>
      </c>
    </row>
    <row r="975" spans="3:9" x14ac:dyDescent="0.2">
      <c r="C975" s="94"/>
      <c r="D975" s="32"/>
      <c r="E975" s="32"/>
      <c r="F975" s="34"/>
      <c r="G975" s="35"/>
      <c r="H975" s="37" cm="1">
        <f t="array" ref="H975">IFERROR(SUMPRODUCT(Tracking[Amount], --(Tracking[Date]&lt;=Tracking[[#This Row],[Date]]), (Tracking[Type]&lt;&gt;"Income") * (-1) + (Tracking[Type]="Income")), "-")</f>
        <v>0</v>
      </c>
      <c r="I975" s="95">
        <f>IF(AND(Tracking[[#This Row],[Type]]="Income", shift_late_income_status="Active", DAY(Tracking[[#This Row],[Date]])&gt;=shift_late_income_starting_day),
      DATE(YEAR(Tracking[[#This Row],[Date]]), MONTH(Tracking[[#This Row],[Date]])+1, 1),
      Tracking[[#This Row],[Date]])</f>
        <v>0</v>
      </c>
    </row>
    <row r="976" spans="3:9" x14ac:dyDescent="0.2">
      <c r="C976" s="94"/>
      <c r="D976" s="32"/>
      <c r="E976" s="32"/>
      <c r="F976" s="34"/>
      <c r="G976" s="35"/>
      <c r="H976" s="37" cm="1">
        <f t="array" ref="H976">IFERROR(SUMPRODUCT(Tracking[Amount], --(Tracking[Date]&lt;=Tracking[[#This Row],[Date]]), (Tracking[Type]&lt;&gt;"Income") * (-1) + (Tracking[Type]="Income")), "-")</f>
        <v>0</v>
      </c>
      <c r="I976" s="95">
        <f>IF(AND(Tracking[[#This Row],[Type]]="Income", shift_late_income_status="Active", DAY(Tracking[[#This Row],[Date]])&gt;=shift_late_income_starting_day),
      DATE(YEAR(Tracking[[#This Row],[Date]]), MONTH(Tracking[[#This Row],[Date]])+1, 1),
      Tracking[[#This Row],[Date]])</f>
        <v>0</v>
      </c>
    </row>
    <row r="977" spans="3:9" x14ac:dyDescent="0.2">
      <c r="C977" s="94"/>
      <c r="D977" s="32"/>
      <c r="E977" s="32"/>
      <c r="F977" s="34"/>
      <c r="G977" s="35"/>
      <c r="H977" s="37" cm="1">
        <f t="array" ref="H977">IFERROR(SUMPRODUCT(Tracking[Amount], --(Tracking[Date]&lt;=Tracking[[#This Row],[Date]]), (Tracking[Type]&lt;&gt;"Income") * (-1) + (Tracking[Type]="Income")), "-")</f>
        <v>0</v>
      </c>
      <c r="I977" s="95">
        <f>IF(AND(Tracking[[#This Row],[Type]]="Income", shift_late_income_status="Active", DAY(Tracking[[#This Row],[Date]])&gt;=shift_late_income_starting_day),
      DATE(YEAR(Tracking[[#This Row],[Date]]), MONTH(Tracking[[#This Row],[Date]])+1, 1),
      Tracking[[#This Row],[Date]])</f>
        <v>0</v>
      </c>
    </row>
    <row r="978" spans="3:9" x14ac:dyDescent="0.2">
      <c r="C978" s="94"/>
      <c r="D978" s="32"/>
      <c r="E978" s="32"/>
      <c r="F978" s="34"/>
      <c r="G978" s="35"/>
      <c r="H978" s="37" cm="1">
        <f t="array" ref="H978">IFERROR(SUMPRODUCT(Tracking[Amount], --(Tracking[Date]&lt;=Tracking[[#This Row],[Date]]), (Tracking[Type]&lt;&gt;"Income") * (-1) + (Tracking[Type]="Income")), "-")</f>
        <v>0</v>
      </c>
      <c r="I978" s="95">
        <f>IF(AND(Tracking[[#This Row],[Type]]="Income", shift_late_income_status="Active", DAY(Tracking[[#This Row],[Date]])&gt;=shift_late_income_starting_day),
      DATE(YEAR(Tracking[[#This Row],[Date]]), MONTH(Tracking[[#This Row],[Date]])+1, 1),
      Tracking[[#This Row],[Date]])</f>
        <v>0</v>
      </c>
    </row>
    <row r="979" spans="3:9" x14ac:dyDescent="0.2">
      <c r="C979" s="94"/>
      <c r="D979" s="32"/>
      <c r="E979" s="32"/>
      <c r="F979" s="34"/>
      <c r="G979" s="35"/>
      <c r="H979" s="37" cm="1">
        <f t="array" ref="H979">IFERROR(SUMPRODUCT(Tracking[Amount], --(Tracking[Date]&lt;=Tracking[[#This Row],[Date]]), (Tracking[Type]&lt;&gt;"Income") * (-1) + (Tracking[Type]="Income")), "-")</f>
        <v>0</v>
      </c>
      <c r="I979" s="95">
        <f>IF(AND(Tracking[[#This Row],[Type]]="Income", shift_late_income_status="Active", DAY(Tracking[[#This Row],[Date]])&gt;=shift_late_income_starting_day),
      DATE(YEAR(Tracking[[#This Row],[Date]]), MONTH(Tracking[[#This Row],[Date]])+1, 1),
      Tracking[[#This Row],[Date]])</f>
        <v>0</v>
      </c>
    </row>
    <row r="980" spans="3:9" x14ac:dyDescent="0.2">
      <c r="C980" s="94"/>
      <c r="D980" s="32"/>
      <c r="E980" s="32"/>
      <c r="F980" s="34"/>
      <c r="G980" s="35"/>
      <c r="H980" s="37" cm="1">
        <f t="array" ref="H980">IFERROR(SUMPRODUCT(Tracking[Amount], --(Tracking[Date]&lt;=Tracking[[#This Row],[Date]]), (Tracking[Type]&lt;&gt;"Income") * (-1) + (Tracking[Type]="Income")), "-")</f>
        <v>0</v>
      </c>
      <c r="I980" s="95">
        <f>IF(AND(Tracking[[#This Row],[Type]]="Income", shift_late_income_status="Active", DAY(Tracking[[#This Row],[Date]])&gt;=shift_late_income_starting_day),
      DATE(YEAR(Tracking[[#This Row],[Date]]), MONTH(Tracking[[#This Row],[Date]])+1, 1),
      Tracking[[#This Row],[Date]])</f>
        <v>0</v>
      </c>
    </row>
    <row r="981" spans="3:9" x14ac:dyDescent="0.2">
      <c r="C981" s="94"/>
      <c r="D981" s="32"/>
      <c r="E981" s="32"/>
      <c r="F981" s="34"/>
      <c r="G981" s="35"/>
      <c r="H981" s="37" cm="1">
        <f t="array" ref="H981">IFERROR(SUMPRODUCT(Tracking[Amount], --(Tracking[Date]&lt;=Tracking[[#This Row],[Date]]), (Tracking[Type]&lt;&gt;"Income") * (-1) + (Tracking[Type]="Income")), "-")</f>
        <v>0</v>
      </c>
      <c r="I981" s="95">
        <f>IF(AND(Tracking[[#This Row],[Type]]="Income", shift_late_income_status="Active", DAY(Tracking[[#This Row],[Date]])&gt;=shift_late_income_starting_day),
      DATE(YEAR(Tracking[[#This Row],[Date]]), MONTH(Tracking[[#This Row],[Date]])+1, 1),
      Tracking[[#This Row],[Date]])</f>
        <v>0</v>
      </c>
    </row>
    <row r="982" spans="3:9" x14ac:dyDescent="0.2">
      <c r="C982" s="94"/>
      <c r="D982" s="32"/>
      <c r="E982" s="32"/>
      <c r="F982" s="34"/>
      <c r="G982" s="35"/>
      <c r="H982" s="37" cm="1">
        <f t="array" ref="H982">IFERROR(SUMPRODUCT(Tracking[Amount], --(Tracking[Date]&lt;=Tracking[[#This Row],[Date]]), (Tracking[Type]&lt;&gt;"Income") * (-1) + (Tracking[Type]="Income")), "-")</f>
        <v>0</v>
      </c>
      <c r="I982" s="95">
        <f>IF(AND(Tracking[[#This Row],[Type]]="Income", shift_late_income_status="Active", DAY(Tracking[[#This Row],[Date]])&gt;=shift_late_income_starting_day),
      DATE(YEAR(Tracking[[#This Row],[Date]]), MONTH(Tracking[[#This Row],[Date]])+1, 1),
      Tracking[[#This Row],[Date]])</f>
        <v>0</v>
      </c>
    </row>
    <row r="983" spans="3:9" x14ac:dyDescent="0.2">
      <c r="C983" s="94"/>
      <c r="D983" s="32"/>
      <c r="E983" s="32"/>
      <c r="F983" s="34"/>
      <c r="G983" s="35"/>
      <c r="H983" s="37" cm="1">
        <f t="array" ref="H983">IFERROR(SUMPRODUCT(Tracking[Amount], --(Tracking[Date]&lt;=Tracking[[#This Row],[Date]]), (Tracking[Type]&lt;&gt;"Income") * (-1) + (Tracking[Type]="Income")), "-")</f>
        <v>0</v>
      </c>
      <c r="I983" s="95">
        <f>IF(AND(Tracking[[#This Row],[Type]]="Income", shift_late_income_status="Active", DAY(Tracking[[#This Row],[Date]])&gt;=shift_late_income_starting_day),
      DATE(YEAR(Tracking[[#This Row],[Date]]), MONTH(Tracking[[#This Row],[Date]])+1, 1),
      Tracking[[#This Row],[Date]])</f>
        <v>0</v>
      </c>
    </row>
    <row r="984" spans="3:9" x14ac:dyDescent="0.2">
      <c r="C984" s="94"/>
      <c r="D984" s="32"/>
      <c r="E984" s="32"/>
      <c r="F984" s="34"/>
      <c r="G984" s="35"/>
      <c r="H984" s="37" cm="1">
        <f t="array" ref="H984">IFERROR(SUMPRODUCT(Tracking[Amount], --(Tracking[Date]&lt;=Tracking[[#This Row],[Date]]), (Tracking[Type]&lt;&gt;"Income") * (-1) + (Tracking[Type]="Income")), "-")</f>
        <v>0</v>
      </c>
      <c r="I984" s="95">
        <f>IF(AND(Tracking[[#This Row],[Type]]="Income", shift_late_income_status="Active", DAY(Tracking[[#This Row],[Date]])&gt;=shift_late_income_starting_day),
      DATE(YEAR(Tracking[[#This Row],[Date]]), MONTH(Tracking[[#This Row],[Date]])+1, 1),
      Tracking[[#This Row],[Date]])</f>
        <v>0</v>
      </c>
    </row>
    <row r="985" spans="3:9" x14ac:dyDescent="0.2">
      <c r="C985" s="94"/>
      <c r="D985" s="32"/>
      <c r="E985" s="32"/>
      <c r="F985" s="34"/>
      <c r="G985" s="35"/>
      <c r="H985" s="37" cm="1">
        <f t="array" ref="H985">IFERROR(SUMPRODUCT(Tracking[Amount], --(Tracking[Date]&lt;=Tracking[[#This Row],[Date]]), (Tracking[Type]&lt;&gt;"Income") * (-1) + (Tracking[Type]="Income")), "-")</f>
        <v>0</v>
      </c>
      <c r="I985" s="95">
        <f>IF(AND(Tracking[[#This Row],[Type]]="Income", shift_late_income_status="Active", DAY(Tracking[[#This Row],[Date]])&gt;=shift_late_income_starting_day),
      DATE(YEAR(Tracking[[#This Row],[Date]]), MONTH(Tracking[[#This Row],[Date]])+1, 1),
      Tracking[[#This Row],[Date]])</f>
        <v>0</v>
      </c>
    </row>
    <row r="986" spans="3:9" x14ac:dyDescent="0.2">
      <c r="C986" s="94"/>
      <c r="D986" s="32"/>
      <c r="E986" s="32"/>
      <c r="F986" s="34"/>
      <c r="G986" s="35"/>
      <c r="H986" s="37" cm="1">
        <f t="array" ref="H986">IFERROR(SUMPRODUCT(Tracking[Amount], --(Tracking[Date]&lt;=Tracking[[#This Row],[Date]]), (Tracking[Type]&lt;&gt;"Income") * (-1) + (Tracking[Type]="Income")), "-")</f>
        <v>0</v>
      </c>
      <c r="I986" s="95">
        <f>IF(AND(Tracking[[#This Row],[Type]]="Income", shift_late_income_status="Active", DAY(Tracking[[#This Row],[Date]])&gt;=shift_late_income_starting_day),
      DATE(YEAR(Tracking[[#This Row],[Date]]), MONTH(Tracking[[#This Row],[Date]])+1, 1),
      Tracking[[#This Row],[Date]])</f>
        <v>0</v>
      </c>
    </row>
    <row r="987" spans="3:9" x14ac:dyDescent="0.2">
      <c r="C987" s="94"/>
      <c r="D987" s="32"/>
      <c r="E987" s="32"/>
      <c r="F987" s="34"/>
      <c r="G987" s="35"/>
      <c r="H987" s="37" cm="1">
        <f t="array" ref="H987">IFERROR(SUMPRODUCT(Tracking[Amount], --(Tracking[Date]&lt;=Tracking[[#This Row],[Date]]), (Tracking[Type]&lt;&gt;"Income") * (-1) + (Tracking[Type]="Income")), "-")</f>
        <v>0</v>
      </c>
      <c r="I987" s="95">
        <f>IF(AND(Tracking[[#This Row],[Type]]="Income", shift_late_income_status="Active", DAY(Tracking[[#This Row],[Date]])&gt;=shift_late_income_starting_day),
      DATE(YEAR(Tracking[[#This Row],[Date]]), MONTH(Tracking[[#This Row],[Date]])+1, 1),
      Tracking[[#This Row],[Date]])</f>
        <v>0</v>
      </c>
    </row>
    <row r="988" spans="3:9" x14ac:dyDescent="0.2">
      <c r="C988" s="94"/>
      <c r="D988" s="32"/>
      <c r="E988" s="32"/>
      <c r="F988" s="34"/>
      <c r="G988" s="35"/>
      <c r="H988" s="37" cm="1">
        <f t="array" ref="H988">IFERROR(SUMPRODUCT(Tracking[Amount], --(Tracking[Date]&lt;=Tracking[[#This Row],[Date]]), (Tracking[Type]&lt;&gt;"Income") * (-1) + (Tracking[Type]="Income")), "-")</f>
        <v>0</v>
      </c>
      <c r="I988" s="95">
        <f>IF(AND(Tracking[[#This Row],[Type]]="Income", shift_late_income_status="Active", DAY(Tracking[[#This Row],[Date]])&gt;=shift_late_income_starting_day),
      DATE(YEAR(Tracking[[#This Row],[Date]]), MONTH(Tracking[[#This Row],[Date]])+1, 1),
      Tracking[[#This Row],[Date]])</f>
        <v>0</v>
      </c>
    </row>
    <row r="989" spans="3:9" x14ac:dyDescent="0.2">
      <c r="C989" s="94"/>
      <c r="D989" s="32"/>
      <c r="E989" s="32"/>
      <c r="F989" s="34"/>
      <c r="G989" s="35"/>
      <c r="H989" s="37" cm="1">
        <f t="array" ref="H989">IFERROR(SUMPRODUCT(Tracking[Amount], --(Tracking[Date]&lt;=Tracking[[#This Row],[Date]]), (Tracking[Type]&lt;&gt;"Income") * (-1) + (Tracking[Type]="Income")), "-")</f>
        <v>0</v>
      </c>
      <c r="I989" s="95">
        <f>IF(AND(Tracking[[#This Row],[Type]]="Income", shift_late_income_status="Active", DAY(Tracking[[#This Row],[Date]])&gt;=shift_late_income_starting_day),
      DATE(YEAR(Tracking[[#This Row],[Date]]), MONTH(Tracking[[#This Row],[Date]])+1, 1),
      Tracking[[#This Row],[Date]])</f>
        <v>0</v>
      </c>
    </row>
    <row r="990" spans="3:9" x14ac:dyDescent="0.2">
      <c r="C990" s="94"/>
      <c r="D990" s="32"/>
      <c r="E990" s="32"/>
      <c r="F990" s="34"/>
      <c r="G990" s="35"/>
      <c r="H990" s="37" cm="1">
        <f t="array" ref="H990">IFERROR(SUMPRODUCT(Tracking[Amount], --(Tracking[Date]&lt;=Tracking[[#This Row],[Date]]), (Tracking[Type]&lt;&gt;"Income") * (-1) + (Tracking[Type]="Income")), "-")</f>
        <v>0</v>
      </c>
      <c r="I990" s="95">
        <f>IF(AND(Tracking[[#This Row],[Type]]="Income", shift_late_income_status="Active", DAY(Tracking[[#This Row],[Date]])&gt;=shift_late_income_starting_day),
      DATE(YEAR(Tracking[[#This Row],[Date]]), MONTH(Tracking[[#This Row],[Date]])+1, 1),
      Tracking[[#This Row],[Date]])</f>
        <v>0</v>
      </c>
    </row>
    <row r="991" spans="3:9" x14ac:dyDescent="0.2">
      <c r="C991" s="94"/>
      <c r="D991" s="32"/>
      <c r="E991" s="32"/>
      <c r="F991" s="34"/>
      <c r="G991" s="35"/>
      <c r="H991" s="37" cm="1">
        <f t="array" ref="H991">IFERROR(SUMPRODUCT(Tracking[Amount], --(Tracking[Date]&lt;=Tracking[[#This Row],[Date]]), (Tracking[Type]&lt;&gt;"Income") * (-1) + (Tracking[Type]="Income")), "-")</f>
        <v>0</v>
      </c>
      <c r="I991" s="95">
        <f>IF(AND(Tracking[[#This Row],[Type]]="Income", shift_late_income_status="Active", DAY(Tracking[[#This Row],[Date]])&gt;=shift_late_income_starting_day),
      DATE(YEAR(Tracking[[#This Row],[Date]]), MONTH(Tracking[[#This Row],[Date]])+1, 1),
      Tracking[[#This Row],[Date]])</f>
        <v>0</v>
      </c>
    </row>
    <row r="992" spans="3:9" x14ac:dyDescent="0.2">
      <c r="C992" s="94"/>
      <c r="D992" s="32"/>
      <c r="E992" s="32"/>
      <c r="F992" s="34"/>
      <c r="G992" s="35"/>
      <c r="H992" s="37" cm="1">
        <f t="array" ref="H992">IFERROR(SUMPRODUCT(Tracking[Amount], --(Tracking[Date]&lt;=Tracking[[#This Row],[Date]]), (Tracking[Type]&lt;&gt;"Income") * (-1) + (Tracking[Type]="Income")), "-")</f>
        <v>0</v>
      </c>
      <c r="I992" s="95">
        <f>IF(AND(Tracking[[#This Row],[Type]]="Income", shift_late_income_status="Active", DAY(Tracking[[#This Row],[Date]])&gt;=shift_late_income_starting_day),
      DATE(YEAR(Tracking[[#This Row],[Date]]), MONTH(Tracking[[#This Row],[Date]])+1, 1),
      Tracking[[#This Row],[Date]])</f>
        <v>0</v>
      </c>
    </row>
    <row r="993" spans="3:9" x14ac:dyDescent="0.2">
      <c r="C993" s="94"/>
      <c r="D993" s="32"/>
      <c r="E993" s="32"/>
      <c r="F993" s="34"/>
      <c r="G993" s="35"/>
      <c r="H993" s="37" cm="1">
        <f t="array" ref="H993">IFERROR(SUMPRODUCT(Tracking[Amount], --(Tracking[Date]&lt;=Tracking[[#This Row],[Date]]), (Tracking[Type]&lt;&gt;"Income") * (-1) + (Tracking[Type]="Income")), "-")</f>
        <v>0</v>
      </c>
      <c r="I993" s="95">
        <f>IF(AND(Tracking[[#This Row],[Type]]="Income", shift_late_income_status="Active", DAY(Tracking[[#This Row],[Date]])&gt;=shift_late_income_starting_day),
      DATE(YEAR(Tracking[[#This Row],[Date]]), MONTH(Tracking[[#This Row],[Date]])+1, 1),
      Tracking[[#This Row],[Date]])</f>
        <v>0</v>
      </c>
    </row>
    <row r="994" spans="3:9" x14ac:dyDescent="0.2">
      <c r="C994" s="94"/>
      <c r="D994" s="32"/>
      <c r="E994" s="32"/>
      <c r="F994" s="34"/>
      <c r="G994" s="35"/>
      <c r="H994" s="37" cm="1">
        <f t="array" ref="H994">IFERROR(SUMPRODUCT(Tracking[Amount], --(Tracking[Date]&lt;=Tracking[[#This Row],[Date]]), (Tracking[Type]&lt;&gt;"Income") * (-1) + (Tracking[Type]="Income")), "-")</f>
        <v>0</v>
      </c>
      <c r="I994" s="95">
        <f>IF(AND(Tracking[[#This Row],[Type]]="Income", shift_late_income_status="Active", DAY(Tracking[[#This Row],[Date]])&gt;=shift_late_income_starting_day),
      DATE(YEAR(Tracking[[#This Row],[Date]]), MONTH(Tracking[[#This Row],[Date]])+1, 1),
      Tracking[[#This Row],[Date]])</f>
        <v>0</v>
      </c>
    </row>
    <row r="995" spans="3:9" x14ac:dyDescent="0.2">
      <c r="C995" s="94"/>
      <c r="D995" s="32"/>
      <c r="E995" s="32"/>
      <c r="F995" s="34"/>
      <c r="G995" s="35"/>
      <c r="H995" s="37" cm="1">
        <f t="array" ref="H995">IFERROR(SUMPRODUCT(Tracking[Amount], --(Tracking[Date]&lt;=Tracking[[#This Row],[Date]]), (Tracking[Type]&lt;&gt;"Income") * (-1) + (Tracking[Type]="Income")), "-")</f>
        <v>0</v>
      </c>
      <c r="I995" s="95">
        <f>IF(AND(Tracking[[#This Row],[Type]]="Income", shift_late_income_status="Active", DAY(Tracking[[#This Row],[Date]])&gt;=shift_late_income_starting_day),
      DATE(YEAR(Tracking[[#This Row],[Date]]), MONTH(Tracking[[#This Row],[Date]])+1, 1),
      Tracking[[#This Row],[Date]])</f>
        <v>0</v>
      </c>
    </row>
    <row r="996" spans="3:9" x14ac:dyDescent="0.2">
      <c r="C996" s="94"/>
      <c r="D996" s="32"/>
      <c r="E996" s="32"/>
      <c r="F996" s="34"/>
      <c r="G996" s="35"/>
      <c r="H996" s="37" cm="1">
        <f t="array" ref="H996">IFERROR(SUMPRODUCT(Tracking[Amount], --(Tracking[Date]&lt;=Tracking[[#This Row],[Date]]), (Tracking[Type]&lt;&gt;"Income") * (-1) + (Tracking[Type]="Income")), "-")</f>
        <v>0</v>
      </c>
      <c r="I996" s="95">
        <f>IF(AND(Tracking[[#This Row],[Type]]="Income", shift_late_income_status="Active", DAY(Tracking[[#This Row],[Date]])&gt;=shift_late_income_starting_day),
      DATE(YEAR(Tracking[[#This Row],[Date]]), MONTH(Tracking[[#This Row],[Date]])+1, 1),
      Tracking[[#This Row],[Date]])</f>
        <v>0</v>
      </c>
    </row>
    <row r="997" spans="3:9" x14ac:dyDescent="0.2">
      <c r="C997" s="94"/>
      <c r="D997" s="32"/>
      <c r="E997" s="32"/>
      <c r="F997" s="34"/>
      <c r="G997" s="35"/>
      <c r="H997" s="37" cm="1">
        <f t="array" ref="H997">IFERROR(SUMPRODUCT(Tracking[Amount], --(Tracking[Date]&lt;=Tracking[[#This Row],[Date]]), (Tracking[Type]&lt;&gt;"Income") * (-1) + (Tracking[Type]="Income")), "-")</f>
        <v>0</v>
      </c>
      <c r="I997" s="95">
        <f>IF(AND(Tracking[[#This Row],[Type]]="Income", shift_late_income_status="Active", DAY(Tracking[[#This Row],[Date]])&gt;=shift_late_income_starting_day),
      DATE(YEAR(Tracking[[#This Row],[Date]]), MONTH(Tracking[[#This Row],[Date]])+1, 1),
      Tracking[[#This Row],[Date]])</f>
        <v>0</v>
      </c>
    </row>
    <row r="998" spans="3:9" x14ac:dyDescent="0.2">
      <c r="C998" s="94"/>
      <c r="D998" s="32"/>
      <c r="E998" s="32"/>
      <c r="F998" s="34"/>
      <c r="G998" s="35"/>
      <c r="H998" s="37" cm="1">
        <f t="array" ref="H998">IFERROR(SUMPRODUCT(Tracking[Amount], --(Tracking[Date]&lt;=Tracking[[#This Row],[Date]]), (Tracking[Type]&lt;&gt;"Income") * (-1) + (Tracking[Type]="Income")), "-")</f>
        <v>0</v>
      </c>
      <c r="I998" s="95">
        <f>IF(AND(Tracking[[#This Row],[Type]]="Income", shift_late_income_status="Active", DAY(Tracking[[#This Row],[Date]])&gt;=shift_late_income_starting_day),
      DATE(YEAR(Tracking[[#This Row],[Date]]), MONTH(Tracking[[#This Row],[Date]])+1, 1),
      Tracking[[#This Row],[Date]])</f>
        <v>0</v>
      </c>
    </row>
    <row r="999" spans="3:9" x14ac:dyDescent="0.2">
      <c r="C999" s="94"/>
      <c r="D999" s="32"/>
      <c r="E999" s="32"/>
      <c r="F999" s="34"/>
      <c r="G999" s="35"/>
      <c r="H999" s="37" cm="1">
        <f t="array" ref="H999">IFERROR(SUMPRODUCT(Tracking[Amount], --(Tracking[Date]&lt;=Tracking[[#This Row],[Date]]), (Tracking[Type]&lt;&gt;"Income") * (-1) + (Tracking[Type]="Income")), "-")</f>
        <v>0</v>
      </c>
      <c r="I999" s="95">
        <f>IF(AND(Tracking[[#This Row],[Type]]="Income", shift_late_income_status="Active", DAY(Tracking[[#This Row],[Date]])&gt;=shift_late_income_starting_day),
      DATE(YEAR(Tracking[[#This Row],[Date]]), MONTH(Tracking[[#This Row],[Date]])+1, 1),
      Tracking[[#This Row],[Date]])</f>
        <v>0</v>
      </c>
    </row>
    <row r="1000" spans="3:9" x14ac:dyDescent="0.2">
      <c r="C1000" s="94"/>
      <c r="D1000" s="32"/>
      <c r="E1000" s="32"/>
      <c r="F1000" s="34"/>
      <c r="G1000" s="35"/>
      <c r="H1000" s="37" cm="1">
        <f t="array" ref="H1000">IFERROR(SUMPRODUCT(Tracking[Amount], --(Tracking[Date]&lt;=Tracking[[#This Row],[Date]]), (Tracking[Type]&lt;&gt;"Income") * (-1) + (Tracking[Type]="Income")), "-")</f>
        <v>0</v>
      </c>
      <c r="I1000" s="95">
        <f>IF(AND(Tracking[[#This Row],[Type]]="Income", shift_late_income_status="Active", DAY(Tracking[[#This Row],[Date]])&gt;=shift_late_income_starting_day),
      DATE(YEAR(Tracking[[#This Row],[Date]]), MONTH(Tracking[[#This Row],[Date]])+1, 1),
      Tracking[[#This Row],[Date]])</f>
        <v>0</v>
      </c>
    </row>
    <row r="1001" spans="3:9" x14ac:dyDescent="0.2">
      <c r="C1001" s="94"/>
      <c r="D1001" s="32"/>
      <c r="E1001" s="32"/>
      <c r="F1001" s="34"/>
      <c r="G1001" s="35"/>
      <c r="H1001" s="37" cm="1">
        <f t="array" ref="H1001">IFERROR(SUMPRODUCT(Tracking[Amount], --(Tracking[Date]&lt;=Tracking[[#This Row],[Date]]), (Tracking[Type]&lt;&gt;"Income") * (-1) + (Tracking[Type]="Income")), "-")</f>
        <v>0</v>
      </c>
      <c r="I1001" s="95">
        <f>IF(AND(Tracking[[#This Row],[Type]]="Income", shift_late_income_status="Active", DAY(Tracking[[#This Row],[Date]])&gt;=shift_late_income_starting_day),
      DATE(YEAR(Tracking[[#This Row],[Date]]), MONTH(Tracking[[#This Row],[Date]])+1, 1),
      Tracking[[#This Row],[Date]])</f>
        <v>0</v>
      </c>
    </row>
    <row r="1002" spans="3:9" x14ac:dyDescent="0.2">
      <c r="C1002" s="94"/>
      <c r="D1002" s="32"/>
      <c r="E1002" s="32"/>
      <c r="F1002" s="34"/>
      <c r="G1002" s="35"/>
      <c r="H1002" s="37" cm="1">
        <f t="array" ref="H1002">IFERROR(SUMPRODUCT(Tracking[Amount], --(Tracking[Date]&lt;=Tracking[[#This Row],[Date]]), (Tracking[Type]&lt;&gt;"Income") * (-1) + (Tracking[Type]="Income")), "-")</f>
        <v>0</v>
      </c>
      <c r="I1002" s="95">
        <f>IF(AND(Tracking[[#This Row],[Type]]="Income", shift_late_income_status="Active", DAY(Tracking[[#This Row],[Date]])&gt;=shift_late_income_starting_day),
      DATE(YEAR(Tracking[[#This Row],[Date]]), MONTH(Tracking[[#This Row],[Date]])+1, 1),
      Tracking[[#This Row],[Date]])</f>
        <v>0</v>
      </c>
    </row>
    <row r="1003" spans="3:9" x14ac:dyDescent="0.2">
      <c r="C1003" s="94"/>
      <c r="D1003" s="32"/>
      <c r="E1003" s="32"/>
      <c r="F1003" s="34"/>
      <c r="G1003" s="35"/>
      <c r="H1003" s="37" cm="1">
        <f t="array" ref="H1003">IFERROR(SUMPRODUCT(Tracking[Amount], --(Tracking[Date]&lt;=Tracking[[#This Row],[Date]]), (Tracking[Type]&lt;&gt;"Income") * (-1) + (Tracking[Type]="Income")), "-")</f>
        <v>0</v>
      </c>
      <c r="I1003" s="95">
        <f>IF(AND(Tracking[[#This Row],[Type]]="Income", shift_late_income_status="Active", DAY(Tracking[[#This Row],[Date]])&gt;=shift_late_income_starting_day),
      DATE(YEAR(Tracking[[#This Row],[Date]]), MONTH(Tracking[[#This Row],[Date]])+1, 1),
      Tracking[[#This Row],[Date]])</f>
        <v>0</v>
      </c>
    </row>
    <row r="1004" spans="3:9" x14ac:dyDescent="0.2">
      <c r="C1004" s="94"/>
      <c r="D1004" s="32"/>
      <c r="E1004" s="32"/>
      <c r="F1004" s="34"/>
      <c r="G1004" s="35"/>
      <c r="H1004" s="37" cm="1">
        <f t="array" ref="H1004">IFERROR(SUMPRODUCT(Tracking[Amount], --(Tracking[Date]&lt;=Tracking[[#This Row],[Date]]), (Tracking[Type]&lt;&gt;"Income") * (-1) + (Tracking[Type]="Income")), "-")</f>
        <v>0</v>
      </c>
      <c r="I1004" s="95">
        <f>IF(AND(Tracking[[#This Row],[Type]]="Income", shift_late_income_status="Active", DAY(Tracking[[#This Row],[Date]])&gt;=shift_late_income_starting_day),
      DATE(YEAR(Tracking[[#This Row],[Date]]), MONTH(Tracking[[#This Row],[Date]])+1, 1),
      Tracking[[#This Row],[Date]])</f>
        <v>0</v>
      </c>
    </row>
    <row r="1005" spans="3:9" x14ac:dyDescent="0.2">
      <c r="C1005" s="94"/>
      <c r="D1005" s="32"/>
      <c r="E1005" s="32"/>
      <c r="F1005" s="34"/>
      <c r="G1005" s="35"/>
      <c r="H1005" s="37" cm="1">
        <f t="array" ref="H1005">IFERROR(SUMPRODUCT(Tracking[Amount], --(Tracking[Date]&lt;=Tracking[[#This Row],[Date]]), (Tracking[Type]&lt;&gt;"Income") * (-1) + (Tracking[Type]="Income")), "-")</f>
        <v>0</v>
      </c>
      <c r="I1005" s="95">
        <f>IF(AND(Tracking[[#This Row],[Type]]="Income", shift_late_income_status="Active", DAY(Tracking[[#This Row],[Date]])&gt;=shift_late_income_starting_day),
      DATE(YEAR(Tracking[[#This Row],[Date]]), MONTH(Tracking[[#This Row],[Date]])+1, 1),
      Tracking[[#This Row],[Date]])</f>
        <v>0</v>
      </c>
    </row>
    <row r="1006" spans="3:9" x14ac:dyDescent="0.2">
      <c r="C1006" s="94"/>
      <c r="D1006" s="32"/>
      <c r="E1006" s="32"/>
      <c r="F1006" s="34"/>
      <c r="G1006" s="35"/>
      <c r="H1006" s="37" cm="1">
        <f t="array" ref="H1006">IFERROR(SUMPRODUCT(Tracking[Amount], --(Tracking[Date]&lt;=Tracking[[#This Row],[Date]]), (Tracking[Type]&lt;&gt;"Income") * (-1) + (Tracking[Type]="Income")), "-")</f>
        <v>0</v>
      </c>
      <c r="I1006" s="95">
        <f>IF(AND(Tracking[[#This Row],[Type]]="Income", shift_late_income_status="Active", DAY(Tracking[[#This Row],[Date]])&gt;=shift_late_income_starting_day),
      DATE(YEAR(Tracking[[#This Row],[Date]]), MONTH(Tracking[[#This Row],[Date]])+1, 1),
      Tracking[[#This Row],[Date]])</f>
        <v>0</v>
      </c>
    </row>
    <row r="1007" spans="3:9" x14ac:dyDescent="0.2">
      <c r="C1007" s="94"/>
      <c r="D1007" s="32"/>
      <c r="E1007" s="32"/>
      <c r="F1007" s="34"/>
      <c r="G1007" s="35"/>
      <c r="H1007" s="37" cm="1">
        <f t="array" ref="H1007">IFERROR(SUMPRODUCT(Tracking[Amount], --(Tracking[Date]&lt;=Tracking[[#This Row],[Date]]), (Tracking[Type]&lt;&gt;"Income") * (-1) + (Tracking[Type]="Income")), "-")</f>
        <v>0</v>
      </c>
      <c r="I1007" s="95">
        <f>IF(AND(Tracking[[#This Row],[Type]]="Income", shift_late_income_status="Active", DAY(Tracking[[#This Row],[Date]])&gt;=shift_late_income_starting_day),
      DATE(YEAR(Tracking[[#This Row],[Date]]), MONTH(Tracking[[#This Row],[Date]])+1, 1),
      Tracking[[#This Row],[Date]])</f>
        <v>0</v>
      </c>
    </row>
    <row r="1008" spans="3:9" x14ac:dyDescent="0.2">
      <c r="C1008" s="94"/>
      <c r="D1008" s="32"/>
      <c r="E1008" s="32"/>
      <c r="F1008" s="34"/>
      <c r="G1008" s="35"/>
      <c r="H1008" s="37" cm="1">
        <f t="array" ref="H1008">IFERROR(SUMPRODUCT(Tracking[Amount], --(Tracking[Date]&lt;=Tracking[[#This Row],[Date]]), (Tracking[Type]&lt;&gt;"Income") * (-1) + (Tracking[Type]="Income")), "-")</f>
        <v>0</v>
      </c>
      <c r="I1008" s="95">
        <f>IF(AND(Tracking[[#This Row],[Type]]="Income", shift_late_income_status="Active", DAY(Tracking[[#This Row],[Date]])&gt;=shift_late_income_starting_day),
      DATE(YEAR(Tracking[[#This Row],[Date]]), MONTH(Tracking[[#This Row],[Date]])+1, 1),
      Tracking[[#This Row],[Date]])</f>
        <v>0</v>
      </c>
    </row>
    <row r="1009" spans="3:9" x14ac:dyDescent="0.2">
      <c r="C1009" s="94"/>
      <c r="D1009" s="32"/>
      <c r="E1009" s="32"/>
      <c r="F1009" s="34"/>
      <c r="G1009" s="35"/>
      <c r="H1009" s="37" cm="1">
        <f t="array" ref="H1009">IFERROR(SUMPRODUCT(Tracking[Amount], --(Tracking[Date]&lt;=Tracking[[#This Row],[Date]]), (Tracking[Type]&lt;&gt;"Income") * (-1) + (Tracking[Type]="Income")), "-")</f>
        <v>0</v>
      </c>
      <c r="I1009" s="95">
        <f>IF(AND(Tracking[[#This Row],[Type]]="Income", shift_late_income_status="Active", DAY(Tracking[[#This Row],[Date]])&gt;=shift_late_income_starting_day),
      DATE(YEAR(Tracking[[#This Row],[Date]]), MONTH(Tracking[[#This Row],[Date]])+1, 1),
      Tracking[[#This Row],[Date]])</f>
        <v>0</v>
      </c>
    </row>
    <row r="1010" spans="3:9" x14ac:dyDescent="0.2">
      <c r="C1010" s="94"/>
      <c r="D1010" s="32"/>
      <c r="E1010" s="32"/>
      <c r="F1010" s="34"/>
      <c r="G1010" s="35"/>
      <c r="H1010" s="37" cm="1">
        <f t="array" ref="H1010">IFERROR(SUMPRODUCT(Tracking[Amount], --(Tracking[Date]&lt;=Tracking[[#This Row],[Date]]), (Tracking[Type]&lt;&gt;"Income") * (-1) + (Tracking[Type]="Income")), "-")</f>
        <v>0</v>
      </c>
      <c r="I1010" s="95">
        <f>IF(AND(Tracking[[#This Row],[Type]]="Income", shift_late_income_status="Active", DAY(Tracking[[#This Row],[Date]])&gt;=shift_late_income_starting_day),
      DATE(YEAR(Tracking[[#This Row],[Date]]), MONTH(Tracking[[#This Row],[Date]])+1, 1),
      Tracking[[#This Row],[Date]])</f>
        <v>0</v>
      </c>
    </row>
    <row r="1011" spans="3:9" x14ac:dyDescent="0.2">
      <c r="C1011" s="94"/>
      <c r="D1011" s="32"/>
      <c r="E1011" s="32"/>
      <c r="F1011" s="34"/>
      <c r="G1011" s="35"/>
      <c r="H1011" s="37" cm="1">
        <f t="array" ref="H1011">IFERROR(SUMPRODUCT(Tracking[Amount], --(Tracking[Date]&lt;=Tracking[[#This Row],[Date]]), (Tracking[Type]&lt;&gt;"Income") * (-1) + (Tracking[Type]="Income")), "-")</f>
        <v>0</v>
      </c>
      <c r="I1011" s="95">
        <f>IF(AND(Tracking[[#This Row],[Type]]="Income", shift_late_income_status="Active", DAY(Tracking[[#This Row],[Date]])&gt;=shift_late_income_starting_day),
      DATE(YEAR(Tracking[[#This Row],[Date]]), MONTH(Tracking[[#This Row],[Date]])+1, 1),
      Tracking[[#This Row],[Date]])</f>
        <v>0</v>
      </c>
    </row>
    <row r="1012" spans="3:9" x14ac:dyDescent="0.2">
      <c r="C1012" s="94"/>
      <c r="D1012" s="32"/>
      <c r="E1012" s="32"/>
      <c r="F1012" s="34"/>
      <c r="G1012" s="35"/>
      <c r="H1012" s="37" cm="1">
        <f t="array" ref="H1012">IFERROR(SUMPRODUCT(Tracking[Amount], --(Tracking[Date]&lt;=Tracking[[#This Row],[Date]]), (Tracking[Type]&lt;&gt;"Income") * (-1) + (Tracking[Type]="Income")), "-")</f>
        <v>0</v>
      </c>
      <c r="I1012" s="95">
        <f>IF(AND(Tracking[[#This Row],[Type]]="Income", shift_late_income_status="Active", DAY(Tracking[[#This Row],[Date]])&gt;=shift_late_income_starting_day),
      DATE(YEAR(Tracking[[#This Row],[Date]]), MONTH(Tracking[[#This Row],[Date]])+1, 1),
      Tracking[[#This Row],[Date]])</f>
        <v>0</v>
      </c>
    </row>
    <row r="1013" spans="3:9" x14ac:dyDescent="0.2">
      <c r="C1013" s="94"/>
      <c r="D1013" s="32"/>
      <c r="E1013" s="32"/>
      <c r="F1013" s="34"/>
      <c r="G1013" s="35"/>
      <c r="H1013" s="37" cm="1">
        <f t="array" ref="H1013">IFERROR(SUMPRODUCT(Tracking[Amount], --(Tracking[Date]&lt;=Tracking[[#This Row],[Date]]), (Tracking[Type]&lt;&gt;"Income") * (-1) + (Tracking[Type]="Income")), "-")</f>
        <v>0</v>
      </c>
      <c r="I1013" s="95">
        <f>IF(AND(Tracking[[#This Row],[Type]]="Income", shift_late_income_status="Active", DAY(Tracking[[#This Row],[Date]])&gt;=shift_late_income_starting_day),
      DATE(YEAR(Tracking[[#This Row],[Date]]), MONTH(Tracking[[#This Row],[Date]])+1, 1),
      Tracking[[#This Row],[Date]])</f>
        <v>0</v>
      </c>
    </row>
    <row r="1014" spans="3:9" x14ac:dyDescent="0.2">
      <c r="C1014" s="94"/>
      <c r="D1014" s="32"/>
      <c r="E1014" s="32"/>
      <c r="F1014" s="34"/>
      <c r="G1014" s="35"/>
      <c r="H1014" s="37" cm="1">
        <f t="array" ref="H1014">IFERROR(SUMPRODUCT(Tracking[Amount], --(Tracking[Date]&lt;=Tracking[[#This Row],[Date]]), (Tracking[Type]&lt;&gt;"Income") * (-1) + (Tracking[Type]="Income")), "-")</f>
        <v>0</v>
      </c>
      <c r="I1014" s="95">
        <f>IF(AND(Tracking[[#This Row],[Type]]="Income", shift_late_income_status="Active", DAY(Tracking[[#This Row],[Date]])&gt;=shift_late_income_starting_day),
      DATE(YEAR(Tracking[[#This Row],[Date]]), MONTH(Tracking[[#This Row],[Date]])+1, 1),
      Tracking[[#This Row],[Date]])</f>
        <v>0</v>
      </c>
    </row>
    <row r="1015" spans="3:9" x14ac:dyDescent="0.2">
      <c r="C1015" s="94"/>
      <c r="D1015" s="32"/>
      <c r="E1015" s="32"/>
      <c r="F1015" s="34"/>
      <c r="G1015" s="35"/>
      <c r="H1015" s="37" cm="1">
        <f t="array" ref="H1015">IFERROR(SUMPRODUCT(Tracking[Amount], --(Tracking[Date]&lt;=Tracking[[#This Row],[Date]]), (Tracking[Type]&lt;&gt;"Income") * (-1) + (Tracking[Type]="Income")), "-")</f>
        <v>0</v>
      </c>
      <c r="I1015" s="95">
        <f>IF(AND(Tracking[[#This Row],[Type]]="Income", shift_late_income_status="Active", DAY(Tracking[[#This Row],[Date]])&gt;=shift_late_income_starting_day),
      DATE(YEAR(Tracking[[#This Row],[Date]]), MONTH(Tracking[[#This Row],[Date]])+1, 1),
      Tracking[[#This Row],[Date]])</f>
        <v>0</v>
      </c>
    </row>
    <row r="1016" spans="3:9" x14ac:dyDescent="0.2">
      <c r="C1016" s="94"/>
      <c r="D1016" s="32"/>
      <c r="E1016" s="32"/>
      <c r="F1016" s="34"/>
      <c r="G1016" s="35"/>
      <c r="H1016" s="37" cm="1">
        <f t="array" ref="H1016">IFERROR(SUMPRODUCT(Tracking[Amount], --(Tracking[Date]&lt;=Tracking[[#This Row],[Date]]), (Tracking[Type]&lt;&gt;"Income") * (-1) + (Tracking[Type]="Income")), "-")</f>
        <v>0</v>
      </c>
      <c r="I1016" s="95">
        <f>IF(AND(Tracking[[#This Row],[Type]]="Income", shift_late_income_status="Active", DAY(Tracking[[#This Row],[Date]])&gt;=shift_late_income_starting_day),
      DATE(YEAR(Tracking[[#This Row],[Date]]), MONTH(Tracking[[#This Row],[Date]])+1, 1),
      Tracking[[#This Row],[Date]])</f>
        <v>0</v>
      </c>
    </row>
    <row r="1017" spans="3:9" x14ac:dyDescent="0.2">
      <c r="C1017" s="94"/>
      <c r="D1017" s="32"/>
      <c r="E1017" s="32"/>
      <c r="F1017" s="34"/>
      <c r="G1017" s="35"/>
      <c r="H1017" s="37" cm="1">
        <f t="array" ref="H1017">IFERROR(SUMPRODUCT(Tracking[Amount], --(Tracking[Date]&lt;=Tracking[[#This Row],[Date]]), (Tracking[Type]&lt;&gt;"Income") * (-1) + (Tracking[Type]="Income")), "-")</f>
        <v>0</v>
      </c>
      <c r="I1017" s="95">
        <f>IF(AND(Tracking[[#This Row],[Type]]="Income", shift_late_income_status="Active", DAY(Tracking[[#This Row],[Date]])&gt;=shift_late_income_starting_day),
      DATE(YEAR(Tracking[[#This Row],[Date]]), MONTH(Tracking[[#This Row],[Date]])+1, 1),
      Tracking[[#This Row],[Date]])</f>
        <v>0</v>
      </c>
    </row>
    <row r="1018" spans="3:9" x14ac:dyDescent="0.2">
      <c r="C1018" s="94"/>
      <c r="D1018" s="32"/>
      <c r="E1018" s="32"/>
      <c r="F1018" s="34"/>
      <c r="G1018" s="35"/>
      <c r="H1018" s="37" cm="1">
        <f t="array" ref="H1018">IFERROR(SUMPRODUCT(Tracking[Amount], --(Tracking[Date]&lt;=Tracking[[#This Row],[Date]]), (Tracking[Type]&lt;&gt;"Income") * (-1) + (Tracking[Type]="Income")), "-")</f>
        <v>0</v>
      </c>
      <c r="I1018" s="95">
        <f>IF(AND(Tracking[[#This Row],[Type]]="Income", shift_late_income_status="Active", DAY(Tracking[[#This Row],[Date]])&gt;=shift_late_income_starting_day),
      DATE(YEAR(Tracking[[#This Row],[Date]]), MONTH(Tracking[[#This Row],[Date]])+1, 1),
      Tracking[[#This Row],[Date]])</f>
        <v>0</v>
      </c>
    </row>
    <row r="1019" spans="3:9" x14ac:dyDescent="0.2">
      <c r="C1019" s="94"/>
      <c r="D1019" s="32"/>
      <c r="E1019" s="32"/>
      <c r="F1019" s="34"/>
      <c r="G1019" s="35"/>
      <c r="H1019" s="37" cm="1">
        <f t="array" ref="H1019">IFERROR(SUMPRODUCT(Tracking[Amount], --(Tracking[Date]&lt;=Tracking[[#This Row],[Date]]), (Tracking[Type]&lt;&gt;"Income") * (-1) + (Tracking[Type]="Income")), "-")</f>
        <v>0</v>
      </c>
      <c r="I1019" s="95">
        <f>IF(AND(Tracking[[#This Row],[Type]]="Income", shift_late_income_status="Active", DAY(Tracking[[#This Row],[Date]])&gt;=shift_late_income_starting_day),
      DATE(YEAR(Tracking[[#This Row],[Date]]), MONTH(Tracking[[#This Row],[Date]])+1, 1),
      Tracking[[#This Row],[Date]])</f>
        <v>0</v>
      </c>
    </row>
    <row r="1020" spans="3:9" x14ac:dyDescent="0.2">
      <c r="C1020" s="94"/>
      <c r="D1020" s="32"/>
      <c r="E1020" s="32"/>
      <c r="F1020" s="34"/>
      <c r="G1020" s="35"/>
      <c r="H1020" s="37" cm="1">
        <f t="array" ref="H1020">IFERROR(SUMPRODUCT(Tracking[Amount], --(Tracking[Date]&lt;=Tracking[[#This Row],[Date]]), (Tracking[Type]&lt;&gt;"Income") * (-1) + (Tracking[Type]="Income")), "-")</f>
        <v>0</v>
      </c>
      <c r="I1020" s="95">
        <f>IF(AND(Tracking[[#This Row],[Type]]="Income", shift_late_income_status="Active", DAY(Tracking[[#This Row],[Date]])&gt;=shift_late_income_starting_day),
      DATE(YEAR(Tracking[[#This Row],[Date]]), MONTH(Tracking[[#This Row],[Date]])+1, 1),
      Tracking[[#This Row],[Date]])</f>
        <v>0</v>
      </c>
    </row>
    <row r="1021" spans="3:9" x14ac:dyDescent="0.2">
      <c r="C1021" s="94"/>
      <c r="D1021" s="32"/>
      <c r="E1021" s="32"/>
      <c r="F1021" s="34"/>
      <c r="G1021" s="35"/>
      <c r="H1021" s="37" cm="1">
        <f t="array" ref="H1021">IFERROR(SUMPRODUCT(Tracking[Amount], --(Tracking[Date]&lt;=Tracking[[#This Row],[Date]]), (Tracking[Type]&lt;&gt;"Income") * (-1) + (Tracking[Type]="Income")), "-")</f>
        <v>0</v>
      </c>
      <c r="I1021" s="95">
        <f>IF(AND(Tracking[[#This Row],[Type]]="Income", shift_late_income_status="Active", DAY(Tracking[[#This Row],[Date]])&gt;=shift_late_income_starting_day),
      DATE(YEAR(Tracking[[#This Row],[Date]]), MONTH(Tracking[[#This Row],[Date]])+1, 1),
      Tracking[[#This Row],[Date]])</f>
        <v>0</v>
      </c>
    </row>
    <row r="1022" spans="3:9" x14ac:dyDescent="0.2">
      <c r="C1022" s="94"/>
      <c r="D1022" s="32"/>
      <c r="E1022" s="32"/>
      <c r="F1022" s="34"/>
      <c r="G1022" s="35"/>
      <c r="H1022" s="37" cm="1">
        <f t="array" ref="H1022">IFERROR(SUMPRODUCT(Tracking[Amount], --(Tracking[Date]&lt;=Tracking[[#This Row],[Date]]), (Tracking[Type]&lt;&gt;"Income") * (-1) + (Tracking[Type]="Income")), "-")</f>
        <v>0</v>
      </c>
      <c r="I1022" s="95">
        <f>IF(AND(Tracking[[#This Row],[Type]]="Income", shift_late_income_status="Active", DAY(Tracking[[#This Row],[Date]])&gt;=shift_late_income_starting_day),
      DATE(YEAR(Tracking[[#This Row],[Date]]), MONTH(Tracking[[#This Row],[Date]])+1, 1),
      Tracking[[#This Row],[Date]])</f>
        <v>0</v>
      </c>
    </row>
    <row r="1023" spans="3:9" x14ac:dyDescent="0.2">
      <c r="C1023" s="94"/>
      <c r="D1023" s="32"/>
      <c r="E1023" s="32"/>
      <c r="F1023" s="34"/>
      <c r="G1023" s="35"/>
      <c r="H1023" s="37" cm="1">
        <f t="array" ref="H1023">IFERROR(SUMPRODUCT(Tracking[Amount], --(Tracking[Date]&lt;=Tracking[[#This Row],[Date]]), (Tracking[Type]&lt;&gt;"Income") * (-1) + (Tracking[Type]="Income")), "-")</f>
        <v>0</v>
      </c>
      <c r="I1023" s="95">
        <f>IF(AND(Tracking[[#This Row],[Type]]="Income", shift_late_income_status="Active", DAY(Tracking[[#This Row],[Date]])&gt;=shift_late_income_starting_day),
      DATE(YEAR(Tracking[[#This Row],[Date]]), MONTH(Tracking[[#This Row],[Date]])+1, 1),
      Tracking[[#This Row],[Date]])</f>
        <v>0</v>
      </c>
    </row>
    <row r="1024" spans="3:9" x14ac:dyDescent="0.2">
      <c r="C1024" s="94"/>
      <c r="D1024" s="32"/>
      <c r="E1024" s="32"/>
      <c r="F1024" s="34"/>
      <c r="G1024" s="35"/>
      <c r="H1024" s="37" cm="1">
        <f t="array" ref="H1024">IFERROR(SUMPRODUCT(Tracking[Amount], --(Tracking[Date]&lt;=Tracking[[#This Row],[Date]]), (Tracking[Type]&lt;&gt;"Income") * (-1) + (Tracking[Type]="Income")), "-")</f>
        <v>0</v>
      </c>
      <c r="I1024" s="95">
        <f>IF(AND(Tracking[[#This Row],[Type]]="Income", shift_late_income_status="Active", DAY(Tracking[[#This Row],[Date]])&gt;=shift_late_income_starting_day),
      DATE(YEAR(Tracking[[#This Row],[Date]]), MONTH(Tracking[[#This Row],[Date]])+1, 1),
      Tracking[[#This Row],[Date]])</f>
        <v>0</v>
      </c>
    </row>
    <row r="1025" spans="3:9" x14ac:dyDescent="0.2">
      <c r="C1025" s="94"/>
      <c r="D1025" s="32"/>
      <c r="E1025" s="32"/>
      <c r="F1025" s="34"/>
      <c r="G1025" s="35"/>
      <c r="H1025" s="37" cm="1">
        <f t="array" ref="H1025">IFERROR(SUMPRODUCT(Tracking[Amount], --(Tracking[Date]&lt;=Tracking[[#This Row],[Date]]), (Tracking[Type]&lt;&gt;"Income") * (-1) + (Tracking[Type]="Income")), "-")</f>
        <v>0</v>
      </c>
      <c r="I1025" s="95">
        <f>IF(AND(Tracking[[#This Row],[Type]]="Income", shift_late_income_status="Active", DAY(Tracking[[#This Row],[Date]])&gt;=shift_late_income_starting_day),
      DATE(YEAR(Tracking[[#This Row],[Date]]), MONTH(Tracking[[#This Row],[Date]])+1, 1),
      Tracking[[#This Row],[Date]])</f>
        <v>0</v>
      </c>
    </row>
    <row r="1026" spans="3:9" x14ac:dyDescent="0.2">
      <c r="C1026" s="94"/>
      <c r="D1026" s="32"/>
      <c r="E1026" s="32"/>
      <c r="F1026" s="34"/>
      <c r="G1026" s="35"/>
      <c r="H1026" s="37" cm="1">
        <f t="array" ref="H1026">IFERROR(SUMPRODUCT(Tracking[Amount], --(Tracking[Date]&lt;=Tracking[[#This Row],[Date]]), (Tracking[Type]&lt;&gt;"Income") * (-1) + (Tracking[Type]="Income")), "-")</f>
        <v>0</v>
      </c>
      <c r="I1026" s="95">
        <f>IF(AND(Tracking[[#This Row],[Type]]="Income", shift_late_income_status="Active", DAY(Tracking[[#This Row],[Date]])&gt;=shift_late_income_starting_day),
      DATE(YEAR(Tracking[[#This Row],[Date]]), MONTH(Tracking[[#This Row],[Date]])+1, 1),
      Tracking[[#This Row],[Date]])</f>
        <v>0</v>
      </c>
    </row>
    <row r="1027" spans="3:9" x14ac:dyDescent="0.2">
      <c r="C1027" s="94"/>
      <c r="D1027" s="32"/>
      <c r="E1027" s="32"/>
      <c r="F1027" s="34"/>
      <c r="G1027" s="35"/>
      <c r="H1027" s="37" cm="1">
        <f t="array" ref="H1027">IFERROR(SUMPRODUCT(Tracking[Amount], --(Tracking[Date]&lt;=Tracking[[#This Row],[Date]]), (Tracking[Type]&lt;&gt;"Income") * (-1) + (Tracking[Type]="Income")), "-")</f>
        <v>0</v>
      </c>
      <c r="I1027" s="95">
        <f>IF(AND(Tracking[[#This Row],[Type]]="Income", shift_late_income_status="Active", DAY(Tracking[[#This Row],[Date]])&gt;=shift_late_income_starting_day),
      DATE(YEAR(Tracking[[#This Row],[Date]]), MONTH(Tracking[[#This Row],[Date]])+1, 1),
      Tracking[[#This Row],[Date]])</f>
        <v>0</v>
      </c>
    </row>
    <row r="1028" spans="3:9" x14ac:dyDescent="0.2">
      <c r="C1028" s="94"/>
      <c r="D1028" s="32"/>
      <c r="E1028" s="32"/>
      <c r="F1028" s="34"/>
      <c r="G1028" s="35"/>
      <c r="H1028" s="37" cm="1">
        <f t="array" ref="H1028">IFERROR(SUMPRODUCT(Tracking[Amount], --(Tracking[Date]&lt;=Tracking[[#This Row],[Date]]), (Tracking[Type]&lt;&gt;"Income") * (-1) + (Tracking[Type]="Income")), "-")</f>
        <v>0</v>
      </c>
      <c r="I1028" s="95">
        <f>IF(AND(Tracking[[#This Row],[Type]]="Income", shift_late_income_status="Active", DAY(Tracking[[#This Row],[Date]])&gt;=shift_late_income_starting_day),
      DATE(YEAR(Tracking[[#This Row],[Date]]), MONTH(Tracking[[#This Row],[Date]])+1, 1),
      Tracking[[#This Row],[Date]])</f>
        <v>0</v>
      </c>
    </row>
    <row r="1029" spans="3:9" x14ac:dyDescent="0.2">
      <c r="C1029" s="94"/>
      <c r="D1029" s="32"/>
      <c r="E1029" s="32"/>
      <c r="F1029" s="34"/>
      <c r="G1029" s="35"/>
      <c r="H1029" s="37" cm="1">
        <f t="array" ref="H1029">IFERROR(SUMPRODUCT(Tracking[Amount], --(Tracking[Date]&lt;=Tracking[[#This Row],[Date]]), (Tracking[Type]&lt;&gt;"Income") * (-1) + (Tracking[Type]="Income")), "-")</f>
        <v>0</v>
      </c>
      <c r="I1029" s="95">
        <f>IF(AND(Tracking[[#This Row],[Type]]="Income", shift_late_income_status="Active", DAY(Tracking[[#This Row],[Date]])&gt;=shift_late_income_starting_day),
      DATE(YEAR(Tracking[[#This Row],[Date]]), MONTH(Tracking[[#This Row],[Date]])+1, 1),
      Tracking[[#This Row],[Date]])</f>
        <v>0</v>
      </c>
    </row>
    <row r="1030" spans="3:9" x14ac:dyDescent="0.2">
      <c r="C1030" s="94"/>
      <c r="D1030" s="32"/>
      <c r="E1030" s="32"/>
      <c r="F1030" s="34"/>
      <c r="G1030" s="35"/>
      <c r="H1030" s="37" cm="1">
        <f t="array" ref="H1030">IFERROR(SUMPRODUCT(Tracking[Amount], --(Tracking[Date]&lt;=Tracking[[#This Row],[Date]]), (Tracking[Type]&lt;&gt;"Income") * (-1) + (Tracking[Type]="Income")), "-")</f>
        <v>0</v>
      </c>
      <c r="I1030" s="95">
        <f>IF(AND(Tracking[[#This Row],[Type]]="Income", shift_late_income_status="Active", DAY(Tracking[[#This Row],[Date]])&gt;=shift_late_income_starting_day),
      DATE(YEAR(Tracking[[#This Row],[Date]]), MONTH(Tracking[[#This Row],[Date]])+1, 1),
      Tracking[[#This Row],[Date]])</f>
        <v>0</v>
      </c>
    </row>
    <row r="1031" spans="3:9" x14ac:dyDescent="0.2">
      <c r="C1031" s="94"/>
      <c r="D1031" s="32"/>
      <c r="E1031" s="32"/>
      <c r="F1031" s="34"/>
      <c r="G1031" s="35"/>
      <c r="H1031" s="37" cm="1">
        <f t="array" ref="H1031">IFERROR(SUMPRODUCT(Tracking[Amount], --(Tracking[Date]&lt;=Tracking[[#This Row],[Date]]), (Tracking[Type]&lt;&gt;"Income") * (-1) + (Tracking[Type]="Income")), "-")</f>
        <v>0</v>
      </c>
      <c r="I1031" s="95">
        <f>IF(AND(Tracking[[#This Row],[Type]]="Income", shift_late_income_status="Active", DAY(Tracking[[#This Row],[Date]])&gt;=shift_late_income_starting_day),
      DATE(YEAR(Tracking[[#This Row],[Date]]), MONTH(Tracking[[#This Row],[Date]])+1, 1),
      Tracking[[#This Row],[Date]])</f>
        <v>0</v>
      </c>
    </row>
    <row r="1032" spans="3:9" x14ac:dyDescent="0.2">
      <c r="C1032" s="94"/>
      <c r="D1032" s="32"/>
      <c r="E1032" s="32"/>
      <c r="F1032" s="34"/>
      <c r="G1032" s="35"/>
      <c r="H1032" s="37" cm="1">
        <f t="array" ref="H1032">IFERROR(SUMPRODUCT(Tracking[Amount], --(Tracking[Date]&lt;=Tracking[[#This Row],[Date]]), (Tracking[Type]&lt;&gt;"Income") * (-1) + (Tracking[Type]="Income")), "-")</f>
        <v>0</v>
      </c>
      <c r="I1032" s="95">
        <f>IF(AND(Tracking[[#This Row],[Type]]="Income", shift_late_income_status="Active", DAY(Tracking[[#This Row],[Date]])&gt;=shift_late_income_starting_day),
      DATE(YEAR(Tracking[[#This Row],[Date]]), MONTH(Tracking[[#This Row],[Date]])+1, 1),
      Tracking[[#This Row],[Date]])</f>
        <v>0</v>
      </c>
    </row>
    <row r="1033" spans="3:9" x14ac:dyDescent="0.2">
      <c r="C1033" s="94"/>
      <c r="D1033" s="32"/>
      <c r="E1033" s="32"/>
      <c r="F1033" s="34"/>
      <c r="G1033" s="35"/>
      <c r="H1033" s="37" cm="1">
        <f t="array" ref="H1033">IFERROR(SUMPRODUCT(Tracking[Amount], --(Tracking[Date]&lt;=Tracking[[#This Row],[Date]]), (Tracking[Type]&lt;&gt;"Income") * (-1) + (Tracking[Type]="Income")), "-")</f>
        <v>0</v>
      </c>
      <c r="I1033" s="95">
        <f>IF(AND(Tracking[[#This Row],[Type]]="Income", shift_late_income_status="Active", DAY(Tracking[[#This Row],[Date]])&gt;=shift_late_income_starting_day),
      DATE(YEAR(Tracking[[#This Row],[Date]]), MONTH(Tracking[[#This Row],[Date]])+1, 1),
      Tracking[[#This Row],[Date]])</f>
        <v>0</v>
      </c>
    </row>
    <row r="1034" spans="3:9" x14ac:dyDescent="0.2">
      <c r="C1034" s="94"/>
      <c r="D1034" s="32"/>
      <c r="E1034" s="32"/>
      <c r="F1034" s="34"/>
      <c r="G1034" s="35"/>
      <c r="H1034" s="37" cm="1">
        <f t="array" ref="H1034">IFERROR(SUMPRODUCT(Tracking[Amount], --(Tracking[Date]&lt;=Tracking[[#This Row],[Date]]), (Tracking[Type]&lt;&gt;"Income") * (-1) + (Tracking[Type]="Income")), "-")</f>
        <v>0</v>
      </c>
      <c r="I1034" s="95">
        <f>IF(AND(Tracking[[#This Row],[Type]]="Income", shift_late_income_status="Active", DAY(Tracking[[#This Row],[Date]])&gt;=shift_late_income_starting_day),
      DATE(YEAR(Tracking[[#This Row],[Date]]), MONTH(Tracking[[#This Row],[Date]])+1, 1),
      Tracking[[#This Row],[Date]])</f>
        <v>0</v>
      </c>
    </row>
    <row r="1035" spans="3:9" x14ac:dyDescent="0.2">
      <c r="C1035" s="94"/>
      <c r="D1035" s="32"/>
      <c r="E1035" s="32"/>
      <c r="F1035" s="34"/>
      <c r="G1035" s="35"/>
      <c r="H1035" s="37" cm="1">
        <f t="array" ref="H1035">IFERROR(SUMPRODUCT(Tracking[Amount], --(Tracking[Date]&lt;=Tracking[[#This Row],[Date]]), (Tracking[Type]&lt;&gt;"Income") * (-1) + (Tracking[Type]="Income")), "-")</f>
        <v>0</v>
      </c>
      <c r="I1035" s="95">
        <f>IF(AND(Tracking[[#This Row],[Type]]="Income", shift_late_income_status="Active", DAY(Tracking[[#This Row],[Date]])&gt;=shift_late_income_starting_day),
      DATE(YEAR(Tracking[[#This Row],[Date]]), MONTH(Tracking[[#This Row],[Date]])+1, 1),
      Tracking[[#This Row],[Date]])</f>
        <v>0</v>
      </c>
    </row>
    <row r="1036" spans="3:9" x14ac:dyDescent="0.2">
      <c r="C1036" s="94"/>
      <c r="D1036" s="32"/>
      <c r="E1036" s="32"/>
      <c r="F1036" s="34"/>
      <c r="G1036" s="35"/>
      <c r="H1036" s="37" cm="1">
        <f t="array" ref="H1036">IFERROR(SUMPRODUCT(Tracking[Amount], --(Tracking[Date]&lt;=Tracking[[#This Row],[Date]]), (Tracking[Type]&lt;&gt;"Income") * (-1) + (Tracking[Type]="Income")), "-")</f>
        <v>0</v>
      </c>
      <c r="I1036" s="95">
        <f>IF(AND(Tracking[[#This Row],[Type]]="Income", shift_late_income_status="Active", DAY(Tracking[[#This Row],[Date]])&gt;=shift_late_income_starting_day),
      DATE(YEAR(Tracking[[#This Row],[Date]]), MONTH(Tracking[[#This Row],[Date]])+1, 1),
      Tracking[[#This Row],[Date]])</f>
        <v>0</v>
      </c>
    </row>
    <row r="1037" spans="3:9" x14ac:dyDescent="0.2">
      <c r="C1037" s="94"/>
      <c r="D1037" s="32"/>
      <c r="E1037" s="32"/>
      <c r="F1037" s="34"/>
      <c r="G1037" s="35"/>
      <c r="H1037" s="37" cm="1">
        <f t="array" ref="H1037">IFERROR(SUMPRODUCT(Tracking[Amount], --(Tracking[Date]&lt;=Tracking[[#This Row],[Date]]), (Tracking[Type]&lt;&gt;"Income") * (-1) + (Tracking[Type]="Income")), "-")</f>
        <v>0</v>
      </c>
      <c r="I1037" s="95">
        <f>IF(AND(Tracking[[#This Row],[Type]]="Income", shift_late_income_status="Active", DAY(Tracking[[#This Row],[Date]])&gt;=shift_late_income_starting_day),
      DATE(YEAR(Tracking[[#This Row],[Date]]), MONTH(Tracking[[#This Row],[Date]])+1, 1),
      Tracking[[#This Row],[Date]])</f>
        <v>0</v>
      </c>
    </row>
    <row r="1038" spans="3:9" x14ac:dyDescent="0.2">
      <c r="C1038" s="94"/>
      <c r="D1038" s="32"/>
      <c r="E1038" s="32"/>
      <c r="F1038" s="34"/>
      <c r="G1038" s="35"/>
      <c r="H1038" s="37" cm="1">
        <f t="array" ref="H1038">IFERROR(SUMPRODUCT(Tracking[Amount], --(Tracking[Date]&lt;=Tracking[[#This Row],[Date]]), (Tracking[Type]&lt;&gt;"Income") * (-1) + (Tracking[Type]="Income")), "-")</f>
        <v>0</v>
      </c>
      <c r="I1038" s="95">
        <f>IF(AND(Tracking[[#This Row],[Type]]="Income", shift_late_income_status="Active", DAY(Tracking[[#This Row],[Date]])&gt;=shift_late_income_starting_day),
      DATE(YEAR(Tracking[[#This Row],[Date]]), MONTH(Tracking[[#This Row],[Date]])+1, 1),
      Tracking[[#This Row],[Date]])</f>
        <v>0</v>
      </c>
    </row>
    <row r="1039" spans="3:9" x14ac:dyDescent="0.2">
      <c r="C1039" s="94"/>
      <c r="D1039" s="32"/>
      <c r="E1039" s="32"/>
      <c r="F1039" s="34"/>
      <c r="G1039" s="35"/>
      <c r="H1039" s="37" cm="1">
        <f t="array" ref="H1039">IFERROR(SUMPRODUCT(Tracking[Amount], --(Tracking[Date]&lt;=Tracking[[#This Row],[Date]]), (Tracking[Type]&lt;&gt;"Income") * (-1) + (Tracking[Type]="Income")), "-")</f>
        <v>0</v>
      </c>
      <c r="I1039" s="95">
        <f>IF(AND(Tracking[[#This Row],[Type]]="Income", shift_late_income_status="Active", DAY(Tracking[[#This Row],[Date]])&gt;=shift_late_income_starting_day),
      DATE(YEAR(Tracking[[#This Row],[Date]]), MONTH(Tracking[[#This Row],[Date]])+1, 1),
      Tracking[[#This Row],[Date]])</f>
        <v>0</v>
      </c>
    </row>
    <row r="1040" spans="3:9" x14ac:dyDescent="0.2">
      <c r="C1040" s="94"/>
      <c r="D1040" s="32"/>
      <c r="E1040" s="32"/>
      <c r="F1040" s="34"/>
      <c r="G1040" s="35"/>
      <c r="H1040" s="37" cm="1">
        <f t="array" ref="H1040">IFERROR(SUMPRODUCT(Tracking[Amount], --(Tracking[Date]&lt;=Tracking[[#This Row],[Date]]), (Tracking[Type]&lt;&gt;"Income") * (-1) + (Tracking[Type]="Income")), "-")</f>
        <v>0</v>
      </c>
      <c r="I1040" s="95">
        <f>IF(AND(Tracking[[#This Row],[Type]]="Income", shift_late_income_status="Active", DAY(Tracking[[#This Row],[Date]])&gt;=shift_late_income_starting_day),
      DATE(YEAR(Tracking[[#This Row],[Date]]), MONTH(Tracking[[#This Row],[Date]])+1, 1),
      Tracking[[#This Row],[Date]])</f>
        <v>0</v>
      </c>
    </row>
    <row r="1041" spans="3:9" x14ac:dyDescent="0.2">
      <c r="C1041" s="94"/>
      <c r="D1041" s="32"/>
      <c r="E1041" s="32"/>
      <c r="F1041" s="34"/>
      <c r="G1041" s="35"/>
      <c r="H1041" s="37" cm="1">
        <f t="array" ref="H1041">IFERROR(SUMPRODUCT(Tracking[Amount], --(Tracking[Date]&lt;=Tracking[[#This Row],[Date]]), (Tracking[Type]&lt;&gt;"Income") * (-1) + (Tracking[Type]="Income")), "-")</f>
        <v>0</v>
      </c>
      <c r="I1041" s="95">
        <f>IF(AND(Tracking[[#This Row],[Type]]="Income", shift_late_income_status="Active", DAY(Tracking[[#This Row],[Date]])&gt;=shift_late_income_starting_day),
      DATE(YEAR(Tracking[[#This Row],[Date]]), MONTH(Tracking[[#This Row],[Date]])+1, 1),
      Tracking[[#This Row],[Date]])</f>
        <v>0</v>
      </c>
    </row>
    <row r="1042" spans="3:9" x14ac:dyDescent="0.2">
      <c r="C1042" s="94"/>
      <c r="D1042" s="32"/>
      <c r="E1042" s="32"/>
      <c r="F1042" s="34"/>
      <c r="G1042" s="35"/>
      <c r="H1042" s="37" cm="1">
        <f t="array" ref="H1042">IFERROR(SUMPRODUCT(Tracking[Amount], --(Tracking[Date]&lt;=Tracking[[#This Row],[Date]]), (Tracking[Type]&lt;&gt;"Income") * (-1) + (Tracking[Type]="Income")), "-")</f>
        <v>0</v>
      </c>
      <c r="I1042" s="95">
        <f>IF(AND(Tracking[[#This Row],[Type]]="Income", shift_late_income_status="Active", DAY(Tracking[[#This Row],[Date]])&gt;=shift_late_income_starting_day),
      DATE(YEAR(Tracking[[#This Row],[Date]]), MONTH(Tracking[[#This Row],[Date]])+1, 1),
      Tracking[[#This Row],[Date]])</f>
        <v>0</v>
      </c>
    </row>
    <row r="1043" spans="3:9" x14ac:dyDescent="0.2">
      <c r="C1043" s="94"/>
      <c r="D1043" s="32"/>
      <c r="E1043" s="32"/>
      <c r="F1043" s="34"/>
      <c r="G1043" s="35"/>
      <c r="H1043" s="37" cm="1">
        <f t="array" ref="H1043">IFERROR(SUMPRODUCT(Tracking[Amount], --(Tracking[Date]&lt;=Tracking[[#This Row],[Date]]), (Tracking[Type]&lt;&gt;"Income") * (-1) + (Tracking[Type]="Income")), "-")</f>
        <v>0</v>
      </c>
      <c r="I1043" s="95">
        <f>IF(AND(Tracking[[#This Row],[Type]]="Income", shift_late_income_status="Active", DAY(Tracking[[#This Row],[Date]])&gt;=shift_late_income_starting_day),
      DATE(YEAR(Tracking[[#This Row],[Date]]), MONTH(Tracking[[#This Row],[Date]])+1, 1),
      Tracking[[#This Row],[Date]])</f>
        <v>0</v>
      </c>
    </row>
    <row r="1044" spans="3:9" x14ac:dyDescent="0.2">
      <c r="C1044" s="94"/>
      <c r="D1044" s="32"/>
      <c r="E1044" s="32"/>
      <c r="F1044" s="34"/>
      <c r="G1044" s="35"/>
      <c r="H1044" s="37" cm="1">
        <f t="array" ref="H1044">IFERROR(SUMPRODUCT(Tracking[Amount], --(Tracking[Date]&lt;=Tracking[[#This Row],[Date]]), (Tracking[Type]&lt;&gt;"Income") * (-1) + (Tracking[Type]="Income")), "-")</f>
        <v>0</v>
      </c>
      <c r="I1044" s="95">
        <f>IF(AND(Tracking[[#This Row],[Type]]="Income", shift_late_income_status="Active", DAY(Tracking[[#This Row],[Date]])&gt;=shift_late_income_starting_day),
      DATE(YEAR(Tracking[[#This Row],[Date]]), MONTH(Tracking[[#This Row],[Date]])+1, 1),
      Tracking[[#This Row],[Date]])</f>
        <v>0</v>
      </c>
    </row>
    <row r="1045" spans="3:9" x14ac:dyDescent="0.2">
      <c r="C1045" s="94"/>
      <c r="D1045" s="32"/>
      <c r="E1045" s="32"/>
      <c r="F1045" s="34"/>
      <c r="G1045" s="35"/>
      <c r="H1045" s="37" cm="1">
        <f t="array" ref="H1045">IFERROR(SUMPRODUCT(Tracking[Amount], --(Tracking[Date]&lt;=Tracking[[#This Row],[Date]]), (Tracking[Type]&lt;&gt;"Income") * (-1) + (Tracking[Type]="Income")), "-")</f>
        <v>0</v>
      </c>
      <c r="I1045" s="95">
        <f>IF(AND(Tracking[[#This Row],[Type]]="Income", shift_late_income_status="Active", DAY(Tracking[[#This Row],[Date]])&gt;=shift_late_income_starting_day),
      DATE(YEAR(Tracking[[#This Row],[Date]]), MONTH(Tracking[[#This Row],[Date]])+1, 1),
      Tracking[[#This Row],[Date]])</f>
        <v>0</v>
      </c>
    </row>
    <row r="1046" spans="3:9" x14ac:dyDescent="0.2">
      <c r="C1046" s="94"/>
      <c r="D1046" s="32"/>
      <c r="E1046" s="32"/>
      <c r="F1046" s="34"/>
      <c r="G1046" s="35"/>
      <c r="H1046" s="37" cm="1">
        <f t="array" ref="H1046">IFERROR(SUMPRODUCT(Tracking[Amount], --(Tracking[Date]&lt;=Tracking[[#This Row],[Date]]), (Tracking[Type]&lt;&gt;"Income") * (-1) + (Tracking[Type]="Income")), "-")</f>
        <v>0</v>
      </c>
      <c r="I1046" s="95">
        <f>IF(AND(Tracking[[#This Row],[Type]]="Income", shift_late_income_status="Active", DAY(Tracking[[#This Row],[Date]])&gt;=shift_late_income_starting_day),
      DATE(YEAR(Tracking[[#This Row],[Date]]), MONTH(Tracking[[#This Row],[Date]])+1, 1),
      Tracking[[#This Row],[Date]])</f>
        <v>0</v>
      </c>
    </row>
    <row r="1047" spans="3:9" x14ac:dyDescent="0.2">
      <c r="C1047" s="94"/>
      <c r="D1047" s="32"/>
      <c r="E1047" s="32"/>
      <c r="F1047" s="34"/>
      <c r="G1047" s="35"/>
      <c r="H1047" s="37" cm="1">
        <f t="array" ref="H1047">IFERROR(SUMPRODUCT(Tracking[Amount], --(Tracking[Date]&lt;=Tracking[[#This Row],[Date]]), (Tracking[Type]&lt;&gt;"Income") * (-1) + (Tracking[Type]="Income")), "-")</f>
        <v>0</v>
      </c>
      <c r="I1047" s="95">
        <f>IF(AND(Tracking[[#This Row],[Type]]="Income", shift_late_income_status="Active", DAY(Tracking[[#This Row],[Date]])&gt;=shift_late_income_starting_day),
      DATE(YEAR(Tracking[[#This Row],[Date]]), MONTH(Tracking[[#This Row],[Date]])+1, 1),
      Tracking[[#This Row],[Date]])</f>
        <v>0</v>
      </c>
    </row>
    <row r="1048" spans="3:9" x14ac:dyDescent="0.2">
      <c r="C1048" s="94"/>
      <c r="D1048" s="32"/>
      <c r="E1048" s="32"/>
      <c r="F1048" s="34"/>
      <c r="G1048" s="35"/>
      <c r="H1048" s="37" cm="1">
        <f t="array" ref="H1048">IFERROR(SUMPRODUCT(Tracking[Amount], --(Tracking[Date]&lt;=Tracking[[#This Row],[Date]]), (Tracking[Type]&lt;&gt;"Income") * (-1) + (Tracking[Type]="Income")), "-")</f>
        <v>0</v>
      </c>
      <c r="I1048" s="95">
        <f>IF(AND(Tracking[[#This Row],[Type]]="Income", shift_late_income_status="Active", DAY(Tracking[[#This Row],[Date]])&gt;=shift_late_income_starting_day),
      DATE(YEAR(Tracking[[#This Row],[Date]]), MONTH(Tracking[[#This Row],[Date]])+1, 1),
      Tracking[[#This Row],[Date]])</f>
        <v>0</v>
      </c>
    </row>
    <row r="1049" spans="3:9" x14ac:dyDescent="0.2">
      <c r="C1049" s="94"/>
      <c r="D1049" s="32"/>
      <c r="E1049" s="32"/>
      <c r="F1049" s="34"/>
      <c r="G1049" s="35"/>
      <c r="H1049" s="37" cm="1">
        <f t="array" ref="H1049">IFERROR(SUMPRODUCT(Tracking[Amount], --(Tracking[Date]&lt;=Tracking[[#This Row],[Date]]), (Tracking[Type]&lt;&gt;"Income") * (-1) + (Tracking[Type]="Income")), "-")</f>
        <v>0</v>
      </c>
      <c r="I1049" s="95">
        <f>IF(AND(Tracking[[#This Row],[Type]]="Income", shift_late_income_status="Active", DAY(Tracking[[#This Row],[Date]])&gt;=shift_late_income_starting_day),
      DATE(YEAR(Tracking[[#This Row],[Date]]), MONTH(Tracking[[#This Row],[Date]])+1, 1),
      Tracking[[#This Row],[Date]])</f>
        <v>0</v>
      </c>
    </row>
    <row r="1050" spans="3:9" x14ac:dyDescent="0.2">
      <c r="C1050" s="94"/>
      <c r="D1050" s="32"/>
      <c r="E1050" s="32"/>
      <c r="F1050" s="34"/>
      <c r="G1050" s="35"/>
      <c r="H1050" s="37" cm="1">
        <f t="array" ref="H1050">IFERROR(SUMPRODUCT(Tracking[Amount], --(Tracking[Date]&lt;=Tracking[[#This Row],[Date]]), (Tracking[Type]&lt;&gt;"Income") * (-1) + (Tracking[Type]="Income")), "-")</f>
        <v>0</v>
      </c>
      <c r="I1050" s="95">
        <f>IF(AND(Tracking[[#This Row],[Type]]="Income", shift_late_income_status="Active", DAY(Tracking[[#This Row],[Date]])&gt;=shift_late_income_starting_day),
      DATE(YEAR(Tracking[[#This Row],[Date]]), MONTH(Tracking[[#This Row],[Date]])+1, 1),
      Tracking[[#This Row],[Date]])</f>
        <v>0</v>
      </c>
    </row>
    <row r="1051" spans="3:9" x14ac:dyDescent="0.2">
      <c r="C1051" s="94"/>
      <c r="D1051" s="32"/>
      <c r="E1051" s="32"/>
      <c r="F1051" s="34"/>
      <c r="G1051" s="35"/>
      <c r="H1051" s="37" cm="1">
        <f t="array" ref="H1051">IFERROR(SUMPRODUCT(Tracking[Amount], --(Tracking[Date]&lt;=Tracking[[#This Row],[Date]]), (Tracking[Type]&lt;&gt;"Income") * (-1) + (Tracking[Type]="Income")), "-")</f>
        <v>0</v>
      </c>
      <c r="I1051" s="95">
        <f>IF(AND(Tracking[[#This Row],[Type]]="Income", shift_late_income_status="Active", DAY(Tracking[[#This Row],[Date]])&gt;=shift_late_income_starting_day),
      DATE(YEAR(Tracking[[#This Row],[Date]]), MONTH(Tracking[[#This Row],[Date]])+1, 1),
      Tracking[[#This Row],[Date]])</f>
        <v>0</v>
      </c>
    </row>
    <row r="1052" spans="3:9" x14ac:dyDescent="0.2">
      <c r="C1052" s="94"/>
      <c r="D1052" s="32"/>
      <c r="E1052" s="32"/>
      <c r="F1052" s="34"/>
      <c r="G1052" s="35"/>
      <c r="H1052" s="37" cm="1">
        <f t="array" ref="H1052">IFERROR(SUMPRODUCT(Tracking[Amount], --(Tracking[Date]&lt;=Tracking[[#This Row],[Date]]), (Tracking[Type]&lt;&gt;"Income") * (-1) + (Tracking[Type]="Income")), "-")</f>
        <v>0</v>
      </c>
      <c r="I1052" s="95">
        <f>IF(AND(Tracking[[#This Row],[Type]]="Income", shift_late_income_status="Active", DAY(Tracking[[#This Row],[Date]])&gt;=shift_late_income_starting_day),
      DATE(YEAR(Tracking[[#This Row],[Date]]), MONTH(Tracking[[#This Row],[Date]])+1, 1),
      Tracking[[#This Row],[Date]])</f>
        <v>0</v>
      </c>
    </row>
    <row r="1053" spans="3:9" x14ac:dyDescent="0.2">
      <c r="C1053" s="94"/>
      <c r="D1053" s="32"/>
      <c r="E1053" s="32"/>
      <c r="F1053" s="34"/>
      <c r="G1053" s="35"/>
      <c r="H1053" s="37" cm="1">
        <f t="array" ref="H1053">IFERROR(SUMPRODUCT(Tracking[Amount], --(Tracking[Date]&lt;=Tracking[[#This Row],[Date]]), (Tracking[Type]&lt;&gt;"Income") * (-1) + (Tracking[Type]="Income")), "-")</f>
        <v>0</v>
      </c>
      <c r="I1053" s="95">
        <f>IF(AND(Tracking[[#This Row],[Type]]="Income", shift_late_income_status="Active", DAY(Tracking[[#This Row],[Date]])&gt;=shift_late_income_starting_day),
      DATE(YEAR(Tracking[[#This Row],[Date]]), MONTH(Tracking[[#This Row],[Date]])+1, 1),
      Tracking[[#This Row],[Date]])</f>
        <v>0</v>
      </c>
    </row>
    <row r="1054" spans="3:9" x14ac:dyDescent="0.2">
      <c r="C1054" s="94"/>
      <c r="D1054" s="32"/>
      <c r="E1054" s="32"/>
      <c r="F1054" s="34"/>
      <c r="G1054" s="35"/>
      <c r="H1054" s="37" cm="1">
        <f t="array" ref="H1054">IFERROR(SUMPRODUCT(Tracking[Amount], --(Tracking[Date]&lt;=Tracking[[#This Row],[Date]]), (Tracking[Type]&lt;&gt;"Income") * (-1) + (Tracking[Type]="Income")), "-")</f>
        <v>0</v>
      </c>
      <c r="I1054" s="95">
        <f>IF(AND(Tracking[[#This Row],[Type]]="Income", shift_late_income_status="Active", DAY(Tracking[[#This Row],[Date]])&gt;=shift_late_income_starting_day),
      DATE(YEAR(Tracking[[#This Row],[Date]]), MONTH(Tracking[[#This Row],[Date]])+1, 1),
      Tracking[[#This Row],[Date]])</f>
        <v>0</v>
      </c>
    </row>
    <row r="1055" spans="3:9" x14ac:dyDescent="0.2">
      <c r="C1055" s="94"/>
      <c r="D1055" s="32"/>
      <c r="E1055" s="32"/>
      <c r="F1055" s="34"/>
      <c r="G1055" s="35"/>
      <c r="H1055" s="37" cm="1">
        <f t="array" ref="H1055">IFERROR(SUMPRODUCT(Tracking[Amount], --(Tracking[Date]&lt;=Tracking[[#This Row],[Date]]), (Tracking[Type]&lt;&gt;"Income") * (-1) + (Tracking[Type]="Income")), "-")</f>
        <v>0</v>
      </c>
      <c r="I1055" s="95">
        <f>IF(AND(Tracking[[#This Row],[Type]]="Income", shift_late_income_status="Active", DAY(Tracking[[#This Row],[Date]])&gt;=shift_late_income_starting_day),
      DATE(YEAR(Tracking[[#This Row],[Date]]), MONTH(Tracking[[#This Row],[Date]])+1, 1),
      Tracking[[#This Row],[Date]])</f>
        <v>0</v>
      </c>
    </row>
    <row r="1056" spans="3:9" x14ac:dyDescent="0.2">
      <c r="C1056" s="94"/>
      <c r="D1056" s="32"/>
      <c r="E1056" s="32"/>
      <c r="F1056" s="34"/>
      <c r="G1056" s="35"/>
      <c r="H1056" s="37" cm="1">
        <f t="array" ref="H1056">IFERROR(SUMPRODUCT(Tracking[Amount], --(Tracking[Date]&lt;=Tracking[[#This Row],[Date]]), (Tracking[Type]&lt;&gt;"Income") * (-1) + (Tracking[Type]="Income")), "-")</f>
        <v>0</v>
      </c>
      <c r="I1056" s="95">
        <f>IF(AND(Tracking[[#This Row],[Type]]="Income", shift_late_income_status="Active", DAY(Tracking[[#This Row],[Date]])&gt;=shift_late_income_starting_day),
      DATE(YEAR(Tracking[[#This Row],[Date]]), MONTH(Tracking[[#This Row],[Date]])+1, 1),
      Tracking[[#This Row],[Date]])</f>
        <v>0</v>
      </c>
    </row>
    <row r="1057" spans="3:9" x14ac:dyDescent="0.2">
      <c r="C1057" s="94"/>
      <c r="D1057" s="32"/>
      <c r="E1057" s="32"/>
      <c r="F1057" s="34"/>
      <c r="G1057" s="35"/>
      <c r="H1057" s="37" cm="1">
        <f t="array" ref="H1057">IFERROR(SUMPRODUCT(Tracking[Amount], --(Tracking[Date]&lt;=Tracking[[#This Row],[Date]]), (Tracking[Type]&lt;&gt;"Income") * (-1) + (Tracking[Type]="Income")), "-")</f>
        <v>0</v>
      </c>
      <c r="I1057" s="95">
        <f>IF(AND(Tracking[[#This Row],[Type]]="Income", shift_late_income_status="Active", DAY(Tracking[[#This Row],[Date]])&gt;=shift_late_income_starting_day),
      DATE(YEAR(Tracking[[#This Row],[Date]]), MONTH(Tracking[[#This Row],[Date]])+1, 1),
      Tracking[[#This Row],[Date]])</f>
        <v>0</v>
      </c>
    </row>
    <row r="1058" spans="3:9" x14ac:dyDescent="0.2">
      <c r="C1058" s="94"/>
      <c r="D1058" s="32"/>
      <c r="E1058" s="32"/>
      <c r="F1058" s="34"/>
      <c r="G1058" s="35"/>
      <c r="H1058" s="37" cm="1">
        <f t="array" ref="H1058">IFERROR(SUMPRODUCT(Tracking[Amount], --(Tracking[Date]&lt;=Tracking[[#This Row],[Date]]), (Tracking[Type]&lt;&gt;"Income") * (-1) + (Tracking[Type]="Income")), "-")</f>
        <v>0</v>
      </c>
      <c r="I1058" s="95">
        <f>IF(AND(Tracking[[#This Row],[Type]]="Income", shift_late_income_status="Active", DAY(Tracking[[#This Row],[Date]])&gt;=shift_late_income_starting_day),
      DATE(YEAR(Tracking[[#This Row],[Date]]), MONTH(Tracking[[#This Row],[Date]])+1, 1),
      Tracking[[#This Row],[Date]])</f>
        <v>0</v>
      </c>
    </row>
    <row r="1059" spans="3:9" x14ac:dyDescent="0.2">
      <c r="C1059" s="94"/>
      <c r="D1059" s="32"/>
      <c r="E1059" s="32"/>
      <c r="F1059" s="34"/>
      <c r="G1059" s="35"/>
      <c r="H1059" s="37" cm="1">
        <f t="array" ref="H1059">IFERROR(SUMPRODUCT(Tracking[Amount], --(Tracking[Date]&lt;=Tracking[[#This Row],[Date]]), (Tracking[Type]&lt;&gt;"Income") * (-1) + (Tracking[Type]="Income")), "-")</f>
        <v>0</v>
      </c>
      <c r="I1059" s="95">
        <f>IF(AND(Tracking[[#This Row],[Type]]="Income", shift_late_income_status="Active", DAY(Tracking[[#This Row],[Date]])&gt;=shift_late_income_starting_day),
      DATE(YEAR(Tracking[[#This Row],[Date]]), MONTH(Tracking[[#This Row],[Date]])+1, 1),
      Tracking[[#This Row],[Date]])</f>
        <v>0</v>
      </c>
    </row>
    <row r="1060" spans="3:9" x14ac:dyDescent="0.2">
      <c r="C1060" s="94"/>
      <c r="D1060" s="32"/>
      <c r="E1060" s="32"/>
      <c r="F1060" s="34"/>
      <c r="G1060" s="35"/>
      <c r="H1060" s="37" cm="1">
        <f t="array" ref="H1060">IFERROR(SUMPRODUCT(Tracking[Amount], --(Tracking[Date]&lt;=Tracking[[#This Row],[Date]]), (Tracking[Type]&lt;&gt;"Income") * (-1) + (Tracking[Type]="Income")), "-")</f>
        <v>0</v>
      </c>
      <c r="I1060" s="95">
        <f>IF(AND(Tracking[[#This Row],[Type]]="Income", shift_late_income_status="Active", DAY(Tracking[[#This Row],[Date]])&gt;=shift_late_income_starting_day),
      DATE(YEAR(Tracking[[#This Row],[Date]]), MONTH(Tracking[[#This Row],[Date]])+1, 1),
      Tracking[[#This Row],[Date]])</f>
        <v>0</v>
      </c>
    </row>
    <row r="1061" spans="3:9" x14ac:dyDescent="0.2">
      <c r="C1061" s="94"/>
      <c r="D1061" s="32"/>
      <c r="E1061" s="32"/>
      <c r="F1061" s="34"/>
      <c r="G1061" s="35"/>
      <c r="H1061" s="37" cm="1">
        <f t="array" ref="H1061">IFERROR(SUMPRODUCT(Tracking[Amount], --(Tracking[Date]&lt;=Tracking[[#This Row],[Date]]), (Tracking[Type]&lt;&gt;"Income") * (-1) + (Tracking[Type]="Income")), "-")</f>
        <v>0</v>
      </c>
      <c r="I1061" s="95">
        <f>IF(AND(Tracking[[#This Row],[Type]]="Income", shift_late_income_status="Active", DAY(Tracking[[#This Row],[Date]])&gt;=shift_late_income_starting_day),
      DATE(YEAR(Tracking[[#This Row],[Date]]), MONTH(Tracking[[#This Row],[Date]])+1, 1),
      Tracking[[#This Row],[Date]])</f>
        <v>0</v>
      </c>
    </row>
    <row r="1062" spans="3:9" x14ac:dyDescent="0.2">
      <c r="C1062" s="94"/>
      <c r="D1062" s="32"/>
      <c r="E1062" s="32"/>
      <c r="F1062" s="34"/>
      <c r="G1062" s="35"/>
      <c r="H1062" s="37" cm="1">
        <f t="array" ref="H1062">IFERROR(SUMPRODUCT(Tracking[Amount], --(Tracking[Date]&lt;=Tracking[[#This Row],[Date]]), (Tracking[Type]&lt;&gt;"Income") * (-1) + (Tracking[Type]="Income")), "-")</f>
        <v>0</v>
      </c>
      <c r="I1062" s="95">
        <f>IF(AND(Tracking[[#This Row],[Type]]="Income", shift_late_income_status="Active", DAY(Tracking[[#This Row],[Date]])&gt;=shift_late_income_starting_day),
      DATE(YEAR(Tracking[[#This Row],[Date]]), MONTH(Tracking[[#This Row],[Date]])+1, 1),
      Tracking[[#This Row],[Date]])</f>
        <v>0</v>
      </c>
    </row>
    <row r="1063" spans="3:9" x14ac:dyDescent="0.2">
      <c r="C1063" s="94"/>
      <c r="D1063" s="32"/>
      <c r="E1063" s="32"/>
      <c r="F1063" s="34"/>
      <c r="G1063" s="35"/>
      <c r="H1063" s="37" cm="1">
        <f t="array" ref="H1063">IFERROR(SUMPRODUCT(Tracking[Amount], --(Tracking[Date]&lt;=Tracking[[#This Row],[Date]]), (Tracking[Type]&lt;&gt;"Income") * (-1) + (Tracking[Type]="Income")), "-")</f>
        <v>0</v>
      </c>
      <c r="I1063" s="95">
        <f>IF(AND(Tracking[[#This Row],[Type]]="Income", shift_late_income_status="Active", DAY(Tracking[[#This Row],[Date]])&gt;=shift_late_income_starting_day),
      DATE(YEAR(Tracking[[#This Row],[Date]]), MONTH(Tracking[[#This Row],[Date]])+1, 1),
      Tracking[[#This Row],[Date]])</f>
        <v>0</v>
      </c>
    </row>
    <row r="1064" spans="3:9" x14ac:dyDescent="0.2">
      <c r="C1064" s="94"/>
      <c r="D1064" s="32"/>
      <c r="E1064" s="32"/>
      <c r="F1064" s="34"/>
      <c r="G1064" s="35"/>
      <c r="H1064" s="37" cm="1">
        <f t="array" ref="H1064">IFERROR(SUMPRODUCT(Tracking[Amount], --(Tracking[Date]&lt;=Tracking[[#This Row],[Date]]), (Tracking[Type]&lt;&gt;"Income") * (-1) + (Tracking[Type]="Income")), "-")</f>
        <v>0</v>
      </c>
      <c r="I1064" s="95">
        <f>IF(AND(Tracking[[#This Row],[Type]]="Income", shift_late_income_status="Active", DAY(Tracking[[#This Row],[Date]])&gt;=shift_late_income_starting_day),
      DATE(YEAR(Tracking[[#This Row],[Date]]), MONTH(Tracking[[#This Row],[Date]])+1, 1),
      Tracking[[#This Row],[Date]])</f>
        <v>0</v>
      </c>
    </row>
    <row r="1065" spans="3:9" x14ac:dyDescent="0.2">
      <c r="C1065" s="94"/>
      <c r="D1065" s="32"/>
      <c r="E1065" s="32"/>
      <c r="F1065" s="34"/>
      <c r="G1065" s="35"/>
      <c r="H1065" s="37" cm="1">
        <f t="array" ref="H1065">IFERROR(SUMPRODUCT(Tracking[Amount], --(Tracking[Date]&lt;=Tracking[[#This Row],[Date]]), (Tracking[Type]&lt;&gt;"Income") * (-1) + (Tracking[Type]="Income")), "-")</f>
        <v>0</v>
      </c>
      <c r="I1065" s="95">
        <f>IF(AND(Tracking[[#This Row],[Type]]="Income", shift_late_income_status="Active", DAY(Tracking[[#This Row],[Date]])&gt;=shift_late_income_starting_day),
      DATE(YEAR(Tracking[[#This Row],[Date]]), MONTH(Tracking[[#This Row],[Date]])+1, 1),
      Tracking[[#This Row],[Date]])</f>
        <v>0</v>
      </c>
    </row>
    <row r="1066" spans="3:9" x14ac:dyDescent="0.2">
      <c r="C1066" s="94"/>
      <c r="D1066" s="32"/>
      <c r="E1066" s="32"/>
      <c r="F1066" s="34"/>
      <c r="G1066" s="35"/>
      <c r="H1066" s="37" cm="1">
        <f t="array" ref="H1066">IFERROR(SUMPRODUCT(Tracking[Amount], --(Tracking[Date]&lt;=Tracking[[#This Row],[Date]]), (Tracking[Type]&lt;&gt;"Income") * (-1) + (Tracking[Type]="Income")), "-")</f>
        <v>0</v>
      </c>
      <c r="I1066" s="95">
        <f>IF(AND(Tracking[[#This Row],[Type]]="Income", shift_late_income_status="Active", DAY(Tracking[[#This Row],[Date]])&gt;=shift_late_income_starting_day),
      DATE(YEAR(Tracking[[#This Row],[Date]]), MONTH(Tracking[[#This Row],[Date]])+1, 1),
      Tracking[[#This Row],[Date]])</f>
        <v>0</v>
      </c>
    </row>
    <row r="1067" spans="3:9" x14ac:dyDescent="0.2">
      <c r="C1067" s="94"/>
      <c r="D1067" s="32"/>
      <c r="E1067" s="32"/>
      <c r="F1067" s="34"/>
      <c r="G1067" s="35"/>
      <c r="H1067" s="37" cm="1">
        <f t="array" ref="H1067">IFERROR(SUMPRODUCT(Tracking[Amount], --(Tracking[Date]&lt;=Tracking[[#This Row],[Date]]), (Tracking[Type]&lt;&gt;"Income") * (-1) + (Tracking[Type]="Income")), "-")</f>
        <v>0</v>
      </c>
      <c r="I1067" s="95">
        <f>IF(AND(Tracking[[#This Row],[Type]]="Income", shift_late_income_status="Active", DAY(Tracking[[#This Row],[Date]])&gt;=shift_late_income_starting_day),
      DATE(YEAR(Tracking[[#This Row],[Date]]), MONTH(Tracking[[#This Row],[Date]])+1, 1),
      Tracking[[#This Row],[Date]])</f>
        <v>0</v>
      </c>
    </row>
    <row r="1068" spans="3:9" x14ac:dyDescent="0.2">
      <c r="C1068" s="94"/>
      <c r="D1068" s="32"/>
      <c r="E1068" s="32"/>
      <c r="F1068" s="34"/>
      <c r="G1068" s="35"/>
      <c r="H1068" s="37" cm="1">
        <f t="array" ref="H1068">IFERROR(SUMPRODUCT(Tracking[Amount], --(Tracking[Date]&lt;=Tracking[[#This Row],[Date]]), (Tracking[Type]&lt;&gt;"Income") * (-1) + (Tracking[Type]="Income")), "-")</f>
        <v>0</v>
      </c>
      <c r="I1068" s="95">
        <f>IF(AND(Tracking[[#This Row],[Type]]="Income", shift_late_income_status="Active", DAY(Tracking[[#This Row],[Date]])&gt;=shift_late_income_starting_day),
      DATE(YEAR(Tracking[[#This Row],[Date]]), MONTH(Tracking[[#This Row],[Date]])+1, 1),
      Tracking[[#This Row],[Date]])</f>
        <v>0</v>
      </c>
    </row>
    <row r="1069" spans="3:9" x14ac:dyDescent="0.2">
      <c r="C1069" s="94"/>
      <c r="D1069" s="32"/>
      <c r="E1069" s="32"/>
      <c r="F1069" s="34"/>
      <c r="G1069" s="35"/>
      <c r="H1069" s="37" cm="1">
        <f t="array" ref="H1069">IFERROR(SUMPRODUCT(Tracking[Amount], --(Tracking[Date]&lt;=Tracking[[#This Row],[Date]]), (Tracking[Type]&lt;&gt;"Income") * (-1) + (Tracking[Type]="Income")), "-")</f>
        <v>0</v>
      </c>
      <c r="I1069" s="95">
        <f>IF(AND(Tracking[[#This Row],[Type]]="Income", shift_late_income_status="Active", DAY(Tracking[[#This Row],[Date]])&gt;=shift_late_income_starting_day),
      DATE(YEAR(Tracking[[#This Row],[Date]]), MONTH(Tracking[[#This Row],[Date]])+1, 1),
      Tracking[[#This Row],[Date]])</f>
        <v>0</v>
      </c>
    </row>
    <row r="1070" spans="3:9" x14ac:dyDescent="0.2">
      <c r="C1070" s="94"/>
      <c r="D1070" s="32"/>
      <c r="E1070" s="32"/>
      <c r="F1070" s="34"/>
      <c r="G1070" s="35"/>
      <c r="H1070" s="37" cm="1">
        <f t="array" ref="H1070">IFERROR(SUMPRODUCT(Tracking[Amount], --(Tracking[Date]&lt;=Tracking[[#This Row],[Date]]), (Tracking[Type]&lt;&gt;"Income") * (-1) + (Tracking[Type]="Income")), "-")</f>
        <v>0</v>
      </c>
      <c r="I1070" s="95">
        <f>IF(AND(Tracking[[#This Row],[Type]]="Income", shift_late_income_status="Active", DAY(Tracking[[#This Row],[Date]])&gt;=shift_late_income_starting_day),
      DATE(YEAR(Tracking[[#This Row],[Date]]), MONTH(Tracking[[#This Row],[Date]])+1, 1),
      Tracking[[#This Row],[Date]])</f>
        <v>0</v>
      </c>
    </row>
    <row r="1071" spans="3:9" x14ac:dyDescent="0.2">
      <c r="C1071" s="94"/>
      <c r="D1071" s="32"/>
      <c r="E1071" s="32"/>
      <c r="F1071" s="34"/>
      <c r="G1071" s="35"/>
      <c r="H1071" s="37" cm="1">
        <f t="array" ref="H1071">IFERROR(SUMPRODUCT(Tracking[Amount], --(Tracking[Date]&lt;=Tracking[[#This Row],[Date]]), (Tracking[Type]&lt;&gt;"Income") * (-1) + (Tracking[Type]="Income")), "-")</f>
        <v>0</v>
      </c>
      <c r="I1071" s="95">
        <f>IF(AND(Tracking[[#This Row],[Type]]="Income", shift_late_income_status="Active", DAY(Tracking[[#This Row],[Date]])&gt;=shift_late_income_starting_day),
      DATE(YEAR(Tracking[[#This Row],[Date]]), MONTH(Tracking[[#This Row],[Date]])+1, 1),
      Tracking[[#This Row],[Date]])</f>
        <v>0</v>
      </c>
    </row>
    <row r="1072" spans="3:9" x14ac:dyDescent="0.2">
      <c r="C1072" s="94"/>
      <c r="D1072" s="32"/>
      <c r="E1072" s="32"/>
      <c r="F1072" s="34"/>
      <c r="G1072" s="35"/>
      <c r="H1072" s="37" cm="1">
        <f t="array" ref="H1072">IFERROR(SUMPRODUCT(Tracking[Amount], --(Tracking[Date]&lt;=Tracking[[#This Row],[Date]]), (Tracking[Type]&lt;&gt;"Income") * (-1) + (Tracking[Type]="Income")), "-")</f>
        <v>0</v>
      </c>
      <c r="I1072" s="95">
        <f>IF(AND(Tracking[[#This Row],[Type]]="Income", shift_late_income_status="Active", DAY(Tracking[[#This Row],[Date]])&gt;=shift_late_income_starting_day),
      DATE(YEAR(Tracking[[#This Row],[Date]]), MONTH(Tracking[[#This Row],[Date]])+1, 1),
      Tracking[[#This Row],[Date]])</f>
        <v>0</v>
      </c>
    </row>
    <row r="1073" spans="3:9" x14ac:dyDescent="0.2">
      <c r="C1073" s="94"/>
      <c r="D1073" s="32"/>
      <c r="E1073" s="32"/>
      <c r="F1073" s="34"/>
      <c r="G1073" s="35"/>
      <c r="H1073" s="37" cm="1">
        <f t="array" ref="H1073">IFERROR(SUMPRODUCT(Tracking[Amount], --(Tracking[Date]&lt;=Tracking[[#This Row],[Date]]), (Tracking[Type]&lt;&gt;"Income") * (-1) + (Tracking[Type]="Income")), "-")</f>
        <v>0</v>
      </c>
      <c r="I1073" s="95">
        <f>IF(AND(Tracking[[#This Row],[Type]]="Income", shift_late_income_status="Active", DAY(Tracking[[#This Row],[Date]])&gt;=shift_late_income_starting_day),
      DATE(YEAR(Tracking[[#This Row],[Date]]), MONTH(Tracking[[#This Row],[Date]])+1, 1),
      Tracking[[#This Row],[Date]])</f>
        <v>0</v>
      </c>
    </row>
    <row r="1074" spans="3:9" x14ac:dyDescent="0.2">
      <c r="C1074" s="94"/>
      <c r="D1074" s="32"/>
      <c r="E1074" s="32"/>
      <c r="F1074" s="34"/>
      <c r="G1074" s="35"/>
      <c r="H1074" s="37" cm="1">
        <f t="array" ref="H1074">IFERROR(SUMPRODUCT(Tracking[Amount], --(Tracking[Date]&lt;=Tracking[[#This Row],[Date]]), (Tracking[Type]&lt;&gt;"Income") * (-1) + (Tracking[Type]="Income")), "-")</f>
        <v>0</v>
      </c>
      <c r="I1074" s="95">
        <f>IF(AND(Tracking[[#This Row],[Type]]="Income", shift_late_income_status="Active", DAY(Tracking[[#This Row],[Date]])&gt;=shift_late_income_starting_day),
      DATE(YEAR(Tracking[[#This Row],[Date]]), MONTH(Tracking[[#This Row],[Date]])+1, 1),
      Tracking[[#This Row],[Date]])</f>
        <v>0</v>
      </c>
    </row>
    <row r="1075" spans="3:9" x14ac:dyDescent="0.2">
      <c r="C1075" s="94"/>
      <c r="D1075" s="32"/>
      <c r="E1075" s="32"/>
      <c r="F1075" s="34"/>
      <c r="G1075" s="35"/>
      <c r="H1075" s="37" cm="1">
        <f t="array" ref="H1075">IFERROR(SUMPRODUCT(Tracking[Amount], --(Tracking[Date]&lt;=Tracking[[#This Row],[Date]]), (Tracking[Type]&lt;&gt;"Income") * (-1) + (Tracking[Type]="Income")), "-")</f>
        <v>0</v>
      </c>
      <c r="I1075" s="95">
        <f>IF(AND(Tracking[[#This Row],[Type]]="Income", shift_late_income_status="Active", DAY(Tracking[[#This Row],[Date]])&gt;=shift_late_income_starting_day),
      DATE(YEAR(Tracking[[#This Row],[Date]]), MONTH(Tracking[[#This Row],[Date]])+1, 1),
      Tracking[[#This Row],[Date]])</f>
        <v>0</v>
      </c>
    </row>
    <row r="1076" spans="3:9" x14ac:dyDescent="0.2">
      <c r="C1076" s="94"/>
      <c r="D1076" s="32"/>
      <c r="E1076" s="32"/>
      <c r="F1076" s="34"/>
      <c r="G1076" s="35"/>
      <c r="H1076" s="37" cm="1">
        <f t="array" ref="H1076">IFERROR(SUMPRODUCT(Tracking[Amount], --(Tracking[Date]&lt;=Tracking[[#This Row],[Date]]), (Tracking[Type]&lt;&gt;"Income") * (-1) + (Tracking[Type]="Income")), "-")</f>
        <v>0</v>
      </c>
      <c r="I1076" s="95">
        <f>IF(AND(Tracking[[#This Row],[Type]]="Income", shift_late_income_status="Active", DAY(Tracking[[#This Row],[Date]])&gt;=shift_late_income_starting_day),
      DATE(YEAR(Tracking[[#This Row],[Date]]), MONTH(Tracking[[#This Row],[Date]])+1, 1),
      Tracking[[#This Row],[Date]])</f>
        <v>0</v>
      </c>
    </row>
    <row r="1077" spans="3:9" x14ac:dyDescent="0.2">
      <c r="C1077" s="94"/>
      <c r="D1077" s="32"/>
      <c r="E1077" s="32"/>
      <c r="F1077" s="34"/>
      <c r="G1077" s="35"/>
      <c r="H1077" s="37" cm="1">
        <f t="array" ref="H1077">IFERROR(SUMPRODUCT(Tracking[Amount], --(Tracking[Date]&lt;=Tracking[[#This Row],[Date]]), (Tracking[Type]&lt;&gt;"Income") * (-1) + (Tracking[Type]="Income")), "-")</f>
        <v>0</v>
      </c>
      <c r="I1077" s="95">
        <f>IF(AND(Tracking[[#This Row],[Type]]="Income", shift_late_income_status="Active", DAY(Tracking[[#This Row],[Date]])&gt;=shift_late_income_starting_day),
      DATE(YEAR(Tracking[[#This Row],[Date]]), MONTH(Tracking[[#This Row],[Date]])+1, 1),
      Tracking[[#This Row],[Date]])</f>
        <v>0</v>
      </c>
    </row>
    <row r="1078" spans="3:9" x14ac:dyDescent="0.2">
      <c r="C1078" s="94"/>
      <c r="D1078" s="32"/>
      <c r="E1078" s="32"/>
      <c r="F1078" s="34"/>
      <c r="G1078" s="35"/>
      <c r="H1078" s="37" cm="1">
        <f t="array" ref="H1078">IFERROR(SUMPRODUCT(Tracking[Amount], --(Tracking[Date]&lt;=Tracking[[#This Row],[Date]]), (Tracking[Type]&lt;&gt;"Income") * (-1) + (Tracking[Type]="Income")), "-")</f>
        <v>0</v>
      </c>
      <c r="I1078" s="95">
        <f>IF(AND(Tracking[[#This Row],[Type]]="Income", shift_late_income_status="Active", DAY(Tracking[[#This Row],[Date]])&gt;=shift_late_income_starting_day),
      DATE(YEAR(Tracking[[#This Row],[Date]]), MONTH(Tracking[[#This Row],[Date]])+1, 1),
      Tracking[[#This Row],[Date]])</f>
        <v>0</v>
      </c>
    </row>
    <row r="1079" spans="3:9" x14ac:dyDescent="0.2">
      <c r="C1079" s="94"/>
      <c r="D1079" s="32"/>
      <c r="E1079" s="32"/>
      <c r="F1079" s="34"/>
      <c r="G1079" s="35"/>
      <c r="H1079" s="37" cm="1">
        <f t="array" ref="H1079">IFERROR(SUMPRODUCT(Tracking[Amount], --(Tracking[Date]&lt;=Tracking[[#This Row],[Date]]), (Tracking[Type]&lt;&gt;"Income") * (-1) + (Tracking[Type]="Income")), "-")</f>
        <v>0</v>
      </c>
      <c r="I1079" s="95">
        <f>IF(AND(Tracking[[#This Row],[Type]]="Income", shift_late_income_status="Active", DAY(Tracking[[#This Row],[Date]])&gt;=shift_late_income_starting_day),
      DATE(YEAR(Tracking[[#This Row],[Date]]), MONTH(Tracking[[#This Row],[Date]])+1, 1),
      Tracking[[#This Row],[Date]])</f>
        <v>0</v>
      </c>
    </row>
    <row r="1080" spans="3:9" x14ac:dyDescent="0.2">
      <c r="C1080" s="94"/>
      <c r="D1080" s="32"/>
      <c r="E1080" s="32"/>
      <c r="F1080" s="34"/>
      <c r="G1080" s="35"/>
      <c r="H1080" s="37" cm="1">
        <f t="array" ref="H1080">IFERROR(SUMPRODUCT(Tracking[Amount], --(Tracking[Date]&lt;=Tracking[[#This Row],[Date]]), (Tracking[Type]&lt;&gt;"Income") * (-1) + (Tracking[Type]="Income")), "-")</f>
        <v>0</v>
      </c>
      <c r="I1080" s="95">
        <f>IF(AND(Tracking[[#This Row],[Type]]="Income", shift_late_income_status="Active", DAY(Tracking[[#This Row],[Date]])&gt;=shift_late_income_starting_day),
      DATE(YEAR(Tracking[[#This Row],[Date]]), MONTH(Tracking[[#This Row],[Date]])+1, 1),
      Tracking[[#This Row],[Date]])</f>
        <v>0</v>
      </c>
    </row>
    <row r="1081" spans="3:9" x14ac:dyDescent="0.2">
      <c r="C1081" s="94"/>
      <c r="D1081" s="32"/>
      <c r="E1081" s="32"/>
      <c r="F1081" s="34"/>
      <c r="G1081" s="35"/>
      <c r="H1081" s="37" cm="1">
        <f t="array" ref="H1081">IFERROR(SUMPRODUCT(Tracking[Amount], --(Tracking[Date]&lt;=Tracking[[#This Row],[Date]]), (Tracking[Type]&lt;&gt;"Income") * (-1) + (Tracking[Type]="Income")), "-")</f>
        <v>0</v>
      </c>
      <c r="I1081" s="95">
        <f>IF(AND(Tracking[[#This Row],[Type]]="Income", shift_late_income_status="Active", DAY(Tracking[[#This Row],[Date]])&gt;=shift_late_income_starting_day),
      DATE(YEAR(Tracking[[#This Row],[Date]]), MONTH(Tracking[[#This Row],[Date]])+1, 1),
      Tracking[[#This Row],[Date]])</f>
        <v>0</v>
      </c>
    </row>
    <row r="1082" spans="3:9" x14ac:dyDescent="0.2">
      <c r="C1082" s="94"/>
      <c r="D1082" s="32"/>
      <c r="E1082" s="32"/>
      <c r="F1082" s="34"/>
      <c r="G1082" s="35"/>
      <c r="H1082" s="37" cm="1">
        <f t="array" ref="H1082">IFERROR(SUMPRODUCT(Tracking[Amount], --(Tracking[Date]&lt;=Tracking[[#This Row],[Date]]), (Tracking[Type]&lt;&gt;"Income") * (-1) + (Tracking[Type]="Income")), "-")</f>
        <v>0</v>
      </c>
      <c r="I1082" s="95">
        <f>IF(AND(Tracking[[#This Row],[Type]]="Income", shift_late_income_status="Active", DAY(Tracking[[#This Row],[Date]])&gt;=shift_late_income_starting_day),
      DATE(YEAR(Tracking[[#This Row],[Date]]), MONTH(Tracking[[#This Row],[Date]])+1, 1),
      Tracking[[#This Row],[Date]])</f>
        <v>0</v>
      </c>
    </row>
    <row r="1083" spans="3:9" x14ac:dyDescent="0.2">
      <c r="C1083" s="94"/>
      <c r="D1083" s="32"/>
      <c r="E1083" s="32"/>
      <c r="F1083" s="34"/>
      <c r="G1083" s="35"/>
      <c r="H1083" s="37" cm="1">
        <f t="array" ref="H1083">IFERROR(SUMPRODUCT(Tracking[Amount], --(Tracking[Date]&lt;=Tracking[[#This Row],[Date]]), (Tracking[Type]&lt;&gt;"Income") * (-1) + (Tracking[Type]="Income")), "-")</f>
        <v>0</v>
      </c>
      <c r="I1083" s="95">
        <f>IF(AND(Tracking[[#This Row],[Type]]="Income", shift_late_income_status="Active", DAY(Tracking[[#This Row],[Date]])&gt;=shift_late_income_starting_day),
      DATE(YEAR(Tracking[[#This Row],[Date]]), MONTH(Tracking[[#This Row],[Date]])+1, 1),
      Tracking[[#This Row],[Date]])</f>
        <v>0</v>
      </c>
    </row>
    <row r="1084" spans="3:9" x14ac:dyDescent="0.2">
      <c r="C1084" s="94"/>
      <c r="D1084" s="32"/>
      <c r="E1084" s="32"/>
      <c r="F1084" s="34"/>
      <c r="G1084" s="35"/>
      <c r="H1084" s="37" cm="1">
        <f t="array" ref="H1084">IFERROR(SUMPRODUCT(Tracking[Amount], --(Tracking[Date]&lt;=Tracking[[#This Row],[Date]]), (Tracking[Type]&lt;&gt;"Income") * (-1) + (Tracking[Type]="Income")), "-")</f>
        <v>0</v>
      </c>
      <c r="I1084" s="95">
        <f>IF(AND(Tracking[[#This Row],[Type]]="Income", shift_late_income_status="Active", DAY(Tracking[[#This Row],[Date]])&gt;=shift_late_income_starting_day),
      DATE(YEAR(Tracking[[#This Row],[Date]]), MONTH(Tracking[[#This Row],[Date]])+1, 1),
      Tracking[[#This Row],[Date]])</f>
        <v>0</v>
      </c>
    </row>
    <row r="1085" spans="3:9" x14ac:dyDescent="0.2">
      <c r="C1085" s="94"/>
      <c r="D1085" s="32"/>
      <c r="E1085" s="32"/>
      <c r="F1085" s="34"/>
      <c r="G1085" s="35"/>
      <c r="H1085" s="37" cm="1">
        <f t="array" ref="H1085">IFERROR(SUMPRODUCT(Tracking[Amount], --(Tracking[Date]&lt;=Tracking[[#This Row],[Date]]), (Tracking[Type]&lt;&gt;"Income") * (-1) + (Tracking[Type]="Income")), "-")</f>
        <v>0</v>
      </c>
      <c r="I1085" s="95">
        <f>IF(AND(Tracking[[#This Row],[Type]]="Income", shift_late_income_status="Active", DAY(Tracking[[#This Row],[Date]])&gt;=shift_late_income_starting_day),
      DATE(YEAR(Tracking[[#This Row],[Date]]), MONTH(Tracking[[#This Row],[Date]])+1, 1),
      Tracking[[#This Row],[Date]])</f>
        <v>0</v>
      </c>
    </row>
    <row r="1086" spans="3:9" x14ac:dyDescent="0.2">
      <c r="C1086" s="94"/>
      <c r="D1086" s="32"/>
      <c r="E1086" s="32"/>
      <c r="F1086" s="34"/>
      <c r="G1086" s="35"/>
      <c r="H1086" s="37" cm="1">
        <f t="array" ref="H1086">IFERROR(SUMPRODUCT(Tracking[Amount], --(Tracking[Date]&lt;=Tracking[[#This Row],[Date]]), (Tracking[Type]&lt;&gt;"Income") * (-1) + (Tracking[Type]="Income")), "-")</f>
        <v>0</v>
      </c>
      <c r="I1086" s="95">
        <f>IF(AND(Tracking[[#This Row],[Type]]="Income", shift_late_income_status="Active", DAY(Tracking[[#This Row],[Date]])&gt;=shift_late_income_starting_day),
      DATE(YEAR(Tracking[[#This Row],[Date]]), MONTH(Tracking[[#This Row],[Date]])+1, 1),
      Tracking[[#This Row],[Date]])</f>
        <v>0</v>
      </c>
    </row>
    <row r="1087" spans="3:9" x14ac:dyDescent="0.2">
      <c r="C1087" s="94"/>
      <c r="D1087" s="32"/>
      <c r="E1087" s="32"/>
      <c r="F1087" s="34"/>
      <c r="G1087" s="35"/>
      <c r="H1087" s="37" cm="1">
        <f t="array" ref="H1087">IFERROR(SUMPRODUCT(Tracking[Amount], --(Tracking[Date]&lt;=Tracking[[#This Row],[Date]]), (Tracking[Type]&lt;&gt;"Income") * (-1) + (Tracking[Type]="Income")), "-")</f>
        <v>0</v>
      </c>
      <c r="I1087" s="95">
        <f>IF(AND(Tracking[[#This Row],[Type]]="Income", shift_late_income_status="Active", DAY(Tracking[[#This Row],[Date]])&gt;=shift_late_income_starting_day),
      DATE(YEAR(Tracking[[#This Row],[Date]]), MONTH(Tracking[[#This Row],[Date]])+1, 1),
      Tracking[[#This Row],[Date]])</f>
        <v>0</v>
      </c>
    </row>
    <row r="1088" spans="3:9" x14ac:dyDescent="0.2">
      <c r="C1088" s="94"/>
      <c r="D1088" s="32"/>
      <c r="E1088" s="32"/>
      <c r="F1088" s="34"/>
      <c r="G1088" s="35"/>
      <c r="H1088" s="37" cm="1">
        <f t="array" ref="H1088">IFERROR(SUMPRODUCT(Tracking[Amount], --(Tracking[Date]&lt;=Tracking[[#This Row],[Date]]), (Tracking[Type]&lt;&gt;"Income") * (-1) + (Tracking[Type]="Income")), "-")</f>
        <v>0</v>
      </c>
      <c r="I1088" s="95">
        <f>IF(AND(Tracking[[#This Row],[Type]]="Income", shift_late_income_status="Active", DAY(Tracking[[#This Row],[Date]])&gt;=shift_late_income_starting_day),
      DATE(YEAR(Tracking[[#This Row],[Date]]), MONTH(Tracking[[#This Row],[Date]])+1, 1),
      Tracking[[#This Row],[Date]])</f>
        <v>0</v>
      </c>
    </row>
    <row r="1089" spans="3:9" x14ac:dyDescent="0.2">
      <c r="C1089" s="94"/>
      <c r="D1089" s="32"/>
      <c r="E1089" s="32"/>
      <c r="F1089" s="34"/>
      <c r="G1089" s="35"/>
      <c r="H1089" s="37" cm="1">
        <f t="array" ref="H1089">IFERROR(SUMPRODUCT(Tracking[Amount], --(Tracking[Date]&lt;=Tracking[[#This Row],[Date]]), (Tracking[Type]&lt;&gt;"Income") * (-1) + (Tracking[Type]="Income")), "-")</f>
        <v>0</v>
      </c>
      <c r="I1089" s="95">
        <f>IF(AND(Tracking[[#This Row],[Type]]="Income", shift_late_income_status="Active", DAY(Tracking[[#This Row],[Date]])&gt;=shift_late_income_starting_day),
      DATE(YEAR(Tracking[[#This Row],[Date]]), MONTH(Tracking[[#This Row],[Date]])+1, 1),
      Tracking[[#This Row],[Date]])</f>
        <v>0</v>
      </c>
    </row>
    <row r="1090" spans="3:9" x14ac:dyDescent="0.2">
      <c r="C1090" s="94"/>
      <c r="D1090" s="32"/>
      <c r="E1090" s="32"/>
      <c r="F1090" s="34"/>
      <c r="G1090" s="35"/>
      <c r="H1090" s="37" cm="1">
        <f t="array" ref="H1090">IFERROR(SUMPRODUCT(Tracking[Amount], --(Tracking[Date]&lt;=Tracking[[#This Row],[Date]]), (Tracking[Type]&lt;&gt;"Income") * (-1) + (Tracking[Type]="Income")), "-")</f>
        <v>0</v>
      </c>
      <c r="I1090" s="95">
        <f>IF(AND(Tracking[[#This Row],[Type]]="Income", shift_late_income_status="Active", DAY(Tracking[[#This Row],[Date]])&gt;=shift_late_income_starting_day),
      DATE(YEAR(Tracking[[#This Row],[Date]]), MONTH(Tracking[[#This Row],[Date]])+1, 1),
      Tracking[[#This Row],[Date]])</f>
        <v>0</v>
      </c>
    </row>
    <row r="1091" spans="3:9" x14ac:dyDescent="0.2">
      <c r="C1091" s="94"/>
      <c r="D1091" s="32"/>
      <c r="E1091" s="32"/>
      <c r="F1091" s="34"/>
      <c r="G1091" s="35"/>
      <c r="H1091" s="37" cm="1">
        <f t="array" ref="H1091">IFERROR(SUMPRODUCT(Tracking[Amount], --(Tracking[Date]&lt;=Tracking[[#This Row],[Date]]), (Tracking[Type]&lt;&gt;"Income") * (-1) + (Tracking[Type]="Income")), "-")</f>
        <v>0</v>
      </c>
      <c r="I1091" s="95">
        <f>IF(AND(Tracking[[#This Row],[Type]]="Income", shift_late_income_status="Active", DAY(Tracking[[#This Row],[Date]])&gt;=shift_late_income_starting_day),
      DATE(YEAR(Tracking[[#This Row],[Date]]), MONTH(Tracking[[#This Row],[Date]])+1, 1),
      Tracking[[#This Row],[Date]])</f>
        <v>0</v>
      </c>
    </row>
    <row r="1092" spans="3:9" x14ac:dyDescent="0.2">
      <c r="C1092" s="94"/>
      <c r="D1092" s="32"/>
      <c r="E1092" s="32"/>
      <c r="F1092" s="34"/>
      <c r="G1092" s="35"/>
      <c r="H1092" s="37" cm="1">
        <f t="array" ref="H1092">IFERROR(SUMPRODUCT(Tracking[Amount], --(Tracking[Date]&lt;=Tracking[[#This Row],[Date]]), (Tracking[Type]&lt;&gt;"Income") * (-1) + (Tracking[Type]="Income")), "-")</f>
        <v>0</v>
      </c>
      <c r="I1092" s="95">
        <f>IF(AND(Tracking[[#This Row],[Type]]="Income", shift_late_income_status="Active", DAY(Tracking[[#This Row],[Date]])&gt;=shift_late_income_starting_day),
      DATE(YEAR(Tracking[[#This Row],[Date]]), MONTH(Tracking[[#This Row],[Date]])+1, 1),
      Tracking[[#This Row],[Date]])</f>
        <v>0</v>
      </c>
    </row>
    <row r="1093" spans="3:9" x14ac:dyDescent="0.2">
      <c r="C1093" s="94"/>
      <c r="D1093" s="32"/>
      <c r="E1093" s="32"/>
      <c r="F1093" s="34"/>
      <c r="G1093" s="35"/>
      <c r="H1093" s="37" cm="1">
        <f t="array" ref="H1093">IFERROR(SUMPRODUCT(Tracking[Amount], --(Tracking[Date]&lt;=Tracking[[#This Row],[Date]]), (Tracking[Type]&lt;&gt;"Income") * (-1) + (Tracking[Type]="Income")), "-")</f>
        <v>0</v>
      </c>
      <c r="I1093" s="95">
        <f>IF(AND(Tracking[[#This Row],[Type]]="Income", shift_late_income_status="Active", DAY(Tracking[[#This Row],[Date]])&gt;=shift_late_income_starting_day),
      DATE(YEAR(Tracking[[#This Row],[Date]]), MONTH(Tracking[[#This Row],[Date]])+1, 1),
      Tracking[[#This Row],[Date]])</f>
        <v>0</v>
      </c>
    </row>
    <row r="1094" spans="3:9" x14ac:dyDescent="0.2">
      <c r="C1094" s="94"/>
      <c r="D1094" s="32"/>
      <c r="E1094" s="32"/>
      <c r="F1094" s="34"/>
      <c r="G1094" s="35"/>
      <c r="H1094" s="37" cm="1">
        <f t="array" ref="H1094">IFERROR(SUMPRODUCT(Tracking[Amount], --(Tracking[Date]&lt;=Tracking[[#This Row],[Date]]), (Tracking[Type]&lt;&gt;"Income") * (-1) + (Tracking[Type]="Income")), "-")</f>
        <v>0</v>
      </c>
      <c r="I1094" s="95">
        <f>IF(AND(Tracking[[#This Row],[Type]]="Income", shift_late_income_status="Active", DAY(Tracking[[#This Row],[Date]])&gt;=shift_late_income_starting_day),
      DATE(YEAR(Tracking[[#This Row],[Date]]), MONTH(Tracking[[#This Row],[Date]])+1, 1),
      Tracking[[#This Row],[Date]])</f>
        <v>0</v>
      </c>
    </row>
    <row r="1095" spans="3:9" x14ac:dyDescent="0.2">
      <c r="C1095" s="94"/>
      <c r="D1095" s="32"/>
      <c r="E1095" s="32"/>
      <c r="F1095" s="34"/>
      <c r="G1095" s="35"/>
      <c r="H1095" s="37" cm="1">
        <f t="array" ref="H1095">IFERROR(SUMPRODUCT(Tracking[Amount], --(Tracking[Date]&lt;=Tracking[[#This Row],[Date]]), (Tracking[Type]&lt;&gt;"Income") * (-1) + (Tracking[Type]="Income")), "-")</f>
        <v>0</v>
      </c>
      <c r="I1095" s="95">
        <f>IF(AND(Tracking[[#This Row],[Type]]="Income", shift_late_income_status="Active", DAY(Tracking[[#This Row],[Date]])&gt;=shift_late_income_starting_day),
      DATE(YEAR(Tracking[[#This Row],[Date]]), MONTH(Tracking[[#This Row],[Date]])+1, 1),
      Tracking[[#This Row],[Date]])</f>
        <v>0</v>
      </c>
    </row>
    <row r="1096" spans="3:9" x14ac:dyDescent="0.2">
      <c r="C1096" s="94"/>
      <c r="D1096" s="32"/>
      <c r="E1096" s="32"/>
      <c r="F1096" s="34"/>
      <c r="G1096" s="35"/>
      <c r="H1096" s="37" cm="1">
        <f t="array" ref="H1096">IFERROR(SUMPRODUCT(Tracking[Amount], --(Tracking[Date]&lt;=Tracking[[#This Row],[Date]]), (Tracking[Type]&lt;&gt;"Income") * (-1) + (Tracking[Type]="Income")), "-")</f>
        <v>0</v>
      </c>
      <c r="I1096" s="95">
        <f>IF(AND(Tracking[[#This Row],[Type]]="Income", shift_late_income_status="Active", DAY(Tracking[[#This Row],[Date]])&gt;=shift_late_income_starting_day),
      DATE(YEAR(Tracking[[#This Row],[Date]]), MONTH(Tracking[[#This Row],[Date]])+1, 1),
      Tracking[[#This Row],[Date]])</f>
        <v>0</v>
      </c>
    </row>
    <row r="1097" spans="3:9" x14ac:dyDescent="0.2">
      <c r="C1097" s="94"/>
      <c r="D1097" s="32"/>
      <c r="E1097" s="32"/>
      <c r="F1097" s="34"/>
      <c r="G1097" s="35"/>
      <c r="H1097" s="37" cm="1">
        <f t="array" ref="H1097">IFERROR(SUMPRODUCT(Tracking[Amount], --(Tracking[Date]&lt;=Tracking[[#This Row],[Date]]), (Tracking[Type]&lt;&gt;"Income") * (-1) + (Tracking[Type]="Income")), "-")</f>
        <v>0</v>
      </c>
      <c r="I1097" s="95">
        <f>IF(AND(Tracking[[#This Row],[Type]]="Income", shift_late_income_status="Active", DAY(Tracking[[#This Row],[Date]])&gt;=shift_late_income_starting_day),
      DATE(YEAR(Tracking[[#This Row],[Date]]), MONTH(Tracking[[#This Row],[Date]])+1, 1),
      Tracking[[#This Row],[Date]])</f>
        <v>0</v>
      </c>
    </row>
    <row r="1098" spans="3:9" x14ac:dyDescent="0.2">
      <c r="C1098" s="94"/>
      <c r="D1098" s="32"/>
      <c r="E1098" s="32"/>
      <c r="F1098" s="34"/>
      <c r="G1098" s="35"/>
      <c r="H1098" s="37" cm="1">
        <f t="array" ref="H1098">IFERROR(SUMPRODUCT(Tracking[Amount], --(Tracking[Date]&lt;=Tracking[[#This Row],[Date]]), (Tracking[Type]&lt;&gt;"Income") * (-1) + (Tracking[Type]="Income")), "-")</f>
        <v>0</v>
      </c>
      <c r="I1098" s="95">
        <f>IF(AND(Tracking[[#This Row],[Type]]="Income", shift_late_income_status="Active", DAY(Tracking[[#This Row],[Date]])&gt;=shift_late_income_starting_day),
      DATE(YEAR(Tracking[[#This Row],[Date]]), MONTH(Tracking[[#This Row],[Date]])+1, 1),
      Tracking[[#This Row],[Date]])</f>
        <v>0</v>
      </c>
    </row>
    <row r="1099" spans="3:9" x14ac:dyDescent="0.2">
      <c r="C1099" s="94"/>
      <c r="D1099" s="32"/>
      <c r="E1099" s="32"/>
      <c r="F1099" s="34"/>
      <c r="G1099" s="35"/>
      <c r="H1099" s="37" cm="1">
        <f t="array" ref="H1099">IFERROR(SUMPRODUCT(Tracking[Amount], --(Tracking[Date]&lt;=Tracking[[#This Row],[Date]]), (Tracking[Type]&lt;&gt;"Income") * (-1) + (Tracking[Type]="Income")), "-")</f>
        <v>0</v>
      </c>
      <c r="I1099" s="95">
        <f>IF(AND(Tracking[[#This Row],[Type]]="Income", shift_late_income_status="Active", DAY(Tracking[[#This Row],[Date]])&gt;=shift_late_income_starting_day),
      DATE(YEAR(Tracking[[#This Row],[Date]]), MONTH(Tracking[[#This Row],[Date]])+1, 1),
      Tracking[[#This Row],[Date]])</f>
        <v>0</v>
      </c>
    </row>
    <row r="1100" spans="3:9" x14ac:dyDescent="0.2">
      <c r="C1100" s="94"/>
      <c r="D1100" s="32"/>
      <c r="E1100" s="32"/>
      <c r="F1100" s="34"/>
      <c r="G1100" s="35"/>
      <c r="H1100" s="37" cm="1">
        <f t="array" ref="H1100">IFERROR(SUMPRODUCT(Tracking[Amount], --(Tracking[Date]&lt;=Tracking[[#This Row],[Date]]), (Tracking[Type]&lt;&gt;"Income") * (-1) + (Tracking[Type]="Income")), "-")</f>
        <v>0</v>
      </c>
      <c r="I1100" s="95">
        <f>IF(AND(Tracking[[#This Row],[Type]]="Income", shift_late_income_status="Active", DAY(Tracking[[#This Row],[Date]])&gt;=shift_late_income_starting_day),
      DATE(YEAR(Tracking[[#This Row],[Date]]), MONTH(Tracking[[#This Row],[Date]])+1, 1),
      Tracking[[#This Row],[Date]])</f>
        <v>0</v>
      </c>
    </row>
    <row r="1101" spans="3:9" x14ac:dyDescent="0.2">
      <c r="C1101" s="94"/>
      <c r="D1101" s="32"/>
      <c r="E1101" s="32"/>
      <c r="F1101" s="34"/>
      <c r="G1101" s="35"/>
      <c r="H1101" s="37" cm="1">
        <f t="array" ref="H1101">IFERROR(SUMPRODUCT(Tracking[Amount], --(Tracking[Date]&lt;=Tracking[[#This Row],[Date]]), (Tracking[Type]&lt;&gt;"Income") * (-1) + (Tracking[Type]="Income")), "-")</f>
        <v>0</v>
      </c>
      <c r="I1101" s="95">
        <f>IF(AND(Tracking[[#This Row],[Type]]="Income", shift_late_income_status="Active", DAY(Tracking[[#This Row],[Date]])&gt;=shift_late_income_starting_day),
      DATE(YEAR(Tracking[[#This Row],[Date]]), MONTH(Tracking[[#This Row],[Date]])+1, 1),
      Tracking[[#This Row],[Date]])</f>
        <v>0</v>
      </c>
    </row>
    <row r="1102" spans="3:9" x14ac:dyDescent="0.2">
      <c r="C1102" s="94"/>
      <c r="D1102" s="32"/>
      <c r="E1102" s="32"/>
      <c r="F1102" s="34"/>
      <c r="G1102" s="35"/>
      <c r="H1102" s="37" cm="1">
        <f t="array" ref="H1102">IFERROR(SUMPRODUCT(Tracking[Amount], --(Tracking[Date]&lt;=Tracking[[#This Row],[Date]]), (Tracking[Type]&lt;&gt;"Income") * (-1) + (Tracking[Type]="Income")), "-")</f>
        <v>0</v>
      </c>
      <c r="I1102" s="95">
        <f>IF(AND(Tracking[[#This Row],[Type]]="Income", shift_late_income_status="Active", DAY(Tracking[[#This Row],[Date]])&gt;=shift_late_income_starting_day),
      DATE(YEAR(Tracking[[#This Row],[Date]]), MONTH(Tracking[[#This Row],[Date]])+1, 1),
      Tracking[[#This Row],[Date]])</f>
        <v>0</v>
      </c>
    </row>
    <row r="1103" spans="3:9" x14ac:dyDescent="0.2">
      <c r="C1103" s="94"/>
      <c r="D1103" s="32"/>
      <c r="E1103" s="32"/>
      <c r="F1103" s="34"/>
      <c r="G1103" s="35"/>
      <c r="H1103" s="37" cm="1">
        <f t="array" ref="H1103">IFERROR(SUMPRODUCT(Tracking[Amount], --(Tracking[Date]&lt;=Tracking[[#This Row],[Date]]), (Tracking[Type]&lt;&gt;"Income") * (-1) + (Tracking[Type]="Income")), "-")</f>
        <v>0</v>
      </c>
      <c r="I1103" s="95">
        <f>IF(AND(Tracking[[#This Row],[Type]]="Income", shift_late_income_status="Active", DAY(Tracking[[#This Row],[Date]])&gt;=shift_late_income_starting_day),
      DATE(YEAR(Tracking[[#This Row],[Date]]), MONTH(Tracking[[#This Row],[Date]])+1, 1),
      Tracking[[#This Row],[Date]])</f>
        <v>0</v>
      </c>
    </row>
    <row r="1104" spans="3:9" x14ac:dyDescent="0.2">
      <c r="C1104" s="94"/>
      <c r="D1104" s="32"/>
      <c r="E1104" s="32"/>
      <c r="F1104" s="34"/>
      <c r="G1104" s="35"/>
      <c r="H1104" s="37" cm="1">
        <f t="array" ref="H1104">IFERROR(SUMPRODUCT(Tracking[Amount], --(Tracking[Date]&lt;=Tracking[[#This Row],[Date]]), (Tracking[Type]&lt;&gt;"Income") * (-1) + (Tracking[Type]="Income")), "-")</f>
        <v>0</v>
      </c>
      <c r="I1104" s="95">
        <f>IF(AND(Tracking[[#This Row],[Type]]="Income", shift_late_income_status="Active", DAY(Tracking[[#This Row],[Date]])&gt;=shift_late_income_starting_day),
      DATE(YEAR(Tracking[[#This Row],[Date]]), MONTH(Tracking[[#This Row],[Date]])+1, 1),
      Tracking[[#This Row],[Date]])</f>
        <v>0</v>
      </c>
    </row>
    <row r="1105" spans="3:9" x14ac:dyDescent="0.2">
      <c r="C1105" s="94"/>
      <c r="D1105" s="32"/>
      <c r="E1105" s="32"/>
      <c r="F1105" s="34"/>
      <c r="G1105" s="35"/>
      <c r="H1105" s="37" cm="1">
        <f t="array" ref="H1105">IFERROR(SUMPRODUCT(Tracking[Amount], --(Tracking[Date]&lt;=Tracking[[#This Row],[Date]]), (Tracking[Type]&lt;&gt;"Income") * (-1) + (Tracking[Type]="Income")), "-")</f>
        <v>0</v>
      </c>
      <c r="I1105" s="95">
        <f>IF(AND(Tracking[[#This Row],[Type]]="Income", shift_late_income_status="Active", DAY(Tracking[[#This Row],[Date]])&gt;=shift_late_income_starting_day),
      DATE(YEAR(Tracking[[#This Row],[Date]]), MONTH(Tracking[[#This Row],[Date]])+1, 1),
      Tracking[[#This Row],[Date]])</f>
        <v>0</v>
      </c>
    </row>
    <row r="1106" spans="3:9" x14ac:dyDescent="0.2">
      <c r="C1106" s="94"/>
      <c r="D1106" s="32"/>
      <c r="E1106" s="32"/>
      <c r="F1106" s="34"/>
      <c r="G1106" s="35"/>
      <c r="H1106" s="37" cm="1">
        <f t="array" ref="H1106">IFERROR(SUMPRODUCT(Tracking[Amount], --(Tracking[Date]&lt;=Tracking[[#This Row],[Date]]), (Tracking[Type]&lt;&gt;"Income") * (-1) + (Tracking[Type]="Income")), "-")</f>
        <v>0</v>
      </c>
      <c r="I1106" s="95">
        <f>IF(AND(Tracking[[#This Row],[Type]]="Income", shift_late_income_status="Active", DAY(Tracking[[#This Row],[Date]])&gt;=shift_late_income_starting_day),
      DATE(YEAR(Tracking[[#This Row],[Date]]), MONTH(Tracking[[#This Row],[Date]])+1, 1),
      Tracking[[#This Row],[Date]])</f>
        <v>0</v>
      </c>
    </row>
    <row r="1107" spans="3:9" x14ac:dyDescent="0.2">
      <c r="C1107" s="94"/>
      <c r="D1107" s="32"/>
      <c r="E1107" s="32"/>
      <c r="F1107" s="34"/>
      <c r="G1107" s="35"/>
      <c r="H1107" s="37" cm="1">
        <f t="array" ref="H1107">IFERROR(SUMPRODUCT(Tracking[Amount], --(Tracking[Date]&lt;=Tracking[[#This Row],[Date]]), (Tracking[Type]&lt;&gt;"Income") * (-1) + (Tracking[Type]="Income")), "-")</f>
        <v>0</v>
      </c>
      <c r="I1107" s="95">
        <f>IF(AND(Tracking[[#This Row],[Type]]="Income", shift_late_income_status="Active", DAY(Tracking[[#This Row],[Date]])&gt;=shift_late_income_starting_day),
      DATE(YEAR(Tracking[[#This Row],[Date]]), MONTH(Tracking[[#This Row],[Date]])+1, 1),
      Tracking[[#This Row],[Date]])</f>
        <v>0</v>
      </c>
    </row>
    <row r="1108" spans="3:9" x14ac:dyDescent="0.2">
      <c r="C1108" s="94"/>
      <c r="D1108" s="32"/>
      <c r="E1108" s="32"/>
      <c r="F1108" s="34"/>
      <c r="G1108" s="35"/>
      <c r="H1108" s="37" cm="1">
        <f t="array" ref="H1108">IFERROR(SUMPRODUCT(Tracking[Amount], --(Tracking[Date]&lt;=Tracking[[#This Row],[Date]]), (Tracking[Type]&lt;&gt;"Income") * (-1) + (Tracking[Type]="Income")), "-")</f>
        <v>0</v>
      </c>
      <c r="I1108" s="95">
        <f>IF(AND(Tracking[[#This Row],[Type]]="Income", shift_late_income_status="Active", DAY(Tracking[[#This Row],[Date]])&gt;=shift_late_income_starting_day),
      DATE(YEAR(Tracking[[#This Row],[Date]]), MONTH(Tracking[[#This Row],[Date]])+1, 1),
      Tracking[[#This Row],[Date]])</f>
        <v>0</v>
      </c>
    </row>
    <row r="1109" spans="3:9" x14ac:dyDescent="0.2">
      <c r="C1109" s="94"/>
      <c r="D1109" s="32"/>
      <c r="E1109" s="32"/>
      <c r="F1109" s="34"/>
      <c r="G1109" s="35"/>
      <c r="H1109" s="37" cm="1">
        <f t="array" ref="H1109">IFERROR(SUMPRODUCT(Tracking[Amount], --(Tracking[Date]&lt;=Tracking[[#This Row],[Date]]), (Tracking[Type]&lt;&gt;"Income") * (-1) + (Tracking[Type]="Income")), "-")</f>
        <v>0</v>
      </c>
      <c r="I1109" s="95">
        <f>IF(AND(Tracking[[#This Row],[Type]]="Income", shift_late_income_status="Active", DAY(Tracking[[#This Row],[Date]])&gt;=shift_late_income_starting_day),
      DATE(YEAR(Tracking[[#This Row],[Date]]), MONTH(Tracking[[#This Row],[Date]])+1, 1),
      Tracking[[#This Row],[Date]])</f>
        <v>0</v>
      </c>
    </row>
    <row r="1110" spans="3:9" x14ac:dyDescent="0.2">
      <c r="C1110" s="94"/>
      <c r="D1110" s="32"/>
      <c r="E1110" s="32"/>
      <c r="F1110" s="34"/>
      <c r="G1110" s="35"/>
      <c r="H1110" s="37" cm="1">
        <f t="array" ref="H1110">IFERROR(SUMPRODUCT(Tracking[Amount], --(Tracking[Date]&lt;=Tracking[[#This Row],[Date]]), (Tracking[Type]&lt;&gt;"Income") * (-1) + (Tracking[Type]="Income")), "-")</f>
        <v>0</v>
      </c>
      <c r="I1110" s="95">
        <f>IF(AND(Tracking[[#This Row],[Type]]="Income", shift_late_income_status="Active", DAY(Tracking[[#This Row],[Date]])&gt;=shift_late_income_starting_day),
      DATE(YEAR(Tracking[[#This Row],[Date]]), MONTH(Tracking[[#This Row],[Date]])+1, 1),
      Tracking[[#This Row],[Date]])</f>
        <v>0</v>
      </c>
    </row>
    <row r="1111" spans="3:9" x14ac:dyDescent="0.2">
      <c r="C1111" s="94"/>
      <c r="D1111" s="32"/>
      <c r="E1111" s="32"/>
      <c r="F1111" s="34"/>
      <c r="G1111" s="35"/>
      <c r="H1111" s="37" cm="1">
        <f t="array" ref="H1111">IFERROR(SUMPRODUCT(Tracking[Amount], --(Tracking[Date]&lt;=Tracking[[#This Row],[Date]]), (Tracking[Type]&lt;&gt;"Income") * (-1) + (Tracking[Type]="Income")), "-")</f>
        <v>0</v>
      </c>
      <c r="I1111" s="95">
        <f>IF(AND(Tracking[[#This Row],[Type]]="Income", shift_late_income_status="Active", DAY(Tracking[[#This Row],[Date]])&gt;=shift_late_income_starting_day),
      DATE(YEAR(Tracking[[#This Row],[Date]]), MONTH(Tracking[[#This Row],[Date]])+1, 1),
      Tracking[[#This Row],[Date]])</f>
        <v>0</v>
      </c>
    </row>
    <row r="1112" spans="3:9" x14ac:dyDescent="0.2">
      <c r="C1112" s="94"/>
      <c r="D1112" s="32"/>
      <c r="E1112" s="32"/>
      <c r="F1112" s="34"/>
      <c r="G1112" s="35"/>
      <c r="H1112" s="37" cm="1">
        <f t="array" ref="H1112">IFERROR(SUMPRODUCT(Tracking[Amount], --(Tracking[Date]&lt;=Tracking[[#This Row],[Date]]), (Tracking[Type]&lt;&gt;"Income") * (-1) + (Tracking[Type]="Income")), "-")</f>
        <v>0</v>
      </c>
      <c r="I1112" s="95">
        <f>IF(AND(Tracking[[#This Row],[Type]]="Income", shift_late_income_status="Active", DAY(Tracking[[#This Row],[Date]])&gt;=shift_late_income_starting_day),
      DATE(YEAR(Tracking[[#This Row],[Date]]), MONTH(Tracking[[#This Row],[Date]])+1, 1),
      Tracking[[#This Row],[Date]])</f>
        <v>0</v>
      </c>
    </row>
    <row r="1113" spans="3:9" x14ac:dyDescent="0.2">
      <c r="C1113" s="94"/>
      <c r="D1113" s="32"/>
      <c r="E1113" s="32"/>
      <c r="F1113" s="34"/>
      <c r="G1113" s="35"/>
      <c r="H1113" s="37" cm="1">
        <f t="array" ref="H1113">IFERROR(SUMPRODUCT(Tracking[Amount], --(Tracking[Date]&lt;=Tracking[[#This Row],[Date]]), (Tracking[Type]&lt;&gt;"Income") * (-1) + (Tracking[Type]="Income")), "-")</f>
        <v>0</v>
      </c>
      <c r="I1113" s="95">
        <f>IF(AND(Tracking[[#This Row],[Type]]="Income", shift_late_income_status="Active", DAY(Tracking[[#This Row],[Date]])&gt;=shift_late_income_starting_day),
      DATE(YEAR(Tracking[[#This Row],[Date]]), MONTH(Tracking[[#This Row],[Date]])+1, 1),
      Tracking[[#This Row],[Date]])</f>
        <v>0</v>
      </c>
    </row>
    <row r="1114" spans="3:9" x14ac:dyDescent="0.2">
      <c r="C1114" s="94"/>
      <c r="D1114" s="32"/>
      <c r="E1114" s="32"/>
      <c r="F1114" s="34"/>
      <c r="G1114" s="35"/>
      <c r="H1114" s="37" cm="1">
        <f t="array" ref="H1114">IFERROR(SUMPRODUCT(Tracking[Amount], --(Tracking[Date]&lt;=Tracking[[#This Row],[Date]]), (Tracking[Type]&lt;&gt;"Income") * (-1) + (Tracking[Type]="Income")), "-")</f>
        <v>0</v>
      </c>
      <c r="I1114" s="95">
        <f>IF(AND(Tracking[[#This Row],[Type]]="Income", shift_late_income_status="Active", DAY(Tracking[[#This Row],[Date]])&gt;=shift_late_income_starting_day),
      DATE(YEAR(Tracking[[#This Row],[Date]]), MONTH(Tracking[[#This Row],[Date]])+1, 1),
      Tracking[[#This Row],[Date]])</f>
        <v>0</v>
      </c>
    </row>
    <row r="1115" spans="3:9" x14ac:dyDescent="0.2">
      <c r="C1115" s="94"/>
      <c r="D1115" s="32"/>
      <c r="E1115" s="32"/>
      <c r="F1115" s="34"/>
      <c r="G1115" s="35"/>
      <c r="H1115" s="37" cm="1">
        <f t="array" ref="H1115">IFERROR(SUMPRODUCT(Tracking[Amount], --(Tracking[Date]&lt;=Tracking[[#This Row],[Date]]), (Tracking[Type]&lt;&gt;"Income") * (-1) + (Tracking[Type]="Income")), "-")</f>
        <v>0</v>
      </c>
      <c r="I1115" s="95">
        <f>IF(AND(Tracking[[#This Row],[Type]]="Income", shift_late_income_status="Active", DAY(Tracking[[#This Row],[Date]])&gt;=shift_late_income_starting_day),
      DATE(YEAR(Tracking[[#This Row],[Date]]), MONTH(Tracking[[#This Row],[Date]])+1, 1),
      Tracking[[#This Row],[Date]])</f>
        <v>0</v>
      </c>
    </row>
    <row r="1116" spans="3:9" x14ac:dyDescent="0.2">
      <c r="C1116" s="94"/>
      <c r="D1116" s="32"/>
      <c r="E1116" s="32"/>
      <c r="F1116" s="34"/>
      <c r="G1116" s="35"/>
      <c r="H1116" s="37" cm="1">
        <f t="array" ref="H1116">IFERROR(SUMPRODUCT(Tracking[Amount], --(Tracking[Date]&lt;=Tracking[[#This Row],[Date]]), (Tracking[Type]&lt;&gt;"Income") * (-1) + (Tracking[Type]="Income")), "-")</f>
        <v>0</v>
      </c>
      <c r="I1116" s="95">
        <f>IF(AND(Tracking[[#This Row],[Type]]="Income", shift_late_income_status="Active", DAY(Tracking[[#This Row],[Date]])&gt;=shift_late_income_starting_day),
      DATE(YEAR(Tracking[[#This Row],[Date]]), MONTH(Tracking[[#This Row],[Date]])+1, 1),
      Tracking[[#This Row],[Date]])</f>
        <v>0</v>
      </c>
    </row>
    <row r="1117" spans="3:9" x14ac:dyDescent="0.2">
      <c r="C1117" s="94"/>
      <c r="D1117" s="32"/>
      <c r="E1117" s="32"/>
      <c r="F1117" s="34"/>
      <c r="G1117" s="35"/>
      <c r="H1117" s="37" cm="1">
        <f t="array" ref="H1117">IFERROR(SUMPRODUCT(Tracking[Amount], --(Tracking[Date]&lt;=Tracking[[#This Row],[Date]]), (Tracking[Type]&lt;&gt;"Income") * (-1) + (Tracking[Type]="Income")), "-")</f>
        <v>0</v>
      </c>
      <c r="I1117" s="95">
        <f>IF(AND(Tracking[[#This Row],[Type]]="Income", shift_late_income_status="Active", DAY(Tracking[[#This Row],[Date]])&gt;=shift_late_income_starting_day),
      DATE(YEAR(Tracking[[#This Row],[Date]]), MONTH(Tracking[[#This Row],[Date]])+1, 1),
      Tracking[[#This Row],[Date]])</f>
        <v>0</v>
      </c>
    </row>
    <row r="1118" spans="3:9" x14ac:dyDescent="0.2">
      <c r="C1118" s="94"/>
      <c r="D1118" s="32"/>
      <c r="E1118" s="32"/>
      <c r="F1118" s="34"/>
      <c r="G1118" s="35"/>
      <c r="H1118" s="37" cm="1">
        <f t="array" ref="H1118">IFERROR(SUMPRODUCT(Tracking[Amount], --(Tracking[Date]&lt;=Tracking[[#This Row],[Date]]), (Tracking[Type]&lt;&gt;"Income") * (-1) + (Tracking[Type]="Income")), "-")</f>
        <v>0</v>
      </c>
      <c r="I1118" s="95">
        <f>IF(AND(Tracking[[#This Row],[Type]]="Income", shift_late_income_status="Active", DAY(Tracking[[#This Row],[Date]])&gt;=shift_late_income_starting_day),
      DATE(YEAR(Tracking[[#This Row],[Date]]), MONTH(Tracking[[#This Row],[Date]])+1, 1),
      Tracking[[#This Row],[Date]])</f>
        <v>0</v>
      </c>
    </row>
    <row r="1119" spans="3:9" x14ac:dyDescent="0.2">
      <c r="C1119" s="94"/>
      <c r="D1119" s="32"/>
      <c r="E1119" s="32"/>
      <c r="F1119" s="34"/>
      <c r="G1119" s="35"/>
      <c r="H1119" s="37" cm="1">
        <f t="array" ref="H1119">IFERROR(SUMPRODUCT(Tracking[Amount], --(Tracking[Date]&lt;=Tracking[[#This Row],[Date]]), (Tracking[Type]&lt;&gt;"Income") * (-1) + (Tracking[Type]="Income")), "-")</f>
        <v>0</v>
      </c>
      <c r="I1119" s="95">
        <f>IF(AND(Tracking[[#This Row],[Type]]="Income", shift_late_income_status="Active", DAY(Tracking[[#This Row],[Date]])&gt;=shift_late_income_starting_day),
      DATE(YEAR(Tracking[[#This Row],[Date]]), MONTH(Tracking[[#This Row],[Date]])+1, 1),
      Tracking[[#This Row],[Date]])</f>
        <v>0</v>
      </c>
    </row>
    <row r="1120" spans="3:9" x14ac:dyDescent="0.2">
      <c r="C1120" s="94"/>
      <c r="D1120" s="32"/>
      <c r="E1120" s="32"/>
      <c r="F1120" s="34"/>
      <c r="G1120" s="35"/>
      <c r="H1120" s="37" cm="1">
        <f t="array" ref="H1120">IFERROR(SUMPRODUCT(Tracking[Amount], --(Tracking[Date]&lt;=Tracking[[#This Row],[Date]]), (Tracking[Type]&lt;&gt;"Income") * (-1) + (Tracking[Type]="Income")), "-")</f>
        <v>0</v>
      </c>
      <c r="I1120" s="95">
        <f>IF(AND(Tracking[[#This Row],[Type]]="Income", shift_late_income_status="Active", DAY(Tracking[[#This Row],[Date]])&gt;=shift_late_income_starting_day),
      DATE(YEAR(Tracking[[#This Row],[Date]]), MONTH(Tracking[[#This Row],[Date]])+1, 1),
      Tracking[[#This Row],[Date]])</f>
        <v>0</v>
      </c>
    </row>
    <row r="1121" spans="3:9" x14ac:dyDescent="0.2">
      <c r="C1121" s="94"/>
      <c r="D1121" s="32"/>
      <c r="E1121" s="32"/>
      <c r="F1121" s="34"/>
      <c r="G1121" s="35"/>
      <c r="H1121" s="37" cm="1">
        <f t="array" ref="H1121">IFERROR(SUMPRODUCT(Tracking[Amount], --(Tracking[Date]&lt;=Tracking[[#This Row],[Date]]), (Tracking[Type]&lt;&gt;"Income") * (-1) + (Tracking[Type]="Income")), "-")</f>
        <v>0</v>
      </c>
      <c r="I1121" s="95">
        <f>IF(AND(Tracking[[#This Row],[Type]]="Income", shift_late_income_status="Active", DAY(Tracking[[#This Row],[Date]])&gt;=shift_late_income_starting_day),
      DATE(YEAR(Tracking[[#This Row],[Date]]), MONTH(Tracking[[#This Row],[Date]])+1, 1),
      Tracking[[#This Row],[Date]])</f>
        <v>0</v>
      </c>
    </row>
    <row r="1122" spans="3:9" x14ac:dyDescent="0.2">
      <c r="C1122" s="94"/>
      <c r="D1122" s="32"/>
      <c r="E1122" s="32"/>
      <c r="F1122" s="34"/>
      <c r="G1122" s="35"/>
      <c r="H1122" s="37" cm="1">
        <f t="array" ref="H1122">IFERROR(SUMPRODUCT(Tracking[Amount], --(Tracking[Date]&lt;=Tracking[[#This Row],[Date]]), (Tracking[Type]&lt;&gt;"Income") * (-1) + (Tracking[Type]="Income")), "-")</f>
        <v>0</v>
      </c>
      <c r="I1122" s="95">
        <f>IF(AND(Tracking[[#This Row],[Type]]="Income", shift_late_income_status="Active", DAY(Tracking[[#This Row],[Date]])&gt;=shift_late_income_starting_day),
      DATE(YEAR(Tracking[[#This Row],[Date]]), MONTH(Tracking[[#This Row],[Date]])+1, 1),
      Tracking[[#This Row],[Date]])</f>
        <v>0</v>
      </c>
    </row>
    <row r="1123" spans="3:9" x14ac:dyDescent="0.2">
      <c r="C1123" s="94"/>
      <c r="D1123" s="32"/>
      <c r="E1123" s="32"/>
      <c r="F1123" s="34"/>
      <c r="G1123" s="35"/>
      <c r="H1123" s="37" cm="1">
        <f t="array" ref="H1123">IFERROR(SUMPRODUCT(Tracking[Amount], --(Tracking[Date]&lt;=Tracking[[#This Row],[Date]]), (Tracking[Type]&lt;&gt;"Income") * (-1) + (Tracking[Type]="Income")), "-")</f>
        <v>0</v>
      </c>
      <c r="I1123" s="95">
        <f>IF(AND(Tracking[[#This Row],[Type]]="Income", shift_late_income_status="Active", DAY(Tracking[[#This Row],[Date]])&gt;=shift_late_income_starting_day),
      DATE(YEAR(Tracking[[#This Row],[Date]]), MONTH(Tracking[[#This Row],[Date]])+1, 1),
      Tracking[[#This Row],[Date]])</f>
        <v>0</v>
      </c>
    </row>
    <row r="1124" spans="3:9" x14ac:dyDescent="0.2">
      <c r="C1124" s="94"/>
      <c r="D1124" s="32"/>
      <c r="E1124" s="32"/>
      <c r="F1124" s="34"/>
      <c r="G1124" s="35"/>
      <c r="H1124" s="37" cm="1">
        <f t="array" ref="H1124">IFERROR(SUMPRODUCT(Tracking[Amount], --(Tracking[Date]&lt;=Tracking[[#This Row],[Date]]), (Tracking[Type]&lt;&gt;"Income") * (-1) + (Tracking[Type]="Income")), "-")</f>
        <v>0</v>
      </c>
      <c r="I1124" s="95">
        <f>IF(AND(Tracking[[#This Row],[Type]]="Income", shift_late_income_status="Active", DAY(Tracking[[#This Row],[Date]])&gt;=shift_late_income_starting_day),
      DATE(YEAR(Tracking[[#This Row],[Date]]), MONTH(Tracking[[#This Row],[Date]])+1, 1),
      Tracking[[#This Row],[Date]])</f>
        <v>0</v>
      </c>
    </row>
    <row r="1125" spans="3:9" x14ac:dyDescent="0.2">
      <c r="C1125" s="94"/>
      <c r="D1125" s="32"/>
      <c r="E1125" s="32"/>
      <c r="F1125" s="34"/>
      <c r="G1125" s="35"/>
      <c r="H1125" s="37" cm="1">
        <f t="array" ref="H1125">IFERROR(SUMPRODUCT(Tracking[Amount], --(Tracking[Date]&lt;=Tracking[[#This Row],[Date]]), (Tracking[Type]&lt;&gt;"Income") * (-1) + (Tracking[Type]="Income")), "-")</f>
        <v>0</v>
      </c>
      <c r="I1125" s="95">
        <f>IF(AND(Tracking[[#This Row],[Type]]="Income", shift_late_income_status="Active", DAY(Tracking[[#This Row],[Date]])&gt;=shift_late_income_starting_day),
      DATE(YEAR(Tracking[[#This Row],[Date]]), MONTH(Tracking[[#This Row],[Date]])+1, 1),
      Tracking[[#This Row],[Date]])</f>
        <v>0</v>
      </c>
    </row>
    <row r="1126" spans="3:9" x14ac:dyDescent="0.2">
      <c r="C1126" s="94"/>
      <c r="D1126" s="32"/>
      <c r="E1126" s="32"/>
      <c r="F1126" s="34"/>
      <c r="G1126" s="35"/>
      <c r="H1126" s="37" cm="1">
        <f t="array" ref="H1126">IFERROR(SUMPRODUCT(Tracking[Amount], --(Tracking[Date]&lt;=Tracking[[#This Row],[Date]]), (Tracking[Type]&lt;&gt;"Income") * (-1) + (Tracking[Type]="Income")), "-")</f>
        <v>0</v>
      </c>
      <c r="I1126" s="95">
        <f>IF(AND(Tracking[[#This Row],[Type]]="Income", shift_late_income_status="Active", DAY(Tracking[[#This Row],[Date]])&gt;=shift_late_income_starting_day),
      DATE(YEAR(Tracking[[#This Row],[Date]]), MONTH(Tracking[[#This Row],[Date]])+1, 1),
      Tracking[[#This Row],[Date]])</f>
        <v>0</v>
      </c>
    </row>
    <row r="1127" spans="3:9" x14ac:dyDescent="0.2">
      <c r="C1127" s="94"/>
      <c r="D1127" s="32"/>
      <c r="E1127" s="32"/>
      <c r="F1127" s="34"/>
      <c r="G1127" s="35"/>
      <c r="H1127" s="37" cm="1">
        <f t="array" ref="H1127">IFERROR(SUMPRODUCT(Tracking[Amount], --(Tracking[Date]&lt;=Tracking[[#This Row],[Date]]), (Tracking[Type]&lt;&gt;"Income") * (-1) + (Tracking[Type]="Income")), "-")</f>
        <v>0</v>
      </c>
      <c r="I1127" s="95">
        <f>IF(AND(Tracking[[#This Row],[Type]]="Income", shift_late_income_status="Active", DAY(Tracking[[#This Row],[Date]])&gt;=shift_late_income_starting_day),
      DATE(YEAR(Tracking[[#This Row],[Date]]), MONTH(Tracking[[#This Row],[Date]])+1, 1),
      Tracking[[#This Row],[Date]])</f>
        <v>0</v>
      </c>
    </row>
    <row r="1128" spans="3:9" x14ac:dyDescent="0.2">
      <c r="C1128" s="94"/>
      <c r="D1128" s="32"/>
      <c r="E1128" s="32"/>
      <c r="F1128" s="34"/>
      <c r="G1128" s="35"/>
      <c r="H1128" s="37" cm="1">
        <f t="array" ref="H1128">IFERROR(SUMPRODUCT(Tracking[Amount], --(Tracking[Date]&lt;=Tracking[[#This Row],[Date]]), (Tracking[Type]&lt;&gt;"Income") * (-1) + (Tracking[Type]="Income")), "-")</f>
        <v>0</v>
      </c>
      <c r="I1128" s="95">
        <f>IF(AND(Tracking[[#This Row],[Type]]="Income", shift_late_income_status="Active", DAY(Tracking[[#This Row],[Date]])&gt;=shift_late_income_starting_day),
      DATE(YEAR(Tracking[[#This Row],[Date]]), MONTH(Tracking[[#This Row],[Date]])+1, 1),
      Tracking[[#This Row],[Date]])</f>
        <v>0</v>
      </c>
    </row>
    <row r="1129" spans="3:9" x14ac:dyDescent="0.2">
      <c r="C1129" s="94"/>
      <c r="D1129" s="32"/>
      <c r="E1129" s="32"/>
      <c r="F1129" s="34"/>
      <c r="G1129" s="35"/>
      <c r="H1129" s="37" cm="1">
        <f t="array" ref="H1129">IFERROR(SUMPRODUCT(Tracking[Amount], --(Tracking[Date]&lt;=Tracking[[#This Row],[Date]]), (Tracking[Type]&lt;&gt;"Income") * (-1) + (Tracking[Type]="Income")), "-")</f>
        <v>0</v>
      </c>
      <c r="I1129" s="95">
        <f>IF(AND(Tracking[[#This Row],[Type]]="Income", shift_late_income_status="Active", DAY(Tracking[[#This Row],[Date]])&gt;=shift_late_income_starting_day),
      DATE(YEAR(Tracking[[#This Row],[Date]]), MONTH(Tracking[[#This Row],[Date]])+1, 1),
      Tracking[[#This Row],[Date]])</f>
        <v>0</v>
      </c>
    </row>
    <row r="1130" spans="3:9" x14ac:dyDescent="0.2">
      <c r="C1130" s="94"/>
      <c r="D1130" s="32"/>
      <c r="E1130" s="32"/>
      <c r="F1130" s="34"/>
      <c r="G1130" s="35"/>
      <c r="H1130" s="37" cm="1">
        <f t="array" ref="H1130">IFERROR(SUMPRODUCT(Tracking[Amount], --(Tracking[Date]&lt;=Tracking[[#This Row],[Date]]), (Tracking[Type]&lt;&gt;"Income") * (-1) + (Tracking[Type]="Income")), "-")</f>
        <v>0</v>
      </c>
      <c r="I1130" s="95">
        <f>IF(AND(Tracking[[#This Row],[Type]]="Income", shift_late_income_status="Active", DAY(Tracking[[#This Row],[Date]])&gt;=shift_late_income_starting_day),
      DATE(YEAR(Tracking[[#This Row],[Date]]), MONTH(Tracking[[#This Row],[Date]])+1, 1),
      Tracking[[#This Row],[Date]])</f>
        <v>0</v>
      </c>
    </row>
    <row r="1131" spans="3:9" x14ac:dyDescent="0.2">
      <c r="C1131" s="94"/>
      <c r="D1131" s="32"/>
      <c r="E1131" s="32"/>
      <c r="F1131" s="34"/>
      <c r="G1131" s="35"/>
      <c r="H1131" s="37" cm="1">
        <f t="array" ref="H1131">IFERROR(SUMPRODUCT(Tracking[Amount], --(Tracking[Date]&lt;=Tracking[[#This Row],[Date]]), (Tracking[Type]&lt;&gt;"Income") * (-1) + (Tracking[Type]="Income")), "-")</f>
        <v>0</v>
      </c>
      <c r="I1131" s="95">
        <f>IF(AND(Tracking[[#This Row],[Type]]="Income", shift_late_income_status="Active", DAY(Tracking[[#This Row],[Date]])&gt;=shift_late_income_starting_day),
      DATE(YEAR(Tracking[[#This Row],[Date]]), MONTH(Tracking[[#This Row],[Date]])+1, 1),
      Tracking[[#This Row],[Date]])</f>
        <v>0</v>
      </c>
    </row>
    <row r="1132" spans="3:9" x14ac:dyDescent="0.2">
      <c r="C1132" s="94"/>
      <c r="D1132" s="32"/>
      <c r="E1132" s="32"/>
      <c r="F1132" s="34"/>
      <c r="G1132" s="35"/>
      <c r="H1132" s="37" cm="1">
        <f t="array" ref="H1132">IFERROR(SUMPRODUCT(Tracking[Amount], --(Tracking[Date]&lt;=Tracking[[#This Row],[Date]]), (Tracking[Type]&lt;&gt;"Income") * (-1) + (Tracking[Type]="Income")), "-")</f>
        <v>0</v>
      </c>
      <c r="I1132" s="95">
        <f>IF(AND(Tracking[[#This Row],[Type]]="Income", shift_late_income_status="Active", DAY(Tracking[[#This Row],[Date]])&gt;=shift_late_income_starting_day),
      DATE(YEAR(Tracking[[#This Row],[Date]]), MONTH(Tracking[[#This Row],[Date]])+1, 1),
      Tracking[[#This Row],[Date]])</f>
        <v>0</v>
      </c>
    </row>
    <row r="1133" spans="3:9" x14ac:dyDescent="0.2">
      <c r="C1133" s="94"/>
      <c r="D1133" s="32"/>
      <c r="E1133" s="32"/>
      <c r="F1133" s="34"/>
      <c r="G1133" s="35"/>
      <c r="H1133" s="37" cm="1">
        <f t="array" ref="H1133">IFERROR(SUMPRODUCT(Tracking[Amount], --(Tracking[Date]&lt;=Tracking[[#This Row],[Date]]), (Tracking[Type]&lt;&gt;"Income") * (-1) + (Tracking[Type]="Income")), "-")</f>
        <v>0</v>
      </c>
      <c r="I1133" s="95">
        <f>IF(AND(Tracking[[#This Row],[Type]]="Income", shift_late_income_status="Active", DAY(Tracking[[#This Row],[Date]])&gt;=shift_late_income_starting_day),
      DATE(YEAR(Tracking[[#This Row],[Date]]), MONTH(Tracking[[#This Row],[Date]])+1, 1),
      Tracking[[#This Row],[Date]])</f>
        <v>0</v>
      </c>
    </row>
    <row r="1134" spans="3:9" x14ac:dyDescent="0.2">
      <c r="C1134" s="94"/>
      <c r="D1134" s="32"/>
      <c r="E1134" s="32"/>
      <c r="F1134" s="34"/>
      <c r="G1134" s="35"/>
      <c r="H1134" s="37" cm="1">
        <f t="array" ref="H1134">IFERROR(SUMPRODUCT(Tracking[Amount], --(Tracking[Date]&lt;=Tracking[[#This Row],[Date]]), (Tracking[Type]&lt;&gt;"Income") * (-1) + (Tracking[Type]="Income")), "-")</f>
        <v>0</v>
      </c>
      <c r="I1134" s="95">
        <f>IF(AND(Tracking[[#This Row],[Type]]="Income", shift_late_income_status="Active", DAY(Tracking[[#This Row],[Date]])&gt;=shift_late_income_starting_day),
      DATE(YEAR(Tracking[[#This Row],[Date]]), MONTH(Tracking[[#This Row],[Date]])+1, 1),
      Tracking[[#This Row],[Date]])</f>
        <v>0</v>
      </c>
    </row>
    <row r="1135" spans="3:9" x14ac:dyDescent="0.2">
      <c r="C1135" s="94"/>
      <c r="D1135" s="32"/>
      <c r="E1135" s="32"/>
      <c r="F1135" s="34"/>
      <c r="G1135" s="35"/>
      <c r="H1135" s="37" cm="1">
        <f t="array" ref="H1135">IFERROR(SUMPRODUCT(Tracking[Amount], --(Tracking[Date]&lt;=Tracking[[#This Row],[Date]]), (Tracking[Type]&lt;&gt;"Income") * (-1) + (Tracking[Type]="Income")), "-")</f>
        <v>0</v>
      </c>
      <c r="I1135" s="95">
        <f>IF(AND(Tracking[[#This Row],[Type]]="Income", shift_late_income_status="Active", DAY(Tracking[[#This Row],[Date]])&gt;=shift_late_income_starting_day),
      DATE(YEAR(Tracking[[#This Row],[Date]]), MONTH(Tracking[[#This Row],[Date]])+1, 1),
      Tracking[[#This Row],[Date]])</f>
        <v>0</v>
      </c>
    </row>
    <row r="1136" spans="3:9" x14ac:dyDescent="0.2">
      <c r="C1136" s="94"/>
      <c r="D1136" s="32"/>
      <c r="E1136" s="32"/>
      <c r="F1136" s="34"/>
      <c r="G1136" s="35"/>
      <c r="H1136" s="37" cm="1">
        <f t="array" ref="H1136">IFERROR(SUMPRODUCT(Tracking[Amount], --(Tracking[Date]&lt;=Tracking[[#This Row],[Date]]), (Tracking[Type]&lt;&gt;"Income") * (-1) + (Tracking[Type]="Income")), "-")</f>
        <v>0</v>
      </c>
      <c r="I1136" s="95">
        <f>IF(AND(Tracking[[#This Row],[Type]]="Income", shift_late_income_status="Active", DAY(Tracking[[#This Row],[Date]])&gt;=shift_late_income_starting_day),
      DATE(YEAR(Tracking[[#This Row],[Date]]), MONTH(Tracking[[#This Row],[Date]])+1, 1),
      Tracking[[#This Row],[Date]])</f>
        <v>0</v>
      </c>
    </row>
    <row r="1137" spans="3:9" x14ac:dyDescent="0.2">
      <c r="C1137" s="94"/>
      <c r="D1137" s="32"/>
      <c r="E1137" s="32"/>
      <c r="F1137" s="34"/>
      <c r="G1137" s="35"/>
      <c r="H1137" s="37" cm="1">
        <f t="array" ref="H1137">IFERROR(SUMPRODUCT(Tracking[Amount], --(Tracking[Date]&lt;=Tracking[[#This Row],[Date]]), (Tracking[Type]&lt;&gt;"Income") * (-1) + (Tracking[Type]="Income")), "-")</f>
        <v>0</v>
      </c>
      <c r="I1137" s="95">
        <f>IF(AND(Tracking[[#This Row],[Type]]="Income", shift_late_income_status="Active", DAY(Tracking[[#This Row],[Date]])&gt;=shift_late_income_starting_day),
      DATE(YEAR(Tracking[[#This Row],[Date]]), MONTH(Tracking[[#This Row],[Date]])+1, 1),
      Tracking[[#This Row],[Date]])</f>
        <v>0</v>
      </c>
    </row>
    <row r="1138" spans="3:9" x14ac:dyDescent="0.2">
      <c r="C1138" s="94"/>
      <c r="D1138" s="32"/>
      <c r="E1138" s="32"/>
      <c r="F1138" s="34"/>
      <c r="G1138" s="35"/>
      <c r="H1138" s="37" cm="1">
        <f t="array" ref="H1138">IFERROR(SUMPRODUCT(Tracking[Amount], --(Tracking[Date]&lt;=Tracking[[#This Row],[Date]]), (Tracking[Type]&lt;&gt;"Income") * (-1) + (Tracking[Type]="Income")), "-")</f>
        <v>0</v>
      </c>
      <c r="I1138" s="95">
        <f>IF(AND(Tracking[[#This Row],[Type]]="Income", shift_late_income_status="Active", DAY(Tracking[[#This Row],[Date]])&gt;=shift_late_income_starting_day),
      DATE(YEAR(Tracking[[#This Row],[Date]]), MONTH(Tracking[[#This Row],[Date]])+1, 1),
      Tracking[[#This Row],[Date]])</f>
        <v>0</v>
      </c>
    </row>
    <row r="1139" spans="3:9" x14ac:dyDescent="0.2">
      <c r="C1139" s="94"/>
      <c r="D1139" s="32"/>
      <c r="E1139" s="32"/>
      <c r="F1139" s="34"/>
      <c r="G1139" s="35"/>
      <c r="H1139" s="37" cm="1">
        <f t="array" ref="H1139">IFERROR(SUMPRODUCT(Tracking[Amount], --(Tracking[Date]&lt;=Tracking[[#This Row],[Date]]), (Tracking[Type]&lt;&gt;"Income") * (-1) + (Tracking[Type]="Income")), "-")</f>
        <v>0</v>
      </c>
      <c r="I1139" s="95">
        <f>IF(AND(Tracking[[#This Row],[Type]]="Income", shift_late_income_status="Active", DAY(Tracking[[#This Row],[Date]])&gt;=shift_late_income_starting_day),
      DATE(YEAR(Tracking[[#This Row],[Date]]), MONTH(Tracking[[#This Row],[Date]])+1, 1),
      Tracking[[#This Row],[Date]])</f>
        <v>0</v>
      </c>
    </row>
    <row r="1140" spans="3:9" x14ac:dyDescent="0.2">
      <c r="C1140" s="94"/>
      <c r="D1140" s="32"/>
      <c r="E1140" s="32"/>
      <c r="F1140" s="34"/>
      <c r="G1140" s="35"/>
      <c r="H1140" s="37" cm="1">
        <f t="array" ref="H1140">IFERROR(SUMPRODUCT(Tracking[Amount], --(Tracking[Date]&lt;=Tracking[[#This Row],[Date]]), (Tracking[Type]&lt;&gt;"Income") * (-1) + (Tracking[Type]="Income")), "-")</f>
        <v>0</v>
      </c>
      <c r="I1140" s="95">
        <f>IF(AND(Tracking[[#This Row],[Type]]="Income", shift_late_income_status="Active", DAY(Tracking[[#This Row],[Date]])&gt;=shift_late_income_starting_day),
      DATE(YEAR(Tracking[[#This Row],[Date]]), MONTH(Tracking[[#This Row],[Date]])+1, 1),
      Tracking[[#This Row],[Date]])</f>
        <v>0</v>
      </c>
    </row>
    <row r="1141" spans="3:9" x14ac:dyDescent="0.2">
      <c r="C1141" s="94"/>
      <c r="D1141" s="32"/>
      <c r="E1141" s="32"/>
      <c r="F1141" s="34"/>
      <c r="G1141" s="35"/>
      <c r="H1141" s="37" cm="1">
        <f t="array" ref="H1141">IFERROR(SUMPRODUCT(Tracking[Amount], --(Tracking[Date]&lt;=Tracking[[#This Row],[Date]]), (Tracking[Type]&lt;&gt;"Income") * (-1) + (Tracking[Type]="Income")), "-")</f>
        <v>0</v>
      </c>
      <c r="I1141" s="95">
        <f>IF(AND(Tracking[[#This Row],[Type]]="Income", shift_late_income_status="Active", DAY(Tracking[[#This Row],[Date]])&gt;=shift_late_income_starting_day),
      DATE(YEAR(Tracking[[#This Row],[Date]]), MONTH(Tracking[[#This Row],[Date]])+1, 1),
      Tracking[[#This Row],[Date]])</f>
        <v>0</v>
      </c>
    </row>
    <row r="1142" spans="3:9" x14ac:dyDescent="0.2">
      <c r="C1142" s="94"/>
      <c r="D1142" s="32"/>
      <c r="E1142" s="32"/>
      <c r="F1142" s="34"/>
      <c r="G1142" s="35"/>
      <c r="H1142" s="37" cm="1">
        <f t="array" ref="H1142">IFERROR(SUMPRODUCT(Tracking[Amount], --(Tracking[Date]&lt;=Tracking[[#This Row],[Date]]), (Tracking[Type]&lt;&gt;"Income") * (-1) + (Tracking[Type]="Income")), "-")</f>
        <v>0</v>
      </c>
      <c r="I1142" s="95">
        <f>IF(AND(Tracking[[#This Row],[Type]]="Income", shift_late_income_status="Active", DAY(Tracking[[#This Row],[Date]])&gt;=shift_late_income_starting_day),
      DATE(YEAR(Tracking[[#This Row],[Date]]), MONTH(Tracking[[#This Row],[Date]])+1, 1),
      Tracking[[#This Row],[Date]])</f>
        <v>0</v>
      </c>
    </row>
    <row r="1143" spans="3:9" x14ac:dyDescent="0.2">
      <c r="C1143" s="94"/>
      <c r="D1143" s="32"/>
      <c r="E1143" s="32"/>
      <c r="F1143" s="34"/>
      <c r="G1143" s="35"/>
      <c r="H1143" s="37" cm="1">
        <f t="array" ref="H1143">IFERROR(SUMPRODUCT(Tracking[Amount], --(Tracking[Date]&lt;=Tracking[[#This Row],[Date]]), (Tracking[Type]&lt;&gt;"Income") * (-1) + (Tracking[Type]="Income")), "-")</f>
        <v>0</v>
      </c>
      <c r="I1143" s="95">
        <f>IF(AND(Tracking[[#This Row],[Type]]="Income", shift_late_income_status="Active", DAY(Tracking[[#This Row],[Date]])&gt;=shift_late_income_starting_day),
      DATE(YEAR(Tracking[[#This Row],[Date]]), MONTH(Tracking[[#This Row],[Date]])+1, 1),
      Tracking[[#This Row],[Date]])</f>
        <v>0</v>
      </c>
    </row>
    <row r="1144" spans="3:9" x14ac:dyDescent="0.2">
      <c r="C1144" s="94"/>
      <c r="D1144" s="32"/>
      <c r="E1144" s="32"/>
      <c r="F1144" s="34"/>
      <c r="G1144" s="35"/>
      <c r="H1144" s="37" cm="1">
        <f t="array" ref="H1144">IFERROR(SUMPRODUCT(Tracking[Amount], --(Tracking[Date]&lt;=Tracking[[#This Row],[Date]]), (Tracking[Type]&lt;&gt;"Income") * (-1) + (Tracking[Type]="Income")), "-")</f>
        <v>0</v>
      </c>
      <c r="I1144" s="95">
        <f>IF(AND(Tracking[[#This Row],[Type]]="Income", shift_late_income_status="Active", DAY(Tracking[[#This Row],[Date]])&gt;=shift_late_income_starting_day),
      DATE(YEAR(Tracking[[#This Row],[Date]]), MONTH(Tracking[[#This Row],[Date]])+1, 1),
      Tracking[[#This Row],[Date]])</f>
        <v>0</v>
      </c>
    </row>
    <row r="1145" spans="3:9" x14ac:dyDescent="0.2">
      <c r="C1145" s="94"/>
      <c r="D1145" s="32"/>
      <c r="E1145" s="32"/>
      <c r="F1145" s="34"/>
      <c r="G1145" s="35"/>
      <c r="H1145" s="37" cm="1">
        <f t="array" ref="H1145">IFERROR(SUMPRODUCT(Tracking[Amount], --(Tracking[Date]&lt;=Tracking[[#This Row],[Date]]), (Tracking[Type]&lt;&gt;"Income") * (-1) + (Tracking[Type]="Income")), "-")</f>
        <v>0</v>
      </c>
      <c r="I1145" s="95">
        <f>IF(AND(Tracking[[#This Row],[Type]]="Income", shift_late_income_status="Active", DAY(Tracking[[#This Row],[Date]])&gt;=shift_late_income_starting_day),
      DATE(YEAR(Tracking[[#This Row],[Date]]), MONTH(Tracking[[#This Row],[Date]])+1, 1),
      Tracking[[#This Row],[Date]])</f>
        <v>0</v>
      </c>
    </row>
    <row r="1146" spans="3:9" x14ac:dyDescent="0.2">
      <c r="C1146" s="94"/>
      <c r="D1146" s="32"/>
      <c r="E1146" s="32"/>
      <c r="F1146" s="34"/>
      <c r="G1146" s="35"/>
      <c r="H1146" s="37" cm="1">
        <f t="array" ref="H1146">IFERROR(SUMPRODUCT(Tracking[Amount], --(Tracking[Date]&lt;=Tracking[[#This Row],[Date]]), (Tracking[Type]&lt;&gt;"Income") * (-1) + (Tracking[Type]="Income")), "-")</f>
        <v>0</v>
      </c>
      <c r="I1146" s="95">
        <f>IF(AND(Tracking[[#This Row],[Type]]="Income", shift_late_income_status="Active", DAY(Tracking[[#This Row],[Date]])&gt;=shift_late_income_starting_day),
      DATE(YEAR(Tracking[[#This Row],[Date]]), MONTH(Tracking[[#This Row],[Date]])+1, 1),
      Tracking[[#This Row],[Date]])</f>
        <v>0</v>
      </c>
    </row>
    <row r="1147" spans="3:9" x14ac:dyDescent="0.2">
      <c r="C1147" s="94"/>
      <c r="D1147" s="32"/>
      <c r="E1147" s="32"/>
      <c r="F1147" s="34"/>
      <c r="G1147" s="35"/>
      <c r="H1147" s="37" cm="1">
        <f t="array" ref="H1147">IFERROR(SUMPRODUCT(Tracking[Amount], --(Tracking[Date]&lt;=Tracking[[#This Row],[Date]]), (Tracking[Type]&lt;&gt;"Income") * (-1) + (Tracking[Type]="Income")), "-")</f>
        <v>0</v>
      </c>
      <c r="I1147" s="95">
        <f>IF(AND(Tracking[[#This Row],[Type]]="Income", shift_late_income_status="Active", DAY(Tracking[[#This Row],[Date]])&gt;=shift_late_income_starting_day),
      DATE(YEAR(Tracking[[#This Row],[Date]]), MONTH(Tracking[[#This Row],[Date]])+1, 1),
      Tracking[[#This Row],[Date]])</f>
        <v>0</v>
      </c>
    </row>
    <row r="1148" spans="3:9" x14ac:dyDescent="0.2">
      <c r="C1148" s="94"/>
      <c r="D1148" s="32"/>
      <c r="E1148" s="32"/>
      <c r="F1148" s="34"/>
      <c r="G1148" s="35"/>
      <c r="H1148" s="37" cm="1">
        <f t="array" ref="H1148">IFERROR(SUMPRODUCT(Tracking[Amount], --(Tracking[Date]&lt;=Tracking[[#This Row],[Date]]), (Tracking[Type]&lt;&gt;"Income") * (-1) + (Tracking[Type]="Income")), "-")</f>
        <v>0</v>
      </c>
      <c r="I1148" s="95">
        <f>IF(AND(Tracking[[#This Row],[Type]]="Income", shift_late_income_status="Active", DAY(Tracking[[#This Row],[Date]])&gt;=shift_late_income_starting_day),
      DATE(YEAR(Tracking[[#This Row],[Date]]), MONTH(Tracking[[#This Row],[Date]])+1, 1),
      Tracking[[#This Row],[Date]])</f>
        <v>0</v>
      </c>
    </row>
    <row r="1149" spans="3:9" x14ac:dyDescent="0.2">
      <c r="C1149" s="94"/>
      <c r="D1149" s="32"/>
      <c r="E1149" s="32"/>
      <c r="F1149" s="34"/>
      <c r="G1149" s="35"/>
      <c r="H1149" s="37" cm="1">
        <f t="array" ref="H1149">IFERROR(SUMPRODUCT(Tracking[Amount], --(Tracking[Date]&lt;=Tracking[[#This Row],[Date]]), (Tracking[Type]&lt;&gt;"Income") * (-1) + (Tracking[Type]="Income")), "-")</f>
        <v>0</v>
      </c>
      <c r="I1149" s="95">
        <f>IF(AND(Tracking[[#This Row],[Type]]="Income", shift_late_income_status="Active", DAY(Tracking[[#This Row],[Date]])&gt;=shift_late_income_starting_day),
      DATE(YEAR(Tracking[[#This Row],[Date]]), MONTH(Tracking[[#This Row],[Date]])+1, 1),
      Tracking[[#This Row],[Date]])</f>
        <v>0</v>
      </c>
    </row>
    <row r="1150" spans="3:9" x14ac:dyDescent="0.2">
      <c r="C1150" s="94"/>
      <c r="D1150" s="32"/>
      <c r="E1150" s="32"/>
      <c r="F1150" s="34"/>
      <c r="G1150" s="35"/>
      <c r="H1150" s="37" cm="1">
        <f t="array" ref="H1150">IFERROR(SUMPRODUCT(Tracking[Amount], --(Tracking[Date]&lt;=Tracking[[#This Row],[Date]]), (Tracking[Type]&lt;&gt;"Income") * (-1) + (Tracking[Type]="Income")), "-")</f>
        <v>0</v>
      </c>
      <c r="I1150" s="95">
        <f>IF(AND(Tracking[[#This Row],[Type]]="Income", shift_late_income_status="Active", DAY(Tracking[[#This Row],[Date]])&gt;=shift_late_income_starting_day),
      DATE(YEAR(Tracking[[#This Row],[Date]]), MONTH(Tracking[[#This Row],[Date]])+1, 1),
      Tracking[[#This Row],[Date]])</f>
        <v>0</v>
      </c>
    </row>
    <row r="1151" spans="3:9" x14ac:dyDescent="0.2">
      <c r="C1151" s="94"/>
      <c r="D1151" s="32"/>
      <c r="E1151" s="32"/>
      <c r="F1151" s="34"/>
      <c r="G1151" s="35"/>
      <c r="H1151" s="37" cm="1">
        <f t="array" ref="H1151">IFERROR(SUMPRODUCT(Tracking[Amount], --(Tracking[Date]&lt;=Tracking[[#This Row],[Date]]), (Tracking[Type]&lt;&gt;"Income") * (-1) + (Tracking[Type]="Income")), "-")</f>
        <v>0</v>
      </c>
      <c r="I1151" s="95">
        <f>IF(AND(Tracking[[#This Row],[Type]]="Income", shift_late_income_status="Active", DAY(Tracking[[#This Row],[Date]])&gt;=shift_late_income_starting_day),
      DATE(YEAR(Tracking[[#This Row],[Date]]), MONTH(Tracking[[#This Row],[Date]])+1, 1),
      Tracking[[#This Row],[Date]])</f>
        <v>0</v>
      </c>
    </row>
    <row r="1152" spans="3:9" x14ac:dyDescent="0.2">
      <c r="C1152" s="94"/>
      <c r="D1152" s="32"/>
      <c r="E1152" s="32"/>
      <c r="F1152" s="34"/>
      <c r="G1152" s="35"/>
      <c r="H1152" s="37" cm="1">
        <f t="array" ref="H1152">IFERROR(SUMPRODUCT(Tracking[Amount], --(Tracking[Date]&lt;=Tracking[[#This Row],[Date]]), (Tracking[Type]&lt;&gt;"Income") * (-1) + (Tracking[Type]="Income")), "-")</f>
        <v>0</v>
      </c>
      <c r="I1152" s="95">
        <f>IF(AND(Tracking[[#This Row],[Type]]="Income", shift_late_income_status="Active", DAY(Tracking[[#This Row],[Date]])&gt;=shift_late_income_starting_day),
      DATE(YEAR(Tracking[[#This Row],[Date]]), MONTH(Tracking[[#This Row],[Date]])+1, 1),
      Tracking[[#This Row],[Date]])</f>
        <v>0</v>
      </c>
    </row>
    <row r="1153" spans="3:9" x14ac:dyDescent="0.2">
      <c r="C1153" s="94"/>
      <c r="D1153" s="32"/>
      <c r="E1153" s="32"/>
      <c r="F1153" s="34"/>
      <c r="G1153" s="35"/>
      <c r="H1153" s="37" cm="1">
        <f t="array" ref="H1153">IFERROR(SUMPRODUCT(Tracking[Amount], --(Tracking[Date]&lt;=Tracking[[#This Row],[Date]]), (Tracking[Type]&lt;&gt;"Income") * (-1) + (Tracking[Type]="Income")), "-")</f>
        <v>0</v>
      </c>
      <c r="I1153" s="95">
        <f>IF(AND(Tracking[[#This Row],[Type]]="Income", shift_late_income_status="Active", DAY(Tracking[[#This Row],[Date]])&gt;=shift_late_income_starting_day),
      DATE(YEAR(Tracking[[#This Row],[Date]]), MONTH(Tracking[[#This Row],[Date]])+1, 1),
      Tracking[[#This Row],[Date]])</f>
        <v>0</v>
      </c>
    </row>
    <row r="1154" spans="3:9" x14ac:dyDescent="0.2">
      <c r="C1154" s="94"/>
      <c r="D1154" s="32"/>
      <c r="E1154" s="32"/>
      <c r="F1154" s="34"/>
      <c r="G1154" s="35"/>
      <c r="H1154" s="37" cm="1">
        <f t="array" ref="H1154">IFERROR(SUMPRODUCT(Tracking[Amount], --(Tracking[Date]&lt;=Tracking[[#This Row],[Date]]), (Tracking[Type]&lt;&gt;"Income") * (-1) + (Tracking[Type]="Income")), "-")</f>
        <v>0</v>
      </c>
      <c r="I1154" s="95">
        <f>IF(AND(Tracking[[#This Row],[Type]]="Income", shift_late_income_status="Active", DAY(Tracking[[#This Row],[Date]])&gt;=shift_late_income_starting_day),
      DATE(YEAR(Tracking[[#This Row],[Date]]), MONTH(Tracking[[#This Row],[Date]])+1, 1),
      Tracking[[#This Row],[Date]])</f>
        <v>0</v>
      </c>
    </row>
    <row r="1155" spans="3:9" x14ac:dyDescent="0.2">
      <c r="C1155" s="94"/>
      <c r="D1155" s="32"/>
      <c r="E1155" s="32"/>
      <c r="F1155" s="34"/>
      <c r="G1155" s="35"/>
      <c r="H1155" s="37" cm="1">
        <f t="array" ref="H1155">IFERROR(SUMPRODUCT(Tracking[Amount], --(Tracking[Date]&lt;=Tracking[[#This Row],[Date]]), (Tracking[Type]&lt;&gt;"Income") * (-1) + (Tracking[Type]="Income")), "-")</f>
        <v>0</v>
      </c>
      <c r="I1155" s="95">
        <f>IF(AND(Tracking[[#This Row],[Type]]="Income", shift_late_income_status="Active", DAY(Tracking[[#This Row],[Date]])&gt;=shift_late_income_starting_day),
      DATE(YEAR(Tracking[[#This Row],[Date]]), MONTH(Tracking[[#This Row],[Date]])+1, 1),
      Tracking[[#This Row],[Date]])</f>
        <v>0</v>
      </c>
    </row>
    <row r="1156" spans="3:9" x14ac:dyDescent="0.2">
      <c r="C1156" s="94"/>
      <c r="D1156" s="32"/>
      <c r="E1156" s="32"/>
      <c r="F1156" s="34"/>
      <c r="G1156" s="35"/>
      <c r="H1156" s="37" cm="1">
        <f t="array" ref="H1156">IFERROR(SUMPRODUCT(Tracking[Amount], --(Tracking[Date]&lt;=Tracking[[#This Row],[Date]]), (Tracking[Type]&lt;&gt;"Income") * (-1) + (Tracking[Type]="Income")), "-")</f>
        <v>0</v>
      </c>
      <c r="I1156" s="95">
        <f>IF(AND(Tracking[[#This Row],[Type]]="Income", shift_late_income_status="Active", DAY(Tracking[[#This Row],[Date]])&gt;=shift_late_income_starting_day),
      DATE(YEAR(Tracking[[#This Row],[Date]]), MONTH(Tracking[[#This Row],[Date]])+1, 1),
      Tracking[[#This Row],[Date]])</f>
        <v>0</v>
      </c>
    </row>
    <row r="1157" spans="3:9" x14ac:dyDescent="0.2">
      <c r="C1157" s="94"/>
      <c r="D1157" s="32"/>
      <c r="E1157" s="32"/>
      <c r="F1157" s="34"/>
      <c r="G1157" s="35"/>
      <c r="H1157" s="37" cm="1">
        <f t="array" ref="H1157">IFERROR(SUMPRODUCT(Tracking[Amount], --(Tracking[Date]&lt;=Tracking[[#This Row],[Date]]), (Tracking[Type]&lt;&gt;"Income") * (-1) + (Tracking[Type]="Income")), "-")</f>
        <v>0</v>
      </c>
      <c r="I1157" s="95">
        <f>IF(AND(Tracking[[#This Row],[Type]]="Income", shift_late_income_status="Active", DAY(Tracking[[#This Row],[Date]])&gt;=shift_late_income_starting_day),
      DATE(YEAR(Tracking[[#This Row],[Date]]), MONTH(Tracking[[#This Row],[Date]])+1, 1),
      Tracking[[#This Row],[Date]])</f>
        <v>0</v>
      </c>
    </row>
    <row r="1158" spans="3:9" x14ac:dyDescent="0.2">
      <c r="C1158" s="94"/>
      <c r="D1158" s="32"/>
      <c r="E1158" s="32"/>
      <c r="F1158" s="34"/>
      <c r="G1158" s="35"/>
      <c r="H1158" s="37" cm="1">
        <f t="array" ref="H1158">IFERROR(SUMPRODUCT(Tracking[Amount], --(Tracking[Date]&lt;=Tracking[[#This Row],[Date]]), (Tracking[Type]&lt;&gt;"Income") * (-1) + (Tracking[Type]="Income")), "-")</f>
        <v>0</v>
      </c>
      <c r="I1158" s="95">
        <f>IF(AND(Tracking[[#This Row],[Type]]="Income", shift_late_income_status="Active", DAY(Tracking[[#This Row],[Date]])&gt;=shift_late_income_starting_day),
      DATE(YEAR(Tracking[[#This Row],[Date]]), MONTH(Tracking[[#This Row],[Date]])+1, 1),
      Tracking[[#This Row],[Date]])</f>
        <v>0</v>
      </c>
    </row>
    <row r="1159" spans="3:9" x14ac:dyDescent="0.2">
      <c r="C1159" s="94"/>
      <c r="D1159" s="32"/>
      <c r="E1159" s="32"/>
      <c r="F1159" s="34"/>
      <c r="G1159" s="35"/>
      <c r="H1159" s="37" cm="1">
        <f t="array" ref="H1159">IFERROR(SUMPRODUCT(Tracking[Amount], --(Tracking[Date]&lt;=Tracking[[#This Row],[Date]]), (Tracking[Type]&lt;&gt;"Income") * (-1) + (Tracking[Type]="Income")), "-")</f>
        <v>0</v>
      </c>
      <c r="I1159" s="95">
        <f>IF(AND(Tracking[[#This Row],[Type]]="Income", shift_late_income_status="Active", DAY(Tracking[[#This Row],[Date]])&gt;=shift_late_income_starting_day),
      DATE(YEAR(Tracking[[#This Row],[Date]]), MONTH(Tracking[[#This Row],[Date]])+1, 1),
      Tracking[[#This Row],[Date]])</f>
        <v>0</v>
      </c>
    </row>
    <row r="1160" spans="3:9" x14ac:dyDescent="0.2">
      <c r="C1160" s="94"/>
      <c r="D1160" s="32"/>
      <c r="E1160" s="32"/>
      <c r="F1160" s="34"/>
      <c r="G1160" s="35"/>
      <c r="H1160" s="37" cm="1">
        <f t="array" ref="H1160">IFERROR(SUMPRODUCT(Tracking[Amount], --(Tracking[Date]&lt;=Tracking[[#This Row],[Date]]), (Tracking[Type]&lt;&gt;"Income") * (-1) + (Tracking[Type]="Income")), "-")</f>
        <v>0</v>
      </c>
      <c r="I1160" s="95">
        <f>IF(AND(Tracking[[#This Row],[Type]]="Income", shift_late_income_status="Active", DAY(Tracking[[#This Row],[Date]])&gt;=shift_late_income_starting_day),
      DATE(YEAR(Tracking[[#This Row],[Date]]), MONTH(Tracking[[#This Row],[Date]])+1, 1),
      Tracking[[#This Row],[Date]])</f>
        <v>0</v>
      </c>
    </row>
    <row r="1161" spans="3:9" x14ac:dyDescent="0.2">
      <c r="C1161" s="94"/>
      <c r="D1161" s="32"/>
      <c r="E1161" s="32"/>
      <c r="F1161" s="34"/>
      <c r="G1161" s="35"/>
      <c r="H1161" s="37" cm="1">
        <f t="array" ref="H1161">IFERROR(SUMPRODUCT(Tracking[Amount], --(Tracking[Date]&lt;=Tracking[[#This Row],[Date]]), (Tracking[Type]&lt;&gt;"Income") * (-1) + (Tracking[Type]="Income")), "-")</f>
        <v>0</v>
      </c>
      <c r="I1161" s="95">
        <f>IF(AND(Tracking[[#This Row],[Type]]="Income", shift_late_income_status="Active", DAY(Tracking[[#This Row],[Date]])&gt;=shift_late_income_starting_day),
      DATE(YEAR(Tracking[[#This Row],[Date]]), MONTH(Tracking[[#This Row],[Date]])+1, 1),
      Tracking[[#This Row],[Date]])</f>
        <v>0</v>
      </c>
    </row>
    <row r="1162" spans="3:9" x14ac:dyDescent="0.2">
      <c r="C1162" s="94"/>
      <c r="D1162" s="32"/>
      <c r="E1162" s="32"/>
      <c r="F1162" s="34"/>
      <c r="G1162" s="35"/>
      <c r="H1162" s="37" cm="1">
        <f t="array" ref="H1162">IFERROR(SUMPRODUCT(Tracking[Amount], --(Tracking[Date]&lt;=Tracking[[#This Row],[Date]]), (Tracking[Type]&lt;&gt;"Income") * (-1) + (Tracking[Type]="Income")), "-")</f>
        <v>0</v>
      </c>
      <c r="I1162" s="95">
        <f>IF(AND(Tracking[[#This Row],[Type]]="Income", shift_late_income_status="Active", DAY(Tracking[[#This Row],[Date]])&gt;=shift_late_income_starting_day),
      DATE(YEAR(Tracking[[#This Row],[Date]]), MONTH(Tracking[[#This Row],[Date]])+1, 1),
      Tracking[[#This Row],[Date]])</f>
        <v>0</v>
      </c>
    </row>
    <row r="1163" spans="3:9" x14ac:dyDescent="0.2">
      <c r="C1163" s="94"/>
      <c r="D1163" s="32"/>
      <c r="E1163" s="32"/>
      <c r="F1163" s="34"/>
      <c r="G1163" s="35"/>
      <c r="H1163" s="37" cm="1">
        <f t="array" ref="H1163">IFERROR(SUMPRODUCT(Tracking[Amount], --(Tracking[Date]&lt;=Tracking[[#This Row],[Date]]), (Tracking[Type]&lt;&gt;"Income") * (-1) + (Tracking[Type]="Income")), "-")</f>
        <v>0</v>
      </c>
      <c r="I1163" s="95">
        <f>IF(AND(Tracking[[#This Row],[Type]]="Income", shift_late_income_status="Active", DAY(Tracking[[#This Row],[Date]])&gt;=shift_late_income_starting_day),
      DATE(YEAR(Tracking[[#This Row],[Date]]), MONTH(Tracking[[#This Row],[Date]])+1, 1),
      Tracking[[#This Row],[Date]])</f>
        <v>0</v>
      </c>
    </row>
    <row r="1164" spans="3:9" x14ac:dyDescent="0.2">
      <c r="C1164" s="94"/>
      <c r="D1164" s="32"/>
      <c r="E1164" s="32"/>
      <c r="F1164" s="34"/>
      <c r="G1164" s="35"/>
      <c r="H1164" s="37" cm="1">
        <f t="array" ref="H1164">IFERROR(SUMPRODUCT(Tracking[Amount], --(Tracking[Date]&lt;=Tracking[[#This Row],[Date]]), (Tracking[Type]&lt;&gt;"Income") * (-1) + (Tracking[Type]="Income")), "-")</f>
        <v>0</v>
      </c>
      <c r="I1164" s="95">
        <f>IF(AND(Tracking[[#This Row],[Type]]="Income", shift_late_income_status="Active", DAY(Tracking[[#This Row],[Date]])&gt;=shift_late_income_starting_day),
      DATE(YEAR(Tracking[[#This Row],[Date]]), MONTH(Tracking[[#This Row],[Date]])+1, 1),
      Tracking[[#This Row],[Date]])</f>
        <v>0</v>
      </c>
    </row>
    <row r="1165" spans="3:9" x14ac:dyDescent="0.2">
      <c r="C1165" s="94"/>
      <c r="D1165" s="32"/>
      <c r="E1165" s="32"/>
      <c r="F1165" s="34"/>
      <c r="G1165" s="35"/>
      <c r="H1165" s="37" cm="1">
        <f t="array" ref="H1165">IFERROR(SUMPRODUCT(Tracking[Amount], --(Tracking[Date]&lt;=Tracking[[#This Row],[Date]]), (Tracking[Type]&lt;&gt;"Income") * (-1) + (Tracking[Type]="Income")), "-")</f>
        <v>0</v>
      </c>
      <c r="I1165" s="95">
        <f>IF(AND(Tracking[[#This Row],[Type]]="Income", shift_late_income_status="Active", DAY(Tracking[[#This Row],[Date]])&gt;=shift_late_income_starting_day),
      DATE(YEAR(Tracking[[#This Row],[Date]]), MONTH(Tracking[[#This Row],[Date]])+1, 1),
      Tracking[[#This Row],[Date]])</f>
        <v>0</v>
      </c>
    </row>
    <row r="1166" spans="3:9" x14ac:dyDescent="0.2">
      <c r="C1166" s="94"/>
      <c r="D1166" s="32"/>
      <c r="E1166" s="32"/>
      <c r="F1166" s="34"/>
      <c r="G1166" s="35"/>
      <c r="H1166" s="37" cm="1">
        <f t="array" ref="H1166">IFERROR(SUMPRODUCT(Tracking[Amount], --(Tracking[Date]&lt;=Tracking[[#This Row],[Date]]), (Tracking[Type]&lt;&gt;"Income") * (-1) + (Tracking[Type]="Income")), "-")</f>
        <v>0</v>
      </c>
      <c r="I1166" s="95">
        <f>IF(AND(Tracking[[#This Row],[Type]]="Income", shift_late_income_status="Active", DAY(Tracking[[#This Row],[Date]])&gt;=shift_late_income_starting_day),
      DATE(YEAR(Tracking[[#This Row],[Date]]), MONTH(Tracking[[#This Row],[Date]])+1, 1),
      Tracking[[#This Row],[Date]])</f>
        <v>0</v>
      </c>
    </row>
    <row r="1167" spans="3:9" x14ac:dyDescent="0.2">
      <c r="C1167" s="94"/>
      <c r="D1167" s="32"/>
      <c r="E1167" s="32"/>
      <c r="F1167" s="34"/>
      <c r="G1167" s="35"/>
      <c r="H1167" s="37" cm="1">
        <f t="array" ref="H1167">IFERROR(SUMPRODUCT(Tracking[Amount], --(Tracking[Date]&lt;=Tracking[[#This Row],[Date]]), (Tracking[Type]&lt;&gt;"Income") * (-1) + (Tracking[Type]="Income")), "-")</f>
        <v>0</v>
      </c>
      <c r="I1167" s="95">
        <f>IF(AND(Tracking[[#This Row],[Type]]="Income", shift_late_income_status="Active", DAY(Tracking[[#This Row],[Date]])&gt;=shift_late_income_starting_day),
      DATE(YEAR(Tracking[[#This Row],[Date]]), MONTH(Tracking[[#This Row],[Date]])+1, 1),
      Tracking[[#This Row],[Date]])</f>
        <v>0</v>
      </c>
    </row>
    <row r="1168" spans="3:9" x14ac:dyDescent="0.2">
      <c r="C1168" s="94"/>
      <c r="D1168" s="32"/>
      <c r="E1168" s="32"/>
      <c r="F1168" s="34"/>
      <c r="G1168" s="35"/>
      <c r="H1168" s="37" cm="1">
        <f t="array" ref="H1168">IFERROR(SUMPRODUCT(Tracking[Amount], --(Tracking[Date]&lt;=Tracking[[#This Row],[Date]]), (Tracking[Type]&lt;&gt;"Income") * (-1) + (Tracking[Type]="Income")), "-")</f>
        <v>0</v>
      </c>
      <c r="I1168" s="95">
        <f>IF(AND(Tracking[[#This Row],[Type]]="Income", shift_late_income_status="Active", DAY(Tracking[[#This Row],[Date]])&gt;=shift_late_income_starting_day),
      DATE(YEAR(Tracking[[#This Row],[Date]]), MONTH(Tracking[[#This Row],[Date]])+1, 1),
      Tracking[[#This Row],[Date]])</f>
        <v>0</v>
      </c>
    </row>
    <row r="1169" spans="3:9" x14ac:dyDescent="0.2">
      <c r="C1169" s="94"/>
      <c r="D1169" s="32"/>
      <c r="E1169" s="32"/>
      <c r="F1169" s="34"/>
      <c r="G1169" s="35"/>
      <c r="H1169" s="37" cm="1">
        <f t="array" ref="H1169">IFERROR(SUMPRODUCT(Tracking[Amount], --(Tracking[Date]&lt;=Tracking[[#This Row],[Date]]), (Tracking[Type]&lt;&gt;"Income") * (-1) + (Tracking[Type]="Income")), "-")</f>
        <v>0</v>
      </c>
      <c r="I1169" s="95">
        <f>IF(AND(Tracking[[#This Row],[Type]]="Income", shift_late_income_status="Active", DAY(Tracking[[#This Row],[Date]])&gt;=shift_late_income_starting_day),
      DATE(YEAR(Tracking[[#This Row],[Date]]), MONTH(Tracking[[#This Row],[Date]])+1, 1),
      Tracking[[#This Row],[Date]])</f>
        <v>0</v>
      </c>
    </row>
    <row r="1170" spans="3:9" x14ac:dyDescent="0.2">
      <c r="C1170" s="94"/>
      <c r="D1170" s="32"/>
      <c r="E1170" s="32"/>
      <c r="F1170" s="34"/>
      <c r="G1170" s="35"/>
      <c r="H1170" s="37" cm="1">
        <f t="array" ref="H1170">IFERROR(SUMPRODUCT(Tracking[Amount], --(Tracking[Date]&lt;=Tracking[[#This Row],[Date]]), (Tracking[Type]&lt;&gt;"Income") * (-1) + (Tracking[Type]="Income")), "-")</f>
        <v>0</v>
      </c>
      <c r="I1170" s="95">
        <f>IF(AND(Tracking[[#This Row],[Type]]="Income", shift_late_income_status="Active", DAY(Tracking[[#This Row],[Date]])&gt;=shift_late_income_starting_day),
      DATE(YEAR(Tracking[[#This Row],[Date]]), MONTH(Tracking[[#This Row],[Date]])+1, 1),
      Tracking[[#This Row],[Date]])</f>
        <v>0</v>
      </c>
    </row>
    <row r="1171" spans="3:9" x14ac:dyDescent="0.2">
      <c r="C1171" s="94"/>
      <c r="D1171" s="32"/>
      <c r="E1171" s="32"/>
      <c r="F1171" s="34"/>
      <c r="G1171" s="35"/>
      <c r="H1171" s="37" cm="1">
        <f t="array" ref="H1171">IFERROR(SUMPRODUCT(Tracking[Amount], --(Tracking[Date]&lt;=Tracking[[#This Row],[Date]]), (Tracking[Type]&lt;&gt;"Income") * (-1) + (Tracking[Type]="Income")), "-")</f>
        <v>0</v>
      </c>
      <c r="I1171" s="95">
        <f>IF(AND(Tracking[[#This Row],[Type]]="Income", shift_late_income_status="Active", DAY(Tracking[[#This Row],[Date]])&gt;=shift_late_income_starting_day),
      DATE(YEAR(Tracking[[#This Row],[Date]]), MONTH(Tracking[[#This Row],[Date]])+1, 1),
      Tracking[[#This Row],[Date]])</f>
        <v>0</v>
      </c>
    </row>
    <row r="1172" spans="3:9" x14ac:dyDescent="0.2">
      <c r="C1172" s="94"/>
      <c r="D1172" s="32"/>
      <c r="E1172" s="32"/>
      <c r="F1172" s="34"/>
      <c r="G1172" s="35"/>
      <c r="H1172" s="37" cm="1">
        <f t="array" ref="H1172">IFERROR(SUMPRODUCT(Tracking[Amount], --(Tracking[Date]&lt;=Tracking[[#This Row],[Date]]), (Tracking[Type]&lt;&gt;"Income") * (-1) + (Tracking[Type]="Income")), "-")</f>
        <v>0</v>
      </c>
      <c r="I1172" s="95">
        <f>IF(AND(Tracking[[#This Row],[Type]]="Income", shift_late_income_status="Active", DAY(Tracking[[#This Row],[Date]])&gt;=shift_late_income_starting_day),
      DATE(YEAR(Tracking[[#This Row],[Date]]), MONTH(Tracking[[#This Row],[Date]])+1, 1),
      Tracking[[#This Row],[Date]])</f>
        <v>0</v>
      </c>
    </row>
    <row r="1173" spans="3:9" x14ac:dyDescent="0.2">
      <c r="C1173" s="94"/>
      <c r="D1173" s="32"/>
      <c r="E1173" s="32"/>
      <c r="F1173" s="34"/>
      <c r="G1173" s="35"/>
      <c r="H1173" s="37" cm="1">
        <f t="array" ref="H1173">IFERROR(SUMPRODUCT(Tracking[Amount], --(Tracking[Date]&lt;=Tracking[[#This Row],[Date]]), (Tracking[Type]&lt;&gt;"Income") * (-1) + (Tracking[Type]="Income")), "-")</f>
        <v>0</v>
      </c>
      <c r="I1173" s="95">
        <f>IF(AND(Tracking[[#This Row],[Type]]="Income", shift_late_income_status="Active", DAY(Tracking[[#This Row],[Date]])&gt;=shift_late_income_starting_day),
      DATE(YEAR(Tracking[[#This Row],[Date]]), MONTH(Tracking[[#This Row],[Date]])+1, 1),
      Tracking[[#This Row],[Date]])</f>
        <v>0</v>
      </c>
    </row>
    <row r="1174" spans="3:9" x14ac:dyDescent="0.2">
      <c r="C1174" s="94"/>
      <c r="D1174" s="32"/>
      <c r="E1174" s="32"/>
      <c r="F1174" s="34"/>
      <c r="G1174" s="35"/>
      <c r="H1174" s="37" cm="1">
        <f t="array" ref="H1174">IFERROR(SUMPRODUCT(Tracking[Amount], --(Tracking[Date]&lt;=Tracking[[#This Row],[Date]]), (Tracking[Type]&lt;&gt;"Income") * (-1) + (Tracking[Type]="Income")), "-")</f>
        <v>0</v>
      </c>
      <c r="I1174" s="95">
        <f>IF(AND(Tracking[[#This Row],[Type]]="Income", shift_late_income_status="Active", DAY(Tracking[[#This Row],[Date]])&gt;=shift_late_income_starting_day),
      DATE(YEAR(Tracking[[#This Row],[Date]]), MONTH(Tracking[[#This Row],[Date]])+1, 1),
      Tracking[[#This Row],[Date]])</f>
        <v>0</v>
      </c>
    </row>
    <row r="1175" spans="3:9" x14ac:dyDescent="0.2">
      <c r="C1175" s="94"/>
      <c r="D1175" s="32"/>
      <c r="E1175" s="32"/>
      <c r="F1175" s="34"/>
      <c r="G1175" s="35"/>
      <c r="H1175" s="37" cm="1">
        <f t="array" ref="H1175">IFERROR(SUMPRODUCT(Tracking[Amount], --(Tracking[Date]&lt;=Tracking[[#This Row],[Date]]), (Tracking[Type]&lt;&gt;"Income") * (-1) + (Tracking[Type]="Income")), "-")</f>
        <v>0</v>
      </c>
      <c r="I1175" s="95">
        <f>IF(AND(Tracking[[#This Row],[Type]]="Income", shift_late_income_status="Active", DAY(Tracking[[#This Row],[Date]])&gt;=shift_late_income_starting_day),
      DATE(YEAR(Tracking[[#This Row],[Date]]), MONTH(Tracking[[#This Row],[Date]])+1, 1),
      Tracking[[#This Row],[Date]])</f>
        <v>0</v>
      </c>
    </row>
    <row r="1176" spans="3:9" x14ac:dyDescent="0.2">
      <c r="C1176" s="94"/>
      <c r="D1176" s="32"/>
      <c r="E1176" s="32"/>
      <c r="F1176" s="34"/>
      <c r="G1176" s="35"/>
      <c r="H1176" s="37" cm="1">
        <f t="array" ref="H1176">IFERROR(SUMPRODUCT(Tracking[Amount], --(Tracking[Date]&lt;=Tracking[[#This Row],[Date]]), (Tracking[Type]&lt;&gt;"Income") * (-1) + (Tracking[Type]="Income")), "-")</f>
        <v>0</v>
      </c>
      <c r="I1176" s="95">
        <f>IF(AND(Tracking[[#This Row],[Type]]="Income", shift_late_income_status="Active", DAY(Tracking[[#This Row],[Date]])&gt;=shift_late_income_starting_day),
      DATE(YEAR(Tracking[[#This Row],[Date]]), MONTH(Tracking[[#This Row],[Date]])+1, 1),
      Tracking[[#This Row],[Date]])</f>
        <v>0</v>
      </c>
    </row>
    <row r="1177" spans="3:9" x14ac:dyDescent="0.2">
      <c r="C1177" s="94"/>
      <c r="D1177" s="32"/>
      <c r="E1177" s="32"/>
      <c r="F1177" s="34"/>
      <c r="G1177" s="35"/>
      <c r="H1177" s="37" cm="1">
        <f t="array" ref="H1177">IFERROR(SUMPRODUCT(Tracking[Amount], --(Tracking[Date]&lt;=Tracking[[#This Row],[Date]]), (Tracking[Type]&lt;&gt;"Income") * (-1) + (Tracking[Type]="Income")), "-")</f>
        <v>0</v>
      </c>
      <c r="I1177" s="95">
        <f>IF(AND(Tracking[[#This Row],[Type]]="Income", shift_late_income_status="Active", DAY(Tracking[[#This Row],[Date]])&gt;=shift_late_income_starting_day),
      DATE(YEAR(Tracking[[#This Row],[Date]]), MONTH(Tracking[[#This Row],[Date]])+1, 1),
      Tracking[[#This Row],[Date]])</f>
        <v>0</v>
      </c>
    </row>
    <row r="1178" spans="3:9" x14ac:dyDescent="0.2">
      <c r="C1178" s="94"/>
      <c r="D1178" s="32"/>
      <c r="E1178" s="32"/>
      <c r="F1178" s="34"/>
      <c r="G1178" s="35"/>
      <c r="H1178" s="37" cm="1">
        <f t="array" ref="H1178">IFERROR(SUMPRODUCT(Tracking[Amount], --(Tracking[Date]&lt;=Tracking[[#This Row],[Date]]), (Tracking[Type]&lt;&gt;"Income") * (-1) + (Tracking[Type]="Income")), "-")</f>
        <v>0</v>
      </c>
      <c r="I1178" s="95">
        <f>IF(AND(Tracking[[#This Row],[Type]]="Income", shift_late_income_status="Active", DAY(Tracking[[#This Row],[Date]])&gt;=shift_late_income_starting_day),
      DATE(YEAR(Tracking[[#This Row],[Date]]), MONTH(Tracking[[#This Row],[Date]])+1, 1),
      Tracking[[#This Row],[Date]])</f>
        <v>0</v>
      </c>
    </row>
    <row r="1179" spans="3:9" x14ac:dyDescent="0.2">
      <c r="C1179" s="94"/>
      <c r="D1179" s="32"/>
      <c r="E1179" s="32"/>
      <c r="F1179" s="34"/>
      <c r="G1179" s="35"/>
      <c r="H1179" s="37" cm="1">
        <f t="array" ref="H1179">IFERROR(SUMPRODUCT(Tracking[Amount], --(Tracking[Date]&lt;=Tracking[[#This Row],[Date]]), (Tracking[Type]&lt;&gt;"Income") * (-1) + (Tracking[Type]="Income")), "-")</f>
        <v>0</v>
      </c>
      <c r="I1179" s="95">
        <f>IF(AND(Tracking[[#This Row],[Type]]="Income", shift_late_income_status="Active", DAY(Tracking[[#This Row],[Date]])&gt;=shift_late_income_starting_day),
      DATE(YEAR(Tracking[[#This Row],[Date]]), MONTH(Tracking[[#This Row],[Date]])+1, 1),
      Tracking[[#This Row],[Date]])</f>
        <v>0</v>
      </c>
    </row>
    <row r="1180" spans="3:9" x14ac:dyDescent="0.2">
      <c r="C1180" s="94"/>
      <c r="D1180" s="32"/>
      <c r="E1180" s="32"/>
      <c r="F1180" s="34"/>
      <c r="G1180" s="35"/>
      <c r="H1180" s="37" cm="1">
        <f t="array" ref="H1180">IFERROR(SUMPRODUCT(Tracking[Amount], --(Tracking[Date]&lt;=Tracking[[#This Row],[Date]]), (Tracking[Type]&lt;&gt;"Income") * (-1) + (Tracking[Type]="Income")), "-")</f>
        <v>0</v>
      </c>
      <c r="I1180" s="95">
        <f>IF(AND(Tracking[[#This Row],[Type]]="Income", shift_late_income_status="Active", DAY(Tracking[[#This Row],[Date]])&gt;=shift_late_income_starting_day),
      DATE(YEAR(Tracking[[#This Row],[Date]]), MONTH(Tracking[[#This Row],[Date]])+1, 1),
      Tracking[[#This Row],[Date]])</f>
        <v>0</v>
      </c>
    </row>
    <row r="1181" spans="3:9" x14ac:dyDescent="0.2">
      <c r="C1181" s="94"/>
      <c r="D1181" s="32"/>
      <c r="E1181" s="32"/>
      <c r="F1181" s="34"/>
      <c r="G1181" s="35"/>
      <c r="H1181" s="37" cm="1">
        <f t="array" ref="H1181">IFERROR(SUMPRODUCT(Tracking[Amount], --(Tracking[Date]&lt;=Tracking[[#This Row],[Date]]), (Tracking[Type]&lt;&gt;"Income") * (-1) + (Tracking[Type]="Income")), "-")</f>
        <v>0</v>
      </c>
      <c r="I1181" s="95">
        <f>IF(AND(Tracking[[#This Row],[Type]]="Income", shift_late_income_status="Active", DAY(Tracking[[#This Row],[Date]])&gt;=shift_late_income_starting_day),
      DATE(YEAR(Tracking[[#This Row],[Date]]), MONTH(Tracking[[#This Row],[Date]])+1, 1),
      Tracking[[#This Row],[Date]])</f>
        <v>0</v>
      </c>
    </row>
    <row r="1182" spans="3:9" x14ac:dyDescent="0.2">
      <c r="C1182" s="94"/>
      <c r="D1182" s="32"/>
      <c r="E1182" s="32"/>
      <c r="F1182" s="34"/>
      <c r="G1182" s="35"/>
      <c r="H1182" s="37" cm="1">
        <f t="array" ref="H1182">IFERROR(SUMPRODUCT(Tracking[Amount], --(Tracking[Date]&lt;=Tracking[[#This Row],[Date]]), (Tracking[Type]&lt;&gt;"Income") * (-1) + (Tracking[Type]="Income")), "-")</f>
        <v>0</v>
      </c>
      <c r="I1182" s="95">
        <f>IF(AND(Tracking[[#This Row],[Type]]="Income", shift_late_income_status="Active", DAY(Tracking[[#This Row],[Date]])&gt;=shift_late_income_starting_day),
      DATE(YEAR(Tracking[[#This Row],[Date]]), MONTH(Tracking[[#This Row],[Date]])+1, 1),
      Tracking[[#This Row],[Date]])</f>
        <v>0</v>
      </c>
    </row>
    <row r="1183" spans="3:9" x14ac:dyDescent="0.2">
      <c r="C1183" s="94"/>
      <c r="D1183" s="32"/>
      <c r="E1183" s="32"/>
      <c r="F1183" s="34"/>
      <c r="G1183" s="35"/>
      <c r="H1183" s="37" cm="1">
        <f t="array" ref="H1183">IFERROR(SUMPRODUCT(Tracking[Amount], --(Tracking[Date]&lt;=Tracking[[#This Row],[Date]]), (Tracking[Type]&lt;&gt;"Income") * (-1) + (Tracking[Type]="Income")), "-")</f>
        <v>0</v>
      </c>
      <c r="I1183" s="95">
        <f>IF(AND(Tracking[[#This Row],[Type]]="Income", shift_late_income_status="Active", DAY(Tracking[[#This Row],[Date]])&gt;=shift_late_income_starting_day),
      DATE(YEAR(Tracking[[#This Row],[Date]]), MONTH(Tracking[[#This Row],[Date]])+1, 1),
      Tracking[[#This Row],[Date]])</f>
        <v>0</v>
      </c>
    </row>
    <row r="1184" spans="3:9" x14ac:dyDescent="0.2">
      <c r="C1184" s="94"/>
      <c r="D1184" s="32"/>
      <c r="E1184" s="32"/>
      <c r="F1184" s="34"/>
      <c r="G1184" s="35"/>
      <c r="H1184" s="37" cm="1">
        <f t="array" ref="H1184">IFERROR(SUMPRODUCT(Tracking[Amount], --(Tracking[Date]&lt;=Tracking[[#This Row],[Date]]), (Tracking[Type]&lt;&gt;"Income") * (-1) + (Tracking[Type]="Income")), "-")</f>
        <v>0</v>
      </c>
      <c r="I1184" s="95">
        <f>IF(AND(Tracking[[#This Row],[Type]]="Income", shift_late_income_status="Active", DAY(Tracking[[#This Row],[Date]])&gt;=shift_late_income_starting_day),
      DATE(YEAR(Tracking[[#This Row],[Date]]), MONTH(Tracking[[#This Row],[Date]])+1, 1),
      Tracking[[#This Row],[Date]])</f>
        <v>0</v>
      </c>
    </row>
    <row r="1185" spans="3:9" x14ac:dyDescent="0.2">
      <c r="C1185" s="94"/>
      <c r="D1185" s="32"/>
      <c r="E1185" s="32"/>
      <c r="F1185" s="34"/>
      <c r="G1185" s="35"/>
      <c r="H1185" s="37" cm="1">
        <f t="array" ref="H1185">IFERROR(SUMPRODUCT(Tracking[Amount], --(Tracking[Date]&lt;=Tracking[[#This Row],[Date]]), (Tracking[Type]&lt;&gt;"Income") * (-1) + (Tracking[Type]="Income")), "-")</f>
        <v>0</v>
      </c>
      <c r="I1185" s="95">
        <f>IF(AND(Tracking[[#This Row],[Type]]="Income", shift_late_income_status="Active", DAY(Tracking[[#This Row],[Date]])&gt;=shift_late_income_starting_day),
      DATE(YEAR(Tracking[[#This Row],[Date]]), MONTH(Tracking[[#This Row],[Date]])+1, 1),
      Tracking[[#This Row],[Date]])</f>
        <v>0</v>
      </c>
    </row>
    <row r="1186" spans="3:9" x14ac:dyDescent="0.2">
      <c r="C1186" s="94"/>
      <c r="D1186" s="32"/>
      <c r="E1186" s="32"/>
      <c r="F1186" s="34"/>
      <c r="G1186" s="35"/>
      <c r="H1186" s="37" cm="1">
        <f t="array" ref="H1186">IFERROR(SUMPRODUCT(Tracking[Amount], --(Tracking[Date]&lt;=Tracking[[#This Row],[Date]]), (Tracking[Type]&lt;&gt;"Income") * (-1) + (Tracking[Type]="Income")), "-")</f>
        <v>0</v>
      </c>
      <c r="I1186" s="95">
        <f>IF(AND(Tracking[[#This Row],[Type]]="Income", shift_late_income_status="Active", DAY(Tracking[[#This Row],[Date]])&gt;=shift_late_income_starting_day),
      DATE(YEAR(Tracking[[#This Row],[Date]]), MONTH(Tracking[[#This Row],[Date]])+1, 1),
      Tracking[[#This Row],[Date]])</f>
        <v>0</v>
      </c>
    </row>
    <row r="1187" spans="3:9" x14ac:dyDescent="0.2">
      <c r="C1187" s="94"/>
      <c r="D1187" s="32"/>
      <c r="E1187" s="32"/>
      <c r="F1187" s="34"/>
      <c r="G1187" s="35"/>
      <c r="H1187" s="37" cm="1">
        <f t="array" ref="H1187">IFERROR(SUMPRODUCT(Tracking[Amount], --(Tracking[Date]&lt;=Tracking[[#This Row],[Date]]), (Tracking[Type]&lt;&gt;"Income") * (-1) + (Tracking[Type]="Income")), "-")</f>
        <v>0</v>
      </c>
      <c r="I1187" s="95">
        <f>IF(AND(Tracking[[#This Row],[Type]]="Income", shift_late_income_status="Active", DAY(Tracking[[#This Row],[Date]])&gt;=shift_late_income_starting_day),
      DATE(YEAR(Tracking[[#This Row],[Date]]), MONTH(Tracking[[#This Row],[Date]])+1, 1),
      Tracking[[#This Row],[Date]])</f>
        <v>0</v>
      </c>
    </row>
    <row r="1188" spans="3:9" x14ac:dyDescent="0.2">
      <c r="C1188" s="94"/>
      <c r="D1188" s="32"/>
      <c r="E1188" s="32"/>
      <c r="F1188" s="34"/>
      <c r="G1188" s="35"/>
      <c r="H1188" s="37" cm="1">
        <f t="array" ref="H1188">IFERROR(SUMPRODUCT(Tracking[Amount], --(Tracking[Date]&lt;=Tracking[[#This Row],[Date]]), (Tracking[Type]&lt;&gt;"Income") * (-1) + (Tracking[Type]="Income")), "-")</f>
        <v>0</v>
      </c>
      <c r="I1188" s="95">
        <f>IF(AND(Tracking[[#This Row],[Type]]="Income", shift_late_income_status="Active", DAY(Tracking[[#This Row],[Date]])&gt;=shift_late_income_starting_day),
      DATE(YEAR(Tracking[[#This Row],[Date]]), MONTH(Tracking[[#This Row],[Date]])+1, 1),
      Tracking[[#This Row],[Date]])</f>
        <v>0</v>
      </c>
    </row>
    <row r="1189" spans="3:9" x14ac:dyDescent="0.2">
      <c r="C1189" s="94"/>
      <c r="D1189" s="32"/>
      <c r="E1189" s="32"/>
      <c r="F1189" s="34"/>
      <c r="G1189" s="35"/>
      <c r="H1189" s="37" cm="1">
        <f t="array" ref="H1189">IFERROR(SUMPRODUCT(Tracking[Amount], --(Tracking[Date]&lt;=Tracking[[#This Row],[Date]]), (Tracking[Type]&lt;&gt;"Income") * (-1) + (Tracking[Type]="Income")), "-")</f>
        <v>0</v>
      </c>
      <c r="I1189" s="95">
        <f>IF(AND(Tracking[[#This Row],[Type]]="Income", shift_late_income_status="Active", DAY(Tracking[[#This Row],[Date]])&gt;=shift_late_income_starting_day),
      DATE(YEAR(Tracking[[#This Row],[Date]]), MONTH(Tracking[[#This Row],[Date]])+1, 1),
      Tracking[[#This Row],[Date]])</f>
        <v>0</v>
      </c>
    </row>
    <row r="1190" spans="3:9" x14ac:dyDescent="0.2">
      <c r="C1190" s="94"/>
      <c r="D1190" s="32"/>
      <c r="E1190" s="32"/>
      <c r="F1190" s="34"/>
      <c r="G1190" s="35"/>
      <c r="H1190" s="37" cm="1">
        <f t="array" ref="H1190">IFERROR(SUMPRODUCT(Tracking[Amount], --(Tracking[Date]&lt;=Tracking[[#This Row],[Date]]), (Tracking[Type]&lt;&gt;"Income") * (-1) + (Tracking[Type]="Income")), "-")</f>
        <v>0</v>
      </c>
      <c r="I1190" s="95">
        <f>IF(AND(Tracking[[#This Row],[Type]]="Income", shift_late_income_status="Active", DAY(Tracking[[#This Row],[Date]])&gt;=shift_late_income_starting_day),
      DATE(YEAR(Tracking[[#This Row],[Date]]), MONTH(Tracking[[#This Row],[Date]])+1, 1),
      Tracking[[#This Row],[Date]])</f>
        <v>0</v>
      </c>
    </row>
    <row r="1191" spans="3:9" x14ac:dyDescent="0.2">
      <c r="C1191" s="94"/>
      <c r="D1191" s="32"/>
      <c r="E1191" s="32"/>
      <c r="F1191" s="34"/>
      <c r="G1191" s="35"/>
      <c r="H1191" s="37" cm="1">
        <f t="array" ref="H1191">IFERROR(SUMPRODUCT(Tracking[Amount], --(Tracking[Date]&lt;=Tracking[[#This Row],[Date]]), (Tracking[Type]&lt;&gt;"Income") * (-1) + (Tracking[Type]="Income")), "-")</f>
        <v>0</v>
      </c>
      <c r="I1191" s="95">
        <f>IF(AND(Tracking[[#This Row],[Type]]="Income", shift_late_income_status="Active", DAY(Tracking[[#This Row],[Date]])&gt;=shift_late_income_starting_day),
      DATE(YEAR(Tracking[[#This Row],[Date]]), MONTH(Tracking[[#This Row],[Date]])+1, 1),
      Tracking[[#This Row],[Date]])</f>
        <v>0</v>
      </c>
    </row>
    <row r="1192" spans="3:9" x14ac:dyDescent="0.2">
      <c r="C1192" s="94"/>
      <c r="D1192" s="32"/>
      <c r="E1192" s="32"/>
      <c r="F1192" s="34"/>
      <c r="G1192" s="35"/>
      <c r="H1192" s="37" cm="1">
        <f t="array" ref="H1192">IFERROR(SUMPRODUCT(Tracking[Amount], --(Tracking[Date]&lt;=Tracking[[#This Row],[Date]]), (Tracking[Type]&lt;&gt;"Income") * (-1) + (Tracking[Type]="Income")), "-")</f>
        <v>0</v>
      </c>
      <c r="I1192" s="95">
        <f>IF(AND(Tracking[[#This Row],[Type]]="Income", shift_late_income_status="Active", DAY(Tracking[[#This Row],[Date]])&gt;=shift_late_income_starting_day),
      DATE(YEAR(Tracking[[#This Row],[Date]]), MONTH(Tracking[[#This Row],[Date]])+1, 1),
      Tracking[[#This Row],[Date]])</f>
        <v>0</v>
      </c>
    </row>
    <row r="1193" spans="3:9" x14ac:dyDescent="0.2">
      <c r="C1193" s="94"/>
      <c r="D1193" s="32"/>
      <c r="E1193" s="32"/>
      <c r="F1193" s="34"/>
      <c r="G1193" s="35"/>
      <c r="H1193" s="37" cm="1">
        <f t="array" ref="H1193">IFERROR(SUMPRODUCT(Tracking[Amount], --(Tracking[Date]&lt;=Tracking[[#This Row],[Date]]), (Tracking[Type]&lt;&gt;"Income") * (-1) + (Tracking[Type]="Income")), "-")</f>
        <v>0</v>
      </c>
      <c r="I1193" s="95">
        <f>IF(AND(Tracking[[#This Row],[Type]]="Income", shift_late_income_status="Active", DAY(Tracking[[#This Row],[Date]])&gt;=shift_late_income_starting_day),
      DATE(YEAR(Tracking[[#This Row],[Date]]), MONTH(Tracking[[#This Row],[Date]])+1, 1),
      Tracking[[#This Row],[Date]])</f>
        <v>0</v>
      </c>
    </row>
    <row r="1194" spans="3:9" x14ac:dyDescent="0.2">
      <c r="C1194" s="94"/>
      <c r="D1194" s="32"/>
      <c r="E1194" s="32"/>
      <c r="F1194" s="34"/>
      <c r="G1194" s="35"/>
      <c r="H1194" s="37" cm="1">
        <f t="array" ref="H1194">IFERROR(SUMPRODUCT(Tracking[Amount], --(Tracking[Date]&lt;=Tracking[[#This Row],[Date]]), (Tracking[Type]&lt;&gt;"Income") * (-1) + (Tracking[Type]="Income")), "-")</f>
        <v>0</v>
      </c>
      <c r="I1194" s="95">
        <f>IF(AND(Tracking[[#This Row],[Type]]="Income", shift_late_income_status="Active", DAY(Tracking[[#This Row],[Date]])&gt;=shift_late_income_starting_day),
      DATE(YEAR(Tracking[[#This Row],[Date]]), MONTH(Tracking[[#This Row],[Date]])+1, 1),
      Tracking[[#This Row],[Date]])</f>
        <v>0</v>
      </c>
    </row>
    <row r="1195" spans="3:9" x14ac:dyDescent="0.2">
      <c r="C1195" s="94"/>
      <c r="D1195" s="32"/>
      <c r="E1195" s="32"/>
      <c r="F1195" s="34"/>
      <c r="G1195" s="35"/>
      <c r="H1195" s="37" cm="1">
        <f t="array" ref="H1195">IFERROR(SUMPRODUCT(Tracking[Amount], --(Tracking[Date]&lt;=Tracking[[#This Row],[Date]]), (Tracking[Type]&lt;&gt;"Income") * (-1) + (Tracking[Type]="Income")), "-")</f>
        <v>0</v>
      </c>
      <c r="I1195" s="95">
        <f>IF(AND(Tracking[[#This Row],[Type]]="Income", shift_late_income_status="Active", DAY(Tracking[[#This Row],[Date]])&gt;=shift_late_income_starting_day),
      DATE(YEAR(Tracking[[#This Row],[Date]]), MONTH(Tracking[[#This Row],[Date]])+1, 1),
      Tracking[[#This Row],[Date]])</f>
        <v>0</v>
      </c>
    </row>
    <row r="1196" spans="3:9" x14ac:dyDescent="0.2">
      <c r="C1196" s="94"/>
      <c r="D1196" s="32"/>
      <c r="E1196" s="32"/>
      <c r="F1196" s="34"/>
      <c r="G1196" s="35"/>
      <c r="H1196" s="37" cm="1">
        <f t="array" ref="H1196">IFERROR(SUMPRODUCT(Tracking[Amount], --(Tracking[Date]&lt;=Tracking[[#This Row],[Date]]), (Tracking[Type]&lt;&gt;"Income") * (-1) + (Tracking[Type]="Income")), "-")</f>
        <v>0</v>
      </c>
      <c r="I1196" s="95">
        <f>IF(AND(Tracking[[#This Row],[Type]]="Income", shift_late_income_status="Active", DAY(Tracking[[#This Row],[Date]])&gt;=shift_late_income_starting_day),
      DATE(YEAR(Tracking[[#This Row],[Date]]), MONTH(Tracking[[#This Row],[Date]])+1, 1),
      Tracking[[#This Row],[Date]])</f>
        <v>0</v>
      </c>
    </row>
    <row r="1197" spans="3:9" x14ac:dyDescent="0.2">
      <c r="C1197" s="94"/>
      <c r="D1197" s="32"/>
      <c r="E1197" s="32"/>
      <c r="F1197" s="34"/>
      <c r="G1197" s="35"/>
      <c r="H1197" s="37" cm="1">
        <f t="array" ref="H1197">IFERROR(SUMPRODUCT(Tracking[Amount], --(Tracking[Date]&lt;=Tracking[[#This Row],[Date]]), (Tracking[Type]&lt;&gt;"Income") * (-1) + (Tracking[Type]="Income")), "-")</f>
        <v>0</v>
      </c>
      <c r="I1197" s="95">
        <f>IF(AND(Tracking[[#This Row],[Type]]="Income", shift_late_income_status="Active", DAY(Tracking[[#This Row],[Date]])&gt;=shift_late_income_starting_day),
      DATE(YEAR(Tracking[[#This Row],[Date]]), MONTH(Tracking[[#This Row],[Date]])+1, 1),
      Tracking[[#This Row],[Date]])</f>
        <v>0</v>
      </c>
    </row>
    <row r="1198" spans="3:9" x14ac:dyDescent="0.2">
      <c r="C1198" s="94"/>
      <c r="D1198" s="32"/>
      <c r="E1198" s="32"/>
      <c r="F1198" s="34"/>
      <c r="G1198" s="35"/>
      <c r="H1198" s="37" cm="1">
        <f t="array" ref="H1198">IFERROR(SUMPRODUCT(Tracking[Amount], --(Tracking[Date]&lt;=Tracking[[#This Row],[Date]]), (Tracking[Type]&lt;&gt;"Income") * (-1) + (Tracking[Type]="Income")), "-")</f>
        <v>0</v>
      </c>
      <c r="I1198" s="95">
        <f>IF(AND(Tracking[[#This Row],[Type]]="Income", shift_late_income_status="Active", DAY(Tracking[[#This Row],[Date]])&gt;=shift_late_income_starting_day),
      DATE(YEAR(Tracking[[#This Row],[Date]]), MONTH(Tracking[[#This Row],[Date]])+1, 1),
      Tracking[[#This Row],[Date]])</f>
        <v>0</v>
      </c>
    </row>
    <row r="1199" spans="3:9" x14ac:dyDescent="0.2">
      <c r="C1199" s="94"/>
      <c r="D1199" s="32"/>
      <c r="E1199" s="32"/>
      <c r="F1199" s="34"/>
      <c r="G1199" s="35"/>
      <c r="H1199" s="37" cm="1">
        <f t="array" ref="H1199">IFERROR(SUMPRODUCT(Tracking[Amount], --(Tracking[Date]&lt;=Tracking[[#This Row],[Date]]), (Tracking[Type]&lt;&gt;"Income") * (-1) + (Tracking[Type]="Income")), "-")</f>
        <v>0</v>
      </c>
      <c r="I1199" s="95">
        <f>IF(AND(Tracking[[#This Row],[Type]]="Income", shift_late_income_status="Active", DAY(Tracking[[#This Row],[Date]])&gt;=shift_late_income_starting_day),
      DATE(YEAR(Tracking[[#This Row],[Date]]), MONTH(Tracking[[#This Row],[Date]])+1, 1),
      Tracking[[#This Row],[Date]])</f>
        <v>0</v>
      </c>
    </row>
    <row r="1200" spans="3:9" x14ac:dyDescent="0.2">
      <c r="C1200" s="94"/>
      <c r="D1200" s="32"/>
      <c r="E1200" s="32"/>
      <c r="F1200" s="34"/>
      <c r="G1200" s="35"/>
      <c r="H1200" s="37" cm="1">
        <f t="array" ref="H1200">IFERROR(SUMPRODUCT(Tracking[Amount], --(Tracking[Date]&lt;=Tracking[[#This Row],[Date]]), (Tracking[Type]&lt;&gt;"Income") * (-1) + (Tracking[Type]="Income")), "-")</f>
        <v>0</v>
      </c>
      <c r="I1200" s="95">
        <f>IF(AND(Tracking[[#This Row],[Type]]="Income", shift_late_income_status="Active", DAY(Tracking[[#This Row],[Date]])&gt;=shift_late_income_starting_day),
      DATE(YEAR(Tracking[[#This Row],[Date]]), MONTH(Tracking[[#This Row],[Date]])+1, 1),
      Tracking[[#This Row],[Date]])</f>
        <v>0</v>
      </c>
    </row>
    <row r="1201" spans="3:9" x14ac:dyDescent="0.2">
      <c r="C1201" s="94"/>
      <c r="D1201" s="32"/>
      <c r="E1201" s="32"/>
      <c r="F1201" s="34"/>
      <c r="G1201" s="35"/>
      <c r="H1201" s="37" cm="1">
        <f t="array" ref="H1201">IFERROR(SUMPRODUCT(Tracking[Amount], --(Tracking[Date]&lt;=Tracking[[#This Row],[Date]]), (Tracking[Type]&lt;&gt;"Income") * (-1) + (Tracking[Type]="Income")), "-")</f>
        <v>0</v>
      </c>
      <c r="I1201" s="95">
        <f>IF(AND(Tracking[[#This Row],[Type]]="Income", shift_late_income_status="Active", DAY(Tracking[[#This Row],[Date]])&gt;=shift_late_income_starting_day),
      DATE(YEAR(Tracking[[#This Row],[Date]]), MONTH(Tracking[[#This Row],[Date]])+1, 1),
      Tracking[[#This Row],[Date]])</f>
        <v>0</v>
      </c>
    </row>
    <row r="1202" spans="3:9" x14ac:dyDescent="0.2">
      <c r="C1202" s="94"/>
      <c r="D1202" s="32"/>
      <c r="E1202" s="32"/>
      <c r="F1202" s="34"/>
      <c r="G1202" s="35"/>
      <c r="H1202" s="37" cm="1">
        <f t="array" ref="H1202">IFERROR(SUMPRODUCT(Tracking[Amount], --(Tracking[Date]&lt;=Tracking[[#This Row],[Date]]), (Tracking[Type]&lt;&gt;"Income") * (-1) + (Tracking[Type]="Income")), "-")</f>
        <v>0</v>
      </c>
      <c r="I1202" s="95">
        <f>IF(AND(Tracking[[#This Row],[Type]]="Income", shift_late_income_status="Active", DAY(Tracking[[#This Row],[Date]])&gt;=shift_late_income_starting_day),
      DATE(YEAR(Tracking[[#This Row],[Date]]), MONTH(Tracking[[#This Row],[Date]])+1, 1),
      Tracking[[#This Row],[Date]])</f>
        <v>0</v>
      </c>
    </row>
    <row r="1203" spans="3:9" x14ac:dyDescent="0.2">
      <c r="C1203" s="94"/>
      <c r="D1203" s="32"/>
      <c r="E1203" s="32"/>
      <c r="F1203" s="34"/>
      <c r="G1203" s="35"/>
      <c r="H1203" s="37" cm="1">
        <f t="array" ref="H1203">IFERROR(SUMPRODUCT(Tracking[Amount], --(Tracking[Date]&lt;=Tracking[[#This Row],[Date]]), (Tracking[Type]&lt;&gt;"Income") * (-1) + (Tracking[Type]="Income")), "-")</f>
        <v>0</v>
      </c>
      <c r="I1203" s="95">
        <f>IF(AND(Tracking[[#This Row],[Type]]="Income", shift_late_income_status="Active", DAY(Tracking[[#This Row],[Date]])&gt;=shift_late_income_starting_day),
      DATE(YEAR(Tracking[[#This Row],[Date]]), MONTH(Tracking[[#This Row],[Date]])+1, 1),
      Tracking[[#This Row],[Date]])</f>
        <v>0</v>
      </c>
    </row>
    <row r="1204" spans="3:9" x14ac:dyDescent="0.2">
      <c r="C1204" s="94"/>
      <c r="D1204" s="32"/>
      <c r="E1204" s="32"/>
      <c r="F1204" s="34"/>
      <c r="G1204" s="35"/>
      <c r="H1204" s="37" cm="1">
        <f t="array" ref="H1204">IFERROR(SUMPRODUCT(Tracking[Amount], --(Tracking[Date]&lt;=Tracking[[#This Row],[Date]]), (Tracking[Type]&lt;&gt;"Income") * (-1) + (Tracking[Type]="Income")), "-")</f>
        <v>0</v>
      </c>
      <c r="I1204" s="95">
        <f>IF(AND(Tracking[[#This Row],[Type]]="Income", shift_late_income_status="Active", DAY(Tracking[[#This Row],[Date]])&gt;=shift_late_income_starting_day),
      DATE(YEAR(Tracking[[#This Row],[Date]]), MONTH(Tracking[[#This Row],[Date]])+1, 1),
      Tracking[[#This Row],[Date]])</f>
        <v>0</v>
      </c>
    </row>
    <row r="1205" spans="3:9" x14ac:dyDescent="0.2">
      <c r="C1205" s="94"/>
      <c r="D1205" s="32"/>
      <c r="E1205" s="32"/>
      <c r="F1205" s="34"/>
      <c r="G1205" s="35"/>
      <c r="H1205" s="37" cm="1">
        <f t="array" ref="H1205">IFERROR(SUMPRODUCT(Tracking[Amount], --(Tracking[Date]&lt;=Tracking[[#This Row],[Date]]), (Tracking[Type]&lt;&gt;"Income") * (-1) + (Tracking[Type]="Income")), "-")</f>
        <v>0</v>
      </c>
      <c r="I1205" s="95">
        <f>IF(AND(Tracking[[#This Row],[Type]]="Income", shift_late_income_status="Active", DAY(Tracking[[#This Row],[Date]])&gt;=shift_late_income_starting_day),
      DATE(YEAR(Tracking[[#This Row],[Date]]), MONTH(Tracking[[#This Row],[Date]])+1, 1),
      Tracking[[#This Row],[Date]])</f>
        <v>0</v>
      </c>
    </row>
    <row r="1206" spans="3:9" x14ac:dyDescent="0.2">
      <c r="C1206" s="94"/>
      <c r="D1206" s="32"/>
      <c r="E1206" s="32"/>
      <c r="F1206" s="34"/>
      <c r="G1206" s="35"/>
      <c r="H1206" s="37" cm="1">
        <f t="array" ref="H1206">IFERROR(SUMPRODUCT(Tracking[Amount], --(Tracking[Date]&lt;=Tracking[[#This Row],[Date]]), (Tracking[Type]&lt;&gt;"Income") * (-1) + (Tracking[Type]="Income")), "-")</f>
        <v>0</v>
      </c>
      <c r="I1206" s="95">
        <f>IF(AND(Tracking[[#This Row],[Type]]="Income", shift_late_income_status="Active", DAY(Tracking[[#This Row],[Date]])&gt;=shift_late_income_starting_day),
      DATE(YEAR(Tracking[[#This Row],[Date]]), MONTH(Tracking[[#This Row],[Date]])+1, 1),
      Tracking[[#This Row],[Date]])</f>
        <v>0</v>
      </c>
    </row>
    <row r="1207" spans="3:9" x14ac:dyDescent="0.2">
      <c r="C1207" s="94"/>
      <c r="D1207" s="32"/>
      <c r="E1207" s="32"/>
      <c r="F1207" s="34"/>
      <c r="G1207" s="35"/>
      <c r="H1207" s="37" cm="1">
        <f t="array" ref="H1207">IFERROR(SUMPRODUCT(Tracking[Amount], --(Tracking[Date]&lt;=Tracking[[#This Row],[Date]]), (Tracking[Type]&lt;&gt;"Income") * (-1) + (Tracking[Type]="Income")), "-")</f>
        <v>0</v>
      </c>
      <c r="I1207" s="95">
        <f>IF(AND(Tracking[[#This Row],[Type]]="Income", shift_late_income_status="Active", DAY(Tracking[[#This Row],[Date]])&gt;=shift_late_income_starting_day),
      DATE(YEAR(Tracking[[#This Row],[Date]]), MONTH(Tracking[[#This Row],[Date]])+1, 1),
      Tracking[[#This Row],[Date]])</f>
        <v>0</v>
      </c>
    </row>
    <row r="1208" spans="3:9" x14ac:dyDescent="0.2">
      <c r="C1208" s="94"/>
      <c r="D1208" s="32"/>
      <c r="E1208" s="32"/>
      <c r="F1208" s="34"/>
      <c r="G1208" s="35"/>
      <c r="H1208" s="37" cm="1">
        <f t="array" ref="H1208">IFERROR(SUMPRODUCT(Tracking[Amount], --(Tracking[Date]&lt;=Tracking[[#This Row],[Date]]), (Tracking[Type]&lt;&gt;"Income") * (-1) + (Tracking[Type]="Income")), "-")</f>
        <v>0</v>
      </c>
      <c r="I1208" s="95">
        <f>IF(AND(Tracking[[#This Row],[Type]]="Income", shift_late_income_status="Active", DAY(Tracking[[#This Row],[Date]])&gt;=shift_late_income_starting_day),
      DATE(YEAR(Tracking[[#This Row],[Date]]), MONTH(Tracking[[#This Row],[Date]])+1, 1),
      Tracking[[#This Row],[Date]])</f>
        <v>0</v>
      </c>
    </row>
    <row r="1209" spans="3:9" x14ac:dyDescent="0.2">
      <c r="C1209" s="94"/>
      <c r="D1209" s="32"/>
      <c r="E1209" s="32"/>
      <c r="F1209" s="34"/>
      <c r="G1209" s="35"/>
      <c r="H1209" s="37" cm="1">
        <f t="array" ref="H1209">IFERROR(SUMPRODUCT(Tracking[Amount], --(Tracking[Date]&lt;=Tracking[[#This Row],[Date]]), (Tracking[Type]&lt;&gt;"Income") * (-1) + (Tracking[Type]="Income")), "-")</f>
        <v>0</v>
      </c>
      <c r="I1209" s="95">
        <f>IF(AND(Tracking[[#This Row],[Type]]="Income", shift_late_income_status="Active", DAY(Tracking[[#This Row],[Date]])&gt;=shift_late_income_starting_day),
      DATE(YEAR(Tracking[[#This Row],[Date]]), MONTH(Tracking[[#This Row],[Date]])+1, 1),
      Tracking[[#This Row],[Date]])</f>
        <v>0</v>
      </c>
    </row>
    <row r="1210" spans="3:9" x14ac:dyDescent="0.2">
      <c r="C1210" s="94"/>
      <c r="D1210" s="32"/>
      <c r="E1210" s="32"/>
      <c r="F1210" s="34"/>
      <c r="G1210" s="35"/>
      <c r="H1210" s="37" cm="1">
        <f t="array" ref="H1210">IFERROR(SUMPRODUCT(Tracking[Amount], --(Tracking[Date]&lt;=Tracking[[#This Row],[Date]]), (Tracking[Type]&lt;&gt;"Income") * (-1) + (Tracking[Type]="Income")), "-")</f>
        <v>0</v>
      </c>
      <c r="I1210" s="95">
        <f>IF(AND(Tracking[[#This Row],[Type]]="Income", shift_late_income_status="Active", DAY(Tracking[[#This Row],[Date]])&gt;=shift_late_income_starting_day),
      DATE(YEAR(Tracking[[#This Row],[Date]]), MONTH(Tracking[[#This Row],[Date]])+1, 1),
      Tracking[[#This Row],[Date]])</f>
        <v>0</v>
      </c>
    </row>
    <row r="1211" spans="3:9" x14ac:dyDescent="0.2">
      <c r="C1211" s="94"/>
      <c r="D1211" s="32"/>
      <c r="E1211" s="32"/>
      <c r="F1211" s="34"/>
      <c r="G1211" s="35"/>
      <c r="H1211" s="37" cm="1">
        <f t="array" ref="H1211">IFERROR(SUMPRODUCT(Tracking[Amount], --(Tracking[Date]&lt;=Tracking[[#This Row],[Date]]), (Tracking[Type]&lt;&gt;"Income") * (-1) + (Tracking[Type]="Income")), "-")</f>
        <v>0</v>
      </c>
      <c r="I1211" s="95">
        <f>IF(AND(Tracking[[#This Row],[Type]]="Income", shift_late_income_status="Active", DAY(Tracking[[#This Row],[Date]])&gt;=shift_late_income_starting_day),
      DATE(YEAR(Tracking[[#This Row],[Date]]), MONTH(Tracking[[#This Row],[Date]])+1, 1),
      Tracking[[#This Row],[Date]])</f>
        <v>0</v>
      </c>
    </row>
    <row r="1212" spans="3:9" x14ac:dyDescent="0.2">
      <c r="C1212" s="94"/>
      <c r="D1212" s="32"/>
      <c r="E1212" s="32"/>
      <c r="F1212" s="34"/>
      <c r="G1212" s="35"/>
      <c r="H1212" s="37" cm="1">
        <f t="array" ref="H1212">IFERROR(SUMPRODUCT(Tracking[Amount], --(Tracking[Date]&lt;=Tracking[[#This Row],[Date]]), (Tracking[Type]&lt;&gt;"Income") * (-1) + (Tracking[Type]="Income")), "-")</f>
        <v>0</v>
      </c>
      <c r="I1212" s="95">
        <f>IF(AND(Tracking[[#This Row],[Type]]="Income", shift_late_income_status="Active", DAY(Tracking[[#This Row],[Date]])&gt;=shift_late_income_starting_day),
      DATE(YEAR(Tracking[[#This Row],[Date]]), MONTH(Tracking[[#This Row],[Date]])+1, 1),
      Tracking[[#This Row],[Date]])</f>
        <v>0</v>
      </c>
    </row>
    <row r="1213" spans="3:9" x14ac:dyDescent="0.2">
      <c r="C1213" s="94"/>
      <c r="D1213" s="32"/>
      <c r="E1213" s="32"/>
      <c r="F1213" s="34"/>
      <c r="G1213" s="35"/>
      <c r="H1213" s="37" cm="1">
        <f t="array" ref="H1213">IFERROR(SUMPRODUCT(Tracking[Amount], --(Tracking[Date]&lt;=Tracking[[#This Row],[Date]]), (Tracking[Type]&lt;&gt;"Income") * (-1) + (Tracking[Type]="Income")), "-")</f>
        <v>0</v>
      </c>
      <c r="I1213" s="95">
        <f>IF(AND(Tracking[[#This Row],[Type]]="Income", shift_late_income_status="Active", DAY(Tracking[[#This Row],[Date]])&gt;=shift_late_income_starting_day),
      DATE(YEAR(Tracking[[#This Row],[Date]]), MONTH(Tracking[[#This Row],[Date]])+1, 1),
      Tracking[[#This Row],[Date]])</f>
        <v>0</v>
      </c>
    </row>
    <row r="1214" spans="3:9" x14ac:dyDescent="0.2">
      <c r="C1214" s="94"/>
      <c r="D1214" s="32"/>
      <c r="E1214" s="32"/>
      <c r="F1214" s="34"/>
      <c r="G1214" s="35"/>
      <c r="H1214" s="37" cm="1">
        <f t="array" ref="H1214">IFERROR(SUMPRODUCT(Tracking[Amount], --(Tracking[Date]&lt;=Tracking[[#This Row],[Date]]), (Tracking[Type]&lt;&gt;"Income") * (-1) + (Tracking[Type]="Income")), "-")</f>
        <v>0</v>
      </c>
      <c r="I1214" s="95">
        <f>IF(AND(Tracking[[#This Row],[Type]]="Income", shift_late_income_status="Active", DAY(Tracking[[#This Row],[Date]])&gt;=shift_late_income_starting_day),
      DATE(YEAR(Tracking[[#This Row],[Date]]), MONTH(Tracking[[#This Row],[Date]])+1, 1),
      Tracking[[#This Row],[Date]])</f>
        <v>0</v>
      </c>
    </row>
    <row r="1215" spans="3:9" x14ac:dyDescent="0.2">
      <c r="C1215" s="94"/>
      <c r="D1215" s="32"/>
      <c r="E1215" s="32"/>
      <c r="F1215" s="34"/>
      <c r="G1215" s="35"/>
      <c r="H1215" s="37" cm="1">
        <f t="array" ref="H1215">IFERROR(SUMPRODUCT(Tracking[Amount], --(Tracking[Date]&lt;=Tracking[[#This Row],[Date]]), (Tracking[Type]&lt;&gt;"Income") * (-1) + (Tracking[Type]="Income")), "-")</f>
        <v>0</v>
      </c>
      <c r="I1215" s="95">
        <f>IF(AND(Tracking[[#This Row],[Type]]="Income", shift_late_income_status="Active", DAY(Tracking[[#This Row],[Date]])&gt;=shift_late_income_starting_day),
      DATE(YEAR(Tracking[[#This Row],[Date]]), MONTH(Tracking[[#This Row],[Date]])+1, 1),
      Tracking[[#This Row],[Date]])</f>
        <v>0</v>
      </c>
    </row>
    <row r="1216" spans="3:9" x14ac:dyDescent="0.2">
      <c r="C1216" s="94"/>
      <c r="D1216" s="32"/>
      <c r="E1216" s="32"/>
      <c r="F1216" s="34"/>
      <c r="G1216" s="35"/>
      <c r="H1216" s="37" cm="1">
        <f t="array" ref="H1216">IFERROR(SUMPRODUCT(Tracking[Amount], --(Tracking[Date]&lt;=Tracking[[#This Row],[Date]]), (Tracking[Type]&lt;&gt;"Income") * (-1) + (Tracking[Type]="Income")), "-")</f>
        <v>0</v>
      </c>
      <c r="I1216" s="95">
        <f>IF(AND(Tracking[[#This Row],[Type]]="Income", shift_late_income_status="Active", DAY(Tracking[[#This Row],[Date]])&gt;=shift_late_income_starting_day),
      DATE(YEAR(Tracking[[#This Row],[Date]]), MONTH(Tracking[[#This Row],[Date]])+1, 1),
      Tracking[[#This Row],[Date]])</f>
        <v>0</v>
      </c>
    </row>
    <row r="1217" spans="3:9" x14ac:dyDescent="0.2">
      <c r="C1217" s="94"/>
      <c r="D1217" s="32"/>
      <c r="E1217" s="32"/>
      <c r="F1217" s="34"/>
      <c r="G1217" s="35"/>
      <c r="H1217" s="37" cm="1">
        <f t="array" ref="H1217">IFERROR(SUMPRODUCT(Tracking[Amount], --(Tracking[Date]&lt;=Tracking[[#This Row],[Date]]), (Tracking[Type]&lt;&gt;"Income") * (-1) + (Tracking[Type]="Income")), "-")</f>
        <v>0</v>
      </c>
      <c r="I1217" s="95">
        <f>IF(AND(Tracking[[#This Row],[Type]]="Income", shift_late_income_status="Active", DAY(Tracking[[#This Row],[Date]])&gt;=shift_late_income_starting_day),
      DATE(YEAR(Tracking[[#This Row],[Date]]), MONTH(Tracking[[#This Row],[Date]])+1, 1),
      Tracking[[#This Row],[Date]])</f>
        <v>0</v>
      </c>
    </row>
    <row r="1218" spans="3:9" x14ac:dyDescent="0.2">
      <c r="C1218" s="94"/>
      <c r="D1218" s="32"/>
      <c r="E1218" s="32"/>
      <c r="F1218" s="34"/>
      <c r="G1218" s="35"/>
      <c r="H1218" s="37" cm="1">
        <f t="array" ref="H1218">IFERROR(SUMPRODUCT(Tracking[Amount], --(Tracking[Date]&lt;=Tracking[[#This Row],[Date]]), (Tracking[Type]&lt;&gt;"Income") * (-1) + (Tracking[Type]="Income")), "-")</f>
        <v>0</v>
      </c>
      <c r="I1218" s="95">
        <f>IF(AND(Tracking[[#This Row],[Type]]="Income", shift_late_income_status="Active", DAY(Tracking[[#This Row],[Date]])&gt;=shift_late_income_starting_day),
      DATE(YEAR(Tracking[[#This Row],[Date]]), MONTH(Tracking[[#This Row],[Date]])+1, 1),
      Tracking[[#This Row],[Date]])</f>
        <v>0</v>
      </c>
    </row>
    <row r="1219" spans="3:9" x14ac:dyDescent="0.2">
      <c r="C1219" s="94"/>
      <c r="D1219" s="32"/>
      <c r="E1219" s="32"/>
      <c r="F1219" s="34"/>
      <c r="G1219" s="35"/>
      <c r="H1219" s="37" cm="1">
        <f t="array" ref="H1219">IFERROR(SUMPRODUCT(Tracking[Amount], --(Tracking[Date]&lt;=Tracking[[#This Row],[Date]]), (Tracking[Type]&lt;&gt;"Income") * (-1) + (Tracking[Type]="Income")), "-")</f>
        <v>0</v>
      </c>
      <c r="I1219" s="95">
        <f>IF(AND(Tracking[[#This Row],[Type]]="Income", shift_late_income_status="Active", DAY(Tracking[[#This Row],[Date]])&gt;=shift_late_income_starting_day),
      DATE(YEAR(Tracking[[#This Row],[Date]]), MONTH(Tracking[[#This Row],[Date]])+1, 1),
      Tracking[[#This Row],[Date]])</f>
        <v>0</v>
      </c>
    </row>
    <row r="1220" spans="3:9" x14ac:dyDescent="0.2">
      <c r="C1220" s="94"/>
      <c r="D1220" s="32"/>
      <c r="E1220" s="32"/>
      <c r="F1220" s="34"/>
      <c r="G1220" s="35"/>
      <c r="H1220" s="37" cm="1">
        <f t="array" ref="H1220">IFERROR(SUMPRODUCT(Tracking[Amount], --(Tracking[Date]&lt;=Tracking[[#This Row],[Date]]), (Tracking[Type]&lt;&gt;"Income") * (-1) + (Tracking[Type]="Income")), "-")</f>
        <v>0</v>
      </c>
      <c r="I1220" s="95">
        <f>IF(AND(Tracking[[#This Row],[Type]]="Income", shift_late_income_status="Active", DAY(Tracking[[#This Row],[Date]])&gt;=shift_late_income_starting_day),
      DATE(YEAR(Tracking[[#This Row],[Date]]), MONTH(Tracking[[#This Row],[Date]])+1, 1),
      Tracking[[#This Row],[Date]])</f>
        <v>0</v>
      </c>
    </row>
    <row r="1221" spans="3:9" x14ac:dyDescent="0.2">
      <c r="C1221" s="94"/>
      <c r="D1221" s="32"/>
      <c r="E1221" s="32"/>
      <c r="F1221" s="34"/>
      <c r="G1221" s="35"/>
      <c r="H1221" s="37" cm="1">
        <f t="array" ref="H1221">IFERROR(SUMPRODUCT(Tracking[Amount], --(Tracking[Date]&lt;=Tracking[[#This Row],[Date]]), (Tracking[Type]&lt;&gt;"Income") * (-1) + (Tracking[Type]="Income")), "-")</f>
        <v>0</v>
      </c>
      <c r="I1221" s="95">
        <f>IF(AND(Tracking[[#This Row],[Type]]="Income", shift_late_income_status="Active", DAY(Tracking[[#This Row],[Date]])&gt;=shift_late_income_starting_day),
      DATE(YEAR(Tracking[[#This Row],[Date]]), MONTH(Tracking[[#This Row],[Date]])+1, 1),
      Tracking[[#This Row],[Date]])</f>
        <v>0</v>
      </c>
    </row>
    <row r="1222" spans="3:9" x14ac:dyDescent="0.2">
      <c r="C1222" s="94"/>
      <c r="D1222" s="32"/>
      <c r="E1222" s="32"/>
      <c r="F1222" s="34"/>
      <c r="G1222" s="35"/>
      <c r="H1222" s="37" cm="1">
        <f t="array" ref="H1222">IFERROR(SUMPRODUCT(Tracking[Amount], --(Tracking[Date]&lt;=Tracking[[#This Row],[Date]]), (Tracking[Type]&lt;&gt;"Income") * (-1) + (Tracking[Type]="Income")), "-")</f>
        <v>0</v>
      </c>
      <c r="I1222" s="95">
        <f>IF(AND(Tracking[[#This Row],[Type]]="Income", shift_late_income_status="Active", DAY(Tracking[[#This Row],[Date]])&gt;=shift_late_income_starting_day),
      DATE(YEAR(Tracking[[#This Row],[Date]]), MONTH(Tracking[[#This Row],[Date]])+1, 1),
      Tracking[[#This Row],[Date]])</f>
        <v>0</v>
      </c>
    </row>
    <row r="1223" spans="3:9" x14ac:dyDescent="0.2">
      <c r="C1223" s="94"/>
      <c r="D1223" s="32"/>
      <c r="E1223" s="32"/>
      <c r="F1223" s="34"/>
      <c r="G1223" s="35"/>
      <c r="H1223" s="37" cm="1">
        <f t="array" ref="H1223">IFERROR(SUMPRODUCT(Tracking[Amount], --(Tracking[Date]&lt;=Tracking[[#This Row],[Date]]), (Tracking[Type]&lt;&gt;"Income") * (-1) + (Tracking[Type]="Income")), "-")</f>
        <v>0</v>
      </c>
      <c r="I1223" s="95">
        <f>IF(AND(Tracking[[#This Row],[Type]]="Income", shift_late_income_status="Active", DAY(Tracking[[#This Row],[Date]])&gt;=shift_late_income_starting_day),
      DATE(YEAR(Tracking[[#This Row],[Date]]), MONTH(Tracking[[#This Row],[Date]])+1, 1),
      Tracking[[#This Row],[Date]])</f>
        <v>0</v>
      </c>
    </row>
    <row r="1224" spans="3:9" x14ac:dyDescent="0.2">
      <c r="C1224" s="94"/>
      <c r="D1224" s="32"/>
      <c r="E1224" s="32"/>
      <c r="F1224" s="34"/>
      <c r="G1224" s="35"/>
      <c r="H1224" s="37" cm="1">
        <f t="array" ref="H1224">IFERROR(SUMPRODUCT(Tracking[Amount], --(Tracking[Date]&lt;=Tracking[[#This Row],[Date]]), (Tracking[Type]&lt;&gt;"Income") * (-1) + (Tracking[Type]="Income")), "-")</f>
        <v>0</v>
      </c>
      <c r="I1224" s="95">
        <f>IF(AND(Tracking[[#This Row],[Type]]="Income", shift_late_income_status="Active", DAY(Tracking[[#This Row],[Date]])&gt;=shift_late_income_starting_day),
      DATE(YEAR(Tracking[[#This Row],[Date]]), MONTH(Tracking[[#This Row],[Date]])+1, 1),
      Tracking[[#This Row],[Date]])</f>
        <v>0</v>
      </c>
    </row>
    <row r="1225" spans="3:9" x14ac:dyDescent="0.2">
      <c r="C1225" s="94"/>
      <c r="D1225" s="32"/>
      <c r="E1225" s="32"/>
      <c r="F1225" s="34"/>
      <c r="G1225" s="35"/>
      <c r="H1225" s="37" cm="1">
        <f t="array" ref="H1225">IFERROR(SUMPRODUCT(Tracking[Amount], --(Tracking[Date]&lt;=Tracking[[#This Row],[Date]]), (Tracking[Type]&lt;&gt;"Income") * (-1) + (Tracking[Type]="Income")), "-")</f>
        <v>0</v>
      </c>
      <c r="I1225" s="95">
        <f>IF(AND(Tracking[[#This Row],[Type]]="Income", shift_late_income_status="Active", DAY(Tracking[[#This Row],[Date]])&gt;=shift_late_income_starting_day),
      DATE(YEAR(Tracking[[#This Row],[Date]]), MONTH(Tracking[[#This Row],[Date]])+1, 1),
      Tracking[[#This Row],[Date]])</f>
        <v>0</v>
      </c>
    </row>
    <row r="1226" spans="3:9" x14ac:dyDescent="0.2">
      <c r="C1226" s="94"/>
      <c r="D1226" s="32"/>
      <c r="E1226" s="32"/>
      <c r="F1226" s="34"/>
      <c r="G1226" s="35"/>
      <c r="H1226" s="37" cm="1">
        <f t="array" ref="H1226">IFERROR(SUMPRODUCT(Tracking[Amount], --(Tracking[Date]&lt;=Tracking[[#This Row],[Date]]), (Tracking[Type]&lt;&gt;"Income") * (-1) + (Tracking[Type]="Income")), "-")</f>
        <v>0</v>
      </c>
      <c r="I1226" s="95">
        <f>IF(AND(Tracking[[#This Row],[Type]]="Income", shift_late_income_status="Active", DAY(Tracking[[#This Row],[Date]])&gt;=shift_late_income_starting_day),
      DATE(YEAR(Tracking[[#This Row],[Date]]), MONTH(Tracking[[#This Row],[Date]])+1, 1),
      Tracking[[#This Row],[Date]])</f>
        <v>0</v>
      </c>
    </row>
    <row r="1227" spans="3:9" x14ac:dyDescent="0.2">
      <c r="C1227" s="94"/>
      <c r="D1227" s="32"/>
      <c r="E1227" s="32"/>
      <c r="F1227" s="34"/>
      <c r="G1227" s="35"/>
      <c r="H1227" s="37" cm="1">
        <f t="array" ref="H1227">IFERROR(SUMPRODUCT(Tracking[Amount], --(Tracking[Date]&lt;=Tracking[[#This Row],[Date]]), (Tracking[Type]&lt;&gt;"Income") * (-1) + (Tracking[Type]="Income")), "-")</f>
        <v>0</v>
      </c>
      <c r="I1227" s="95">
        <f>IF(AND(Tracking[[#This Row],[Type]]="Income", shift_late_income_status="Active", DAY(Tracking[[#This Row],[Date]])&gt;=shift_late_income_starting_day),
      DATE(YEAR(Tracking[[#This Row],[Date]]), MONTH(Tracking[[#This Row],[Date]])+1, 1),
      Tracking[[#This Row],[Date]])</f>
        <v>0</v>
      </c>
    </row>
    <row r="1228" spans="3:9" x14ac:dyDescent="0.2">
      <c r="C1228" s="94"/>
      <c r="D1228" s="32"/>
      <c r="E1228" s="32"/>
      <c r="F1228" s="34"/>
      <c r="G1228" s="35"/>
      <c r="H1228" s="37" cm="1">
        <f t="array" ref="H1228">IFERROR(SUMPRODUCT(Tracking[Amount], --(Tracking[Date]&lt;=Tracking[[#This Row],[Date]]), (Tracking[Type]&lt;&gt;"Income") * (-1) + (Tracking[Type]="Income")), "-")</f>
        <v>0</v>
      </c>
      <c r="I1228" s="95">
        <f>IF(AND(Tracking[[#This Row],[Type]]="Income", shift_late_income_status="Active", DAY(Tracking[[#This Row],[Date]])&gt;=shift_late_income_starting_day),
      DATE(YEAR(Tracking[[#This Row],[Date]]), MONTH(Tracking[[#This Row],[Date]])+1, 1),
      Tracking[[#This Row],[Date]])</f>
        <v>0</v>
      </c>
    </row>
    <row r="1229" spans="3:9" x14ac:dyDescent="0.2">
      <c r="C1229" s="94"/>
      <c r="D1229" s="32"/>
      <c r="E1229" s="32"/>
      <c r="F1229" s="34"/>
      <c r="G1229" s="35"/>
      <c r="H1229" s="37" cm="1">
        <f t="array" ref="H1229">IFERROR(SUMPRODUCT(Tracking[Amount], --(Tracking[Date]&lt;=Tracking[[#This Row],[Date]]), (Tracking[Type]&lt;&gt;"Income") * (-1) + (Tracking[Type]="Income")), "-")</f>
        <v>0</v>
      </c>
      <c r="I1229" s="95">
        <f>IF(AND(Tracking[[#This Row],[Type]]="Income", shift_late_income_status="Active", DAY(Tracking[[#This Row],[Date]])&gt;=shift_late_income_starting_day),
      DATE(YEAR(Tracking[[#This Row],[Date]]), MONTH(Tracking[[#This Row],[Date]])+1, 1),
      Tracking[[#This Row],[Date]])</f>
        <v>0</v>
      </c>
    </row>
    <row r="1230" spans="3:9" x14ac:dyDescent="0.2">
      <c r="C1230" s="94"/>
      <c r="D1230" s="32"/>
      <c r="E1230" s="32"/>
      <c r="F1230" s="34"/>
      <c r="G1230" s="35"/>
      <c r="H1230" s="37" cm="1">
        <f t="array" ref="H1230">IFERROR(SUMPRODUCT(Tracking[Amount], --(Tracking[Date]&lt;=Tracking[[#This Row],[Date]]), (Tracking[Type]&lt;&gt;"Income") * (-1) + (Tracking[Type]="Income")), "-")</f>
        <v>0</v>
      </c>
      <c r="I1230" s="95">
        <f>IF(AND(Tracking[[#This Row],[Type]]="Income", shift_late_income_status="Active", DAY(Tracking[[#This Row],[Date]])&gt;=shift_late_income_starting_day),
      DATE(YEAR(Tracking[[#This Row],[Date]]), MONTH(Tracking[[#This Row],[Date]])+1, 1),
      Tracking[[#This Row],[Date]])</f>
        <v>0</v>
      </c>
    </row>
    <row r="1231" spans="3:9" x14ac:dyDescent="0.2">
      <c r="C1231" s="94"/>
      <c r="D1231" s="32"/>
      <c r="E1231" s="32"/>
      <c r="F1231" s="34"/>
      <c r="G1231" s="35"/>
      <c r="H1231" s="37" cm="1">
        <f t="array" ref="H1231">IFERROR(SUMPRODUCT(Tracking[Amount], --(Tracking[Date]&lt;=Tracking[[#This Row],[Date]]), (Tracking[Type]&lt;&gt;"Income") * (-1) + (Tracking[Type]="Income")), "-")</f>
        <v>0</v>
      </c>
      <c r="I1231" s="95">
        <f>IF(AND(Tracking[[#This Row],[Type]]="Income", shift_late_income_status="Active", DAY(Tracking[[#This Row],[Date]])&gt;=shift_late_income_starting_day),
      DATE(YEAR(Tracking[[#This Row],[Date]]), MONTH(Tracking[[#This Row],[Date]])+1, 1),
      Tracking[[#This Row],[Date]])</f>
        <v>0</v>
      </c>
    </row>
    <row r="1232" spans="3:9" x14ac:dyDescent="0.2">
      <c r="C1232" s="94"/>
      <c r="D1232" s="32"/>
      <c r="E1232" s="32"/>
      <c r="F1232" s="34"/>
      <c r="G1232" s="35"/>
      <c r="H1232" s="37" cm="1">
        <f t="array" ref="H1232">IFERROR(SUMPRODUCT(Tracking[Amount], --(Tracking[Date]&lt;=Tracking[[#This Row],[Date]]), (Tracking[Type]&lt;&gt;"Income") * (-1) + (Tracking[Type]="Income")), "-")</f>
        <v>0</v>
      </c>
      <c r="I1232" s="95">
        <f>IF(AND(Tracking[[#This Row],[Type]]="Income", shift_late_income_status="Active", DAY(Tracking[[#This Row],[Date]])&gt;=shift_late_income_starting_day),
      DATE(YEAR(Tracking[[#This Row],[Date]]), MONTH(Tracking[[#This Row],[Date]])+1, 1),
      Tracking[[#This Row],[Date]])</f>
        <v>0</v>
      </c>
    </row>
    <row r="1233" spans="3:9" x14ac:dyDescent="0.2">
      <c r="C1233" s="94"/>
      <c r="D1233" s="32"/>
      <c r="E1233" s="32"/>
      <c r="F1233" s="34"/>
      <c r="G1233" s="35"/>
      <c r="H1233" s="37" cm="1">
        <f t="array" ref="H1233">IFERROR(SUMPRODUCT(Tracking[Amount], --(Tracking[Date]&lt;=Tracking[[#This Row],[Date]]), (Tracking[Type]&lt;&gt;"Income") * (-1) + (Tracking[Type]="Income")), "-")</f>
        <v>0</v>
      </c>
      <c r="I1233" s="95">
        <f>IF(AND(Tracking[[#This Row],[Type]]="Income", shift_late_income_status="Active", DAY(Tracking[[#This Row],[Date]])&gt;=shift_late_income_starting_day),
      DATE(YEAR(Tracking[[#This Row],[Date]]), MONTH(Tracking[[#This Row],[Date]])+1, 1),
      Tracking[[#This Row],[Date]])</f>
        <v>0</v>
      </c>
    </row>
    <row r="1234" spans="3:9" x14ac:dyDescent="0.2">
      <c r="C1234" s="94"/>
      <c r="D1234" s="32"/>
      <c r="E1234" s="32"/>
      <c r="F1234" s="34"/>
      <c r="G1234" s="35"/>
      <c r="H1234" s="37" cm="1">
        <f t="array" ref="H1234">IFERROR(SUMPRODUCT(Tracking[Amount], --(Tracking[Date]&lt;=Tracking[[#This Row],[Date]]), (Tracking[Type]&lt;&gt;"Income") * (-1) + (Tracking[Type]="Income")), "-")</f>
        <v>0</v>
      </c>
      <c r="I1234" s="95">
        <f>IF(AND(Tracking[[#This Row],[Type]]="Income", shift_late_income_status="Active", DAY(Tracking[[#This Row],[Date]])&gt;=shift_late_income_starting_day),
      DATE(YEAR(Tracking[[#This Row],[Date]]), MONTH(Tracking[[#This Row],[Date]])+1, 1),
      Tracking[[#This Row],[Date]])</f>
        <v>0</v>
      </c>
    </row>
    <row r="1235" spans="3:9" x14ac:dyDescent="0.2">
      <c r="C1235" s="94"/>
      <c r="D1235" s="32"/>
      <c r="E1235" s="32"/>
      <c r="F1235" s="34"/>
      <c r="G1235" s="35"/>
      <c r="H1235" s="37" cm="1">
        <f t="array" ref="H1235">IFERROR(SUMPRODUCT(Tracking[Amount], --(Tracking[Date]&lt;=Tracking[[#This Row],[Date]]), (Tracking[Type]&lt;&gt;"Income") * (-1) + (Tracking[Type]="Income")), "-")</f>
        <v>0</v>
      </c>
      <c r="I1235" s="95">
        <f>IF(AND(Tracking[[#This Row],[Type]]="Income", shift_late_income_status="Active", DAY(Tracking[[#This Row],[Date]])&gt;=shift_late_income_starting_day),
      DATE(YEAR(Tracking[[#This Row],[Date]]), MONTH(Tracking[[#This Row],[Date]])+1, 1),
      Tracking[[#This Row],[Date]])</f>
        <v>0</v>
      </c>
    </row>
    <row r="1236" spans="3:9" x14ac:dyDescent="0.2">
      <c r="C1236" s="94"/>
      <c r="D1236" s="32"/>
      <c r="E1236" s="32"/>
      <c r="F1236" s="34"/>
      <c r="G1236" s="35"/>
      <c r="H1236" s="37" cm="1">
        <f t="array" ref="H1236">IFERROR(SUMPRODUCT(Tracking[Amount], --(Tracking[Date]&lt;=Tracking[[#This Row],[Date]]), (Tracking[Type]&lt;&gt;"Income") * (-1) + (Tracking[Type]="Income")), "-")</f>
        <v>0</v>
      </c>
      <c r="I1236" s="95">
        <f>IF(AND(Tracking[[#This Row],[Type]]="Income", shift_late_income_status="Active", DAY(Tracking[[#This Row],[Date]])&gt;=shift_late_income_starting_day),
      DATE(YEAR(Tracking[[#This Row],[Date]]), MONTH(Tracking[[#This Row],[Date]])+1, 1),
      Tracking[[#This Row],[Date]])</f>
        <v>0</v>
      </c>
    </row>
    <row r="1237" spans="3:9" x14ac:dyDescent="0.2">
      <c r="C1237" s="94"/>
      <c r="D1237" s="32"/>
      <c r="E1237" s="32"/>
      <c r="F1237" s="34"/>
      <c r="G1237" s="35"/>
      <c r="H1237" s="37" cm="1">
        <f t="array" ref="H1237">IFERROR(SUMPRODUCT(Tracking[Amount], --(Tracking[Date]&lt;=Tracking[[#This Row],[Date]]), (Tracking[Type]&lt;&gt;"Income") * (-1) + (Tracking[Type]="Income")), "-")</f>
        <v>0</v>
      </c>
      <c r="I1237" s="95">
        <f>IF(AND(Tracking[[#This Row],[Type]]="Income", shift_late_income_status="Active", DAY(Tracking[[#This Row],[Date]])&gt;=shift_late_income_starting_day),
      DATE(YEAR(Tracking[[#This Row],[Date]]), MONTH(Tracking[[#This Row],[Date]])+1, 1),
      Tracking[[#This Row],[Date]])</f>
        <v>0</v>
      </c>
    </row>
    <row r="1238" spans="3:9" x14ac:dyDescent="0.2">
      <c r="C1238" s="94"/>
      <c r="D1238" s="32"/>
      <c r="E1238" s="32"/>
      <c r="F1238" s="34"/>
      <c r="G1238" s="35"/>
      <c r="H1238" s="37" cm="1">
        <f t="array" ref="H1238">IFERROR(SUMPRODUCT(Tracking[Amount], --(Tracking[Date]&lt;=Tracking[[#This Row],[Date]]), (Tracking[Type]&lt;&gt;"Income") * (-1) + (Tracking[Type]="Income")), "-")</f>
        <v>0</v>
      </c>
      <c r="I1238" s="95">
        <f>IF(AND(Tracking[[#This Row],[Type]]="Income", shift_late_income_status="Active", DAY(Tracking[[#This Row],[Date]])&gt;=shift_late_income_starting_day),
      DATE(YEAR(Tracking[[#This Row],[Date]]), MONTH(Tracking[[#This Row],[Date]])+1, 1),
      Tracking[[#This Row],[Date]])</f>
        <v>0</v>
      </c>
    </row>
    <row r="1239" spans="3:9" x14ac:dyDescent="0.2">
      <c r="C1239" s="94"/>
      <c r="D1239" s="32"/>
      <c r="E1239" s="32"/>
      <c r="F1239" s="34"/>
      <c r="G1239" s="35"/>
      <c r="H1239" s="37" cm="1">
        <f t="array" ref="H1239">IFERROR(SUMPRODUCT(Tracking[Amount], --(Tracking[Date]&lt;=Tracking[[#This Row],[Date]]), (Tracking[Type]&lt;&gt;"Income") * (-1) + (Tracking[Type]="Income")), "-")</f>
        <v>0</v>
      </c>
      <c r="I1239" s="95">
        <f>IF(AND(Tracking[[#This Row],[Type]]="Income", shift_late_income_status="Active", DAY(Tracking[[#This Row],[Date]])&gt;=shift_late_income_starting_day),
      DATE(YEAR(Tracking[[#This Row],[Date]]), MONTH(Tracking[[#This Row],[Date]])+1, 1),
      Tracking[[#This Row],[Date]])</f>
        <v>0</v>
      </c>
    </row>
    <row r="1240" spans="3:9" x14ac:dyDescent="0.2">
      <c r="C1240" s="94"/>
      <c r="D1240" s="32"/>
      <c r="E1240" s="32"/>
      <c r="F1240" s="34"/>
      <c r="G1240" s="35"/>
      <c r="H1240" s="37" cm="1">
        <f t="array" ref="H1240">IFERROR(SUMPRODUCT(Tracking[Amount], --(Tracking[Date]&lt;=Tracking[[#This Row],[Date]]), (Tracking[Type]&lt;&gt;"Income") * (-1) + (Tracking[Type]="Income")), "-")</f>
        <v>0</v>
      </c>
      <c r="I1240" s="95">
        <f>IF(AND(Tracking[[#This Row],[Type]]="Income", shift_late_income_status="Active", DAY(Tracking[[#This Row],[Date]])&gt;=shift_late_income_starting_day),
      DATE(YEAR(Tracking[[#This Row],[Date]]), MONTH(Tracking[[#This Row],[Date]])+1, 1),
      Tracking[[#This Row],[Date]])</f>
        <v>0</v>
      </c>
    </row>
    <row r="1241" spans="3:9" x14ac:dyDescent="0.2">
      <c r="C1241" s="94"/>
      <c r="D1241" s="32"/>
      <c r="E1241" s="32"/>
      <c r="F1241" s="34"/>
      <c r="G1241" s="35"/>
      <c r="H1241" s="37" cm="1">
        <f t="array" ref="H1241">IFERROR(SUMPRODUCT(Tracking[Amount], --(Tracking[Date]&lt;=Tracking[[#This Row],[Date]]), (Tracking[Type]&lt;&gt;"Income") * (-1) + (Tracking[Type]="Income")), "-")</f>
        <v>0</v>
      </c>
      <c r="I1241" s="95">
        <f>IF(AND(Tracking[[#This Row],[Type]]="Income", shift_late_income_status="Active", DAY(Tracking[[#This Row],[Date]])&gt;=shift_late_income_starting_day),
      DATE(YEAR(Tracking[[#This Row],[Date]]), MONTH(Tracking[[#This Row],[Date]])+1, 1),
      Tracking[[#This Row],[Date]])</f>
        <v>0</v>
      </c>
    </row>
    <row r="1242" spans="3:9" x14ac:dyDescent="0.2">
      <c r="C1242" s="94"/>
      <c r="D1242" s="32"/>
      <c r="E1242" s="32"/>
      <c r="F1242" s="34"/>
      <c r="G1242" s="35"/>
      <c r="H1242" s="37" cm="1">
        <f t="array" ref="H1242">IFERROR(SUMPRODUCT(Tracking[Amount], --(Tracking[Date]&lt;=Tracking[[#This Row],[Date]]), (Tracking[Type]&lt;&gt;"Income") * (-1) + (Tracking[Type]="Income")), "-")</f>
        <v>0</v>
      </c>
      <c r="I1242" s="95">
        <f>IF(AND(Tracking[[#This Row],[Type]]="Income", shift_late_income_status="Active", DAY(Tracking[[#This Row],[Date]])&gt;=shift_late_income_starting_day),
      DATE(YEAR(Tracking[[#This Row],[Date]]), MONTH(Tracking[[#This Row],[Date]])+1, 1),
      Tracking[[#This Row],[Date]])</f>
        <v>0</v>
      </c>
    </row>
    <row r="1243" spans="3:9" x14ac:dyDescent="0.2">
      <c r="C1243" s="94"/>
      <c r="D1243" s="32"/>
      <c r="E1243" s="32"/>
      <c r="F1243" s="34"/>
      <c r="G1243" s="35"/>
      <c r="H1243" s="37" cm="1">
        <f t="array" ref="H1243">IFERROR(SUMPRODUCT(Tracking[Amount], --(Tracking[Date]&lt;=Tracking[[#This Row],[Date]]), (Tracking[Type]&lt;&gt;"Income") * (-1) + (Tracking[Type]="Income")), "-")</f>
        <v>0</v>
      </c>
      <c r="I1243" s="95">
        <f>IF(AND(Tracking[[#This Row],[Type]]="Income", shift_late_income_status="Active", DAY(Tracking[[#This Row],[Date]])&gt;=shift_late_income_starting_day),
      DATE(YEAR(Tracking[[#This Row],[Date]]), MONTH(Tracking[[#This Row],[Date]])+1, 1),
      Tracking[[#This Row],[Date]])</f>
        <v>0</v>
      </c>
    </row>
    <row r="1244" spans="3:9" x14ac:dyDescent="0.2">
      <c r="C1244" s="94"/>
      <c r="D1244" s="32"/>
      <c r="E1244" s="32"/>
      <c r="F1244" s="34"/>
      <c r="G1244" s="35"/>
      <c r="H1244" s="37" cm="1">
        <f t="array" ref="H1244">IFERROR(SUMPRODUCT(Tracking[Amount], --(Tracking[Date]&lt;=Tracking[[#This Row],[Date]]), (Tracking[Type]&lt;&gt;"Income") * (-1) + (Tracking[Type]="Income")), "-")</f>
        <v>0</v>
      </c>
      <c r="I1244" s="95">
        <f>IF(AND(Tracking[[#This Row],[Type]]="Income", shift_late_income_status="Active", DAY(Tracking[[#This Row],[Date]])&gt;=shift_late_income_starting_day),
      DATE(YEAR(Tracking[[#This Row],[Date]]), MONTH(Tracking[[#This Row],[Date]])+1, 1),
      Tracking[[#This Row],[Date]])</f>
        <v>0</v>
      </c>
    </row>
    <row r="1245" spans="3:9" x14ac:dyDescent="0.2">
      <c r="C1245" s="94"/>
      <c r="D1245" s="32"/>
      <c r="E1245" s="32"/>
      <c r="F1245" s="34"/>
      <c r="G1245" s="35"/>
      <c r="H1245" s="37" cm="1">
        <f t="array" ref="H1245">IFERROR(SUMPRODUCT(Tracking[Amount], --(Tracking[Date]&lt;=Tracking[[#This Row],[Date]]), (Tracking[Type]&lt;&gt;"Income") * (-1) + (Tracking[Type]="Income")), "-")</f>
        <v>0</v>
      </c>
      <c r="I1245" s="95">
        <f>IF(AND(Tracking[[#This Row],[Type]]="Income", shift_late_income_status="Active", DAY(Tracking[[#This Row],[Date]])&gt;=shift_late_income_starting_day),
      DATE(YEAR(Tracking[[#This Row],[Date]]), MONTH(Tracking[[#This Row],[Date]])+1, 1),
      Tracking[[#This Row],[Date]])</f>
        <v>0</v>
      </c>
    </row>
    <row r="1246" spans="3:9" x14ac:dyDescent="0.2">
      <c r="C1246" s="94"/>
      <c r="D1246" s="32"/>
      <c r="E1246" s="32"/>
      <c r="F1246" s="34"/>
      <c r="G1246" s="35"/>
      <c r="H1246" s="37" cm="1">
        <f t="array" ref="H1246">IFERROR(SUMPRODUCT(Tracking[Amount], --(Tracking[Date]&lt;=Tracking[[#This Row],[Date]]), (Tracking[Type]&lt;&gt;"Income") * (-1) + (Tracking[Type]="Income")), "-")</f>
        <v>0</v>
      </c>
      <c r="I1246" s="95">
        <f>IF(AND(Tracking[[#This Row],[Type]]="Income", shift_late_income_status="Active", DAY(Tracking[[#This Row],[Date]])&gt;=shift_late_income_starting_day),
      DATE(YEAR(Tracking[[#This Row],[Date]]), MONTH(Tracking[[#This Row],[Date]])+1, 1),
      Tracking[[#This Row],[Date]])</f>
        <v>0</v>
      </c>
    </row>
    <row r="1247" spans="3:9" x14ac:dyDescent="0.2">
      <c r="C1247" s="94"/>
      <c r="D1247" s="32"/>
      <c r="E1247" s="32"/>
      <c r="F1247" s="34"/>
      <c r="G1247" s="35"/>
      <c r="H1247" s="37" cm="1">
        <f t="array" ref="H1247">IFERROR(SUMPRODUCT(Tracking[Amount], --(Tracking[Date]&lt;=Tracking[[#This Row],[Date]]), (Tracking[Type]&lt;&gt;"Income") * (-1) + (Tracking[Type]="Income")), "-")</f>
        <v>0</v>
      </c>
      <c r="I1247" s="95">
        <f>IF(AND(Tracking[[#This Row],[Type]]="Income", shift_late_income_status="Active", DAY(Tracking[[#This Row],[Date]])&gt;=shift_late_income_starting_day),
      DATE(YEAR(Tracking[[#This Row],[Date]]), MONTH(Tracking[[#This Row],[Date]])+1, 1),
      Tracking[[#This Row],[Date]])</f>
        <v>0</v>
      </c>
    </row>
    <row r="1248" spans="3:9" x14ac:dyDescent="0.2">
      <c r="C1248" s="94"/>
      <c r="D1248" s="32"/>
      <c r="E1248" s="32"/>
      <c r="F1248" s="34"/>
      <c r="G1248" s="35"/>
      <c r="H1248" s="37" cm="1">
        <f t="array" ref="H1248">IFERROR(SUMPRODUCT(Tracking[Amount], --(Tracking[Date]&lt;=Tracking[[#This Row],[Date]]), (Tracking[Type]&lt;&gt;"Income") * (-1) + (Tracking[Type]="Income")), "-")</f>
        <v>0</v>
      </c>
      <c r="I1248" s="95">
        <f>IF(AND(Tracking[[#This Row],[Type]]="Income", shift_late_income_status="Active", DAY(Tracking[[#This Row],[Date]])&gt;=shift_late_income_starting_day),
      DATE(YEAR(Tracking[[#This Row],[Date]]), MONTH(Tracking[[#This Row],[Date]])+1, 1),
      Tracking[[#This Row],[Date]])</f>
        <v>0</v>
      </c>
    </row>
    <row r="1249" spans="3:9" x14ac:dyDescent="0.2">
      <c r="C1249" s="94"/>
      <c r="D1249" s="32"/>
      <c r="E1249" s="32"/>
      <c r="F1249" s="34"/>
      <c r="G1249" s="35"/>
      <c r="H1249" s="37" cm="1">
        <f t="array" ref="H1249">IFERROR(SUMPRODUCT(Tracking[Amount], --(Tracking[Date]&lt;=Tracking[[#This Row],[Date]]), (Tracking[Type]&lt;&gt;"Income") * (-1) + (Tracking[Type]="Income")), "-")</f>
        <v>0</v>
      </c>
      <c r="I1249" s="95">
        <f>IF(AND(Tracking[[#This Row],[Type]]="Income", shift_late_income_status="Active", DAY(Tracking[[#This Row],[Date]])&gt;=shift_late_income_starting_day),
      DATE(YEAR(Tracking[[#This Row],[Date]]), MONTH(Tracking[[#This Row],[Date]])+1, 1),
      Tracking[[#This Row],[Date]])</f>
        <v>0</v>
      </c>
    </row>
    <row r="1250" spans="3:9" x14ac:dyDescent="0.2">
      <c r="C1250" s="94"/>
      <c r="D1250" s="32"/>
      <c r="E1250" s="32"/>
      <c r="F1250" s="34"/>
      <c r="G1250" s="35"/>
      <c r="H1250" s="37" cm="1">
        <f t="array" ref="H1250">IFERROR(SUMPRODUCT(Tracking[Amount], --(Tracking[Date]&lt;=Tracking[[#This Row],[Date]]), (Tracking[Type]&lt;&gt;"Income") * (-1) + (Tracking[Type]="Income")), "-")</f>
        <v>0</v>
      </c>
      <c r="I1250" s="95">
        <f>IF(AND(Tracking[[#This Row],[Type]]="Income", shift_late_income_status="Active", DAY(Tracking[[#This Row],[Date]])&gt;=shift_late_income_starting_day),
      DATE(YEAR(Tracking[[#This Row],[Date]]), MONTH(Tracking[[#This Row],[Date]])+1, 1),
      Tracking[[#This Row],[Date]])</f>
        <v>0</v>
      </c>
    </row>
    <row r="1251" spans="3:9" x14ac:dyDescent="0.2">
      <c r="C1251" s="94"/>
      <c r="D1251" s="32"/>
      <c r="E1251" s="32"/>
      <c r="F1251" s="34"/>
      <c r="G1251" s="35"/>
      <c r="H1251" s="37" cm="1">
        <f t="array" ref="H1251">IFERROR(SUMPRODUCT(Tracking[Amount], --(Tracking[Date]&lt;=Tracking[[#This Row],[Date]]), (Tracking[Type]&lt;&gt;"Income") * (-1) + (Tracking[Type]="Income")), "-")</f>
        <v>0</v>
      </c>
      <c r="I1251" s="95">
        <f>IF(AND(Tracking[[#This Row],[Type]]="Income", shift_late_income_status="Active", DAY(Tracking[[#This Row],[Date]])&gt;=shift_late_income_starting_day),
      DATE(YEAR(Tracking[[#This Row],[Date]]), MONTH(Tracking[[#This Row],[Date]])+1, 1),
      Tracking[[#This Row],[Date]])</f>
        <v>0</v>
      </c>
    </row>
    <row r="1252" spans="3:9" x14ac:dyDescent="0.2">
      <c r="C1252" s="94"/>
      <c r="D1252" s="32"/>
      <c r="E1252" s="32"/>
      <c r="F1252" s="34"/>
      <c r="G1252" s="35"/>
      <c r="H1252" s="37" cm="1">
        <f t="array" ref="H1252">IFERROR(SUMPRODUCT(Tracking[Amount], --(Tracking[Date]&lt;=Tracking[[#This Row],[Date]]), (Tracking[Type]&lt;&gt;"Income") * (-1) + (Tracking[Type]="Income")), "-")</f>
        <v>0</v>
      </c>
      <c r="I1252" s="95">
        <f>IF(AND(Tracking[[#This Row],[Type]]="Income", shift_late_income_status="Active", DAY(Tracking[[#This Row],[Date]])&gt;=shift_late_income_starting_day),
      DATE(YEAR(Tracking[[#This Row],[Date]]), MONTH(Tracking[[#This Row],[Date]])+1, 1),
      Tracking[[#This Row],[Date]])</f>
        <v>0</v>
      </c>
    </row>
    <row r="1253" spans="3:9" x14ac:dyDescent="0.2">
      <c r="C1253" s="94"/>
      <c r="D1253" s="32"/>
      <c r="E1253" s="32"/>
      <c r="F1253" s="34"/>
      <c r="G1253" s="35"/>
      <c r="H1253" s="37" cm="1">
        <f t="array" ref="H1253">IFERROR(SUMPRODUCT(Tracking[Amount], --(Tracking[Date]&lt;=Tracking[[#This Row],[Date]]), (Tracking[Type]&lt;&gt;"Income") * (-1) + (Tracking[Type]="Income")), "-")</f>
        <v>0</v>
      </c>
      <c r="I1253" s="95">
        <f>IF(AND(Tracking[[#This Row],[Type]]="Income", shift_late_income_status="Active", DAY(Tracking[[#This Row],[Date]])&gt;=shift_late_income_starting_day),
      DATE(YEAR(Tracking[[#This Row],[Date]]), MONTH(Tracking[[#This Row],[Date]])+1, 1),
      Tracking[[#This Row],[Date]])</f>
        <v>0</v>
      </c>
    </row>
    <row r="1254" spans="3:9" x14ac:dyDescent="0.2">
      <c r="C1254" s="94"/>
      <c r="D1254" s="32"/>
      <c r="E1254" s="32"/>
      <c r="F1254" s="34"/>
      <c r="G1254" s="35"/>
      <c r="H1254" s="37" cm="1">
        <f t="array" ref="H1254">IFERROR(SUMPRODUCT(Tracking[Amount], --(Tracking[Date]&lt;=Tracking[[#This Row],[Date]]), (Tracking[Type]&lt;&gt;"Income") * (-1) + (Tracking[Type]="Income")), "-")</f>
        <v>0</v>
      </c>
      <c r="I1254" s="95">
        <f>IF(AND(Tracking[[#This Row],[Type]]="Income", shift_late_income_status="Active", DAY(Tracking[[#This Row],[Date]])&gt;=shift_late_income_starting_day),
      DATE(YEAR(Tracking[[#This Row],[Date]]), MONTH(Tracking[[#This Row],[Date]])+1, 1),
      Tracking[[#This Row],[Date]])</f>
        <v>0</v>
      </c>
    </row>
    <row r="1255" spans="3:9" x14ac:dyDescent="0.2">
      <c r="C1255" s="94"/>
      <c r="D1255" s="32"/>
      <c r="E1255" s="32"/>
      <c r="F1255" s="34"/>
      <c r="G1255" s="35"/>
      <c r="H1255" s="37" cm="1">
        <f t="array" ref="H1255">IFERROR(SUMPRODUCT(Tracking[Amount], --(Tracking[Date]&lt;=Tracking[[#This Row],[Date]]), (Tracking[Type]&lt;&gt;"Income") * (-1) + (Tracking[Type]="Income")), "-")</f>
        <v>0</v>
      </c>
      <c r="I1255" s="95">
        <f>IF(AND(Tracking[[#This Row],[Type]]="Income", shift_late_income_status="Active", DAY(Tracking[[#This Row],[Date]])&gt;=shift_late_income_starting_day),
      DATE(YEAR(Tracking[[#This Row],[Date]]), MONTH(Tracking[[#This Row],[Date]])+1, 1),
      Tracking[[#This Row],[Date]])</f>
        <v>0</v>
      </c>
    </row>
    <row r="1256" spans="3:9" x14ac:dyDescent="0.2">
      <c r="C1256" s="94"/>
      <c r="D1256" s="32"/>
      <c r="E1256" s="32"/>
      <c r="F1256" s="34"/>
      <c r="G1256" s="35"/>
      <c r="H1256" s="37" cm="1">
        <f t="array" ref="H1256">IFERROR(SUMPRODUCT(Tracking[Amount], --(Tracking[Date]&lt;=Tracking[[#This Row],[Date]]), (Tracking[Type]&lt;&gt;"Income") * (-1) + (Tracking[Type]="Income")), "-")</f>
        <v>0</v>
      </c>
      <c r="I1256" s="95">
        <f>IF(AND(Tracking[[#This Row],[Type]]="Income", shift_late_income_status="Active", DAY(Tracking[[#This Row],[Date]])&gt;=shift_late_income_starting_day),
      DATE(YEAR(Tracking[[#This Row],[Date]]), MONTH(Tracking[[#This Row],[Date]])+1, 1),
      Tracking[[#This Row],[Date]])</f>
        <v>0</v>
      </c>
    </row>
    <row r="1257" spans="3:9" x14ac:dyDescent="0.2">
      <c r="C1257" s="94"/>
      <c r="D1257" s="32"/>
      <c r="E1257" s="32"/>
      <c r="F1257" s="34"/>
      <c r="G1257" s="35"/>
      <c r="H1257" s="37" cm="1">
        <f t="array" ref="H1257">IFERROR(SUMPRODUCT(Tracking[Amount], --(Tracking[Date]&lt;=Tracking[[#This Row],[Date]]), (Tracking[Type]&lt;&gt;"Income") * (-1) + (Tracking[Type]="Income")), "-")</f>
        <v>0</v>
      </c>
      <c r="I1257" s="95">
        <f>IF(AND(Tracking[[#This Row],[Type]]="Income", shift_late_income_status="Active", DAY(Tracking[[#This Row],[Date]])&gt;=shift_late_income_starting_day),
      DATE(YEAR(Tracking[[#This Row],[Date]]), MONTH(Tracking[[#This Row],[Date]])+1, 1),
      Tracking[[#This Row],[Date]])</f>
        <v>0</v>
      </c>
    </row>
    <row r="1258" spans="3:9" x14ac:dyDescent="0.2">
      <c r="C1258" s="94"/>
      <c r="D1258" s="32"/>
      <c r="E1258" s="32"/>
      <c r="F1258" s="34"/>
      <c r="G1258" s="35"/>
      <c r="H1258" s="37" cm="1">
        <f t="array" ref="H1258">IFERROR(SUMPRODUCT(Tracking[Amount], --(Tracking[Date]&lt;=Tracking[[#This Row],[Date]]), (Tracking[Type]&lt;&gt;"Income") * (-1) + (Tracking[Type]="Income")), "-")</f>
        <v>0</v>
      </c>
      <c r="I1258" s="95">
        <f>IF(AND(Tracking[[#This Row],[Type]]="Income", shift_late_income_status="Active", DAY(Tracking[[#This Row],[Date]])&gt;=shift_late_income_starting_day),
      DATE(YEAR(Tracking[[#This Row],[Date]]), MONTH(Tracking[[#This Row],[Date]])+1, 1),
      Tracking[[#This Row],[Date]])</f>
        <v>0</v>
      </c>
    </row>
    <row r="1259" spans="3:9" x14ac:dyDescent="0.2">
      <c r="C1259" s="94"/>
      <c r="D1259" s="32"/>
      <c r="E1259" s="32"/>
      <c r="F1259" s="34"/>
      <c r="G1259" s="35"/>
      <c r="H1259" s="37" cm="1">
        <f t="array" ref="H1259">IFERROR(SUMPRODUCT(Tracking[Amount], --(Tracking[Date]&lt;=Tracking[[#This Row],[Date]]), (Tracking[Type]&lt;&gt;"Income") * (-1) + (Tracking[Type]="Income")), "-")</f>
        <v>0</v>
      </c>
      <c r="I1259" s="95">
        <f>IF(AND(Tracking[[#This Row],[Type]]="Income", shift_late_income_status="Active", DAY(Tracking[[#This Row],[Date]])&gt;=shift_late_income_starting_day),
      DATE(YEAR(Tracking[[#This Row],[Date]]), MONTH(Tracking[[#This Row],[Date]])+1, 1),
      Tracking[[#This Row],[Date]])</f>
        <v>0</v>
      </c>
    </row>
    <row r="1260" spans="3:9" x14ac:dyDescent="0.2">
      <c r="C1260" s="94"/>
      <c r="D1260" s="32"/>
      <c r="E1260" s="32"/>
      <c r="F1260" s="34"/>
      <c r="G1260" s="35"/>
      <c r="H1260" s="37" cm="1">
        <f t="array" ref="H1260">IFERROR(SUMPRODUCT(Tracking[Amount], --(Tracking[Date]&lt;=Tracking[[#This Row],[Date]]), (Tracking[Type]&lt;&gt;"Income") * (-1) + (Tracking[Type]="Income")), "-")</f>
        <v>0</v>
      </c>
      <c r="I1260" s="95">
        <f>IF(AND(Tracking[[#This Row],[Type]]="Income", shift_late_income_status="Active", DAY(Tracking[[#This Row],[Date]])&gt;=shift_late_income_starting_day),
      DATE(YEAR(Tracking[[#This Row],[Date]]), MONTH(Tracking[[#This Row],[Date]])+1, 1),
      Tracking[[#This Row],[Date]])</f>
        <v>0</v>
      </c>
    </row>
    <row r="1261" spans="3:9" x14ac:dyDescent="0.2">
      <c r="C1261" s="94"/>
      <c r="D1261" s="32"/>
      <c r="E1261" s="32"/>
      <c r="F1261" s="34"/>
      <c r="G1261" s="35"/>
      <c r="H1261" s="37" cm="1">
        <f t="array" ref="H1261">IFERROR(SUMPRODUCT(Tracking[Amount], --(Tracking[Date]&lt;=Tracking[[#This Row],[Date]]), (Tracking[Type]&lt;&gt;"Income") * (-1) + (Tracking[Type]="Income")), "-")</f>
        <v>0</v>
      </c>
      <c r="I1261" s="95">
        <f>IF(AND(Tracking[[#This Row],[Type]]="Income", shift_late_income_status="Active", DAY(Tracking[[#This Row],[Date]])&gt;=shift_late_income_starting_day),
      DATE(YEAR(Tracking[[#This Row],[Date]]), MONTH(Tracking[[#This Row],[Date]])+1, 1),
      Tracking[[#This Row],[Date]])</f>
        <v>0</v>
      </c>
    </row>
    <row r="1262" spans="3:9" x14ac:dyDescent="0.2">
      <c r="C1262" s="94"/>
      <c r="D1262" s="32"/>
      <c r="E1262" s="32"/>
      <c r="F1262" s="34"/>
      <c r="G1262" s="35"/>
      <c r="H1262" s="37" cm="1">
        <f t="array" ref="H1262">IFERROR(SUMPRODUCT(Tracking[Amount], --(Tracking[Date]&lt;=Tracking[[#This Row],[Date]]), (Tracking[Type]&lt;&gt;"Income") * (-1) + (Tracking[Type]="Income")), "-")</f>
        <v>0</v>
      </c>
      <c r="I1262" s="95">
        <f>IF(AND(Tracking[[#This Row],[Type]]="Income", shift_late_income_status="Active", DAY(Tracking[[#This Row],[Date]])&gt;=shift_late_income_starting_day),
      DATE(YEAR(Tracking[[#This Row],[Date]]), MONTH(Tracking[[#This Row],[Date]])+1, 1),
      Tracking[[#This Row],[Date]])</f>
        <v>0</v>
      </c>
    </row>
    <row r="1263" spans="3:9" x14ac:dyDescent="0.2">
      <c r="C1263" s="94"/>
      <c r="D1263" s="32"/>
      <c r="E1263" s="32"/>
      <c r="F1263" s="34"/>
      <c r="G1263" s="35"/>
      <c r="H1263" s="37" cm="1">
        <f t="array" ref="H1263">IFERROR(SUMPRODUCT(Tracking[Amount], --(Tracking[Date]&lt;=Tracking[[#This Row],[Date]]), (Tracking[Type]&lt;&gt;"Income") * (-1) + (Tracking[Type]="Income")), "-")</f>
        <v>0</v>
      </c>
      <c r="I1263" s="95">
        <f>IF(AND(Tracking[[#This Row],[Type]]="Income", shift_late_income_status="Active", DAY(Tracking[[#This Row],[Date]])&gt;=shift_late_income_starting_day),
      DATE(YEAR(Tracking[[#This Row],[Date]]), MONTH(Tracking[[#This Row],[Date]])+1, 1),
      Tracking[[#This Row],[Date]])</f>
        <v>0</v>
      </c>
    </row>
    <row r="1264" spans="3:9" x14ac:dyDescent="0.2">
      <c r="C1264" s="94"/>
      <c r="D1264" s="32"/>
      <c r="E1264" s="32"/>
      <c r="F1264" s="34"/>
      <c r="G1264" s="35"/>
      <c r="H1264" s="37" cm="1">
        <f t="array" ref="H1264">IFERROR(SUMPRODUCT(Tracking[Amount], --(Tracking[Date]&lt;=Tracking[[#This Row],[Date]]), (Tracking[Type]&lt;&gt;"Income") * (-1) + (Tracking[Type]="Income")), "-")</f>
        <v>0</v>
      </c>
      <c r="I1264" s="95">
        <f>IF(AND(Tracking[[#This Row],[Type]]="Income", shift_late_income_status="Active", DAY(Tracking[[#This Row],[Date]])&gt;=shift_late_income_starting_day),
      DATE(YEAR(Tracking[[#This Row],[Date]]), MONTH(Tracking[[#This Row],[Date]])+1, 1),
      Tracking[[#This Row],[Date]])</f>
        <v>0</v>
      </c>
    </row>
    <row r="1265" spans="3:9" x14ac:dyDescent="0.2">
      <c r="C1265" s="94"/>
      <c r="D1265" s="32"/>
      <c r="E1265" s="32"/>
      <c r="F1265" s="34"/>
      <c r="G1265" s="35"/>
      <c r="H1265" s="37" cm="1">
        <f t="array" ref="H1265">IFERROR(SUMPRODUCT(Tracking[Amount], --(Tracking[Date]&lt;=Tracking[[#This Row],[Date]]), (Tracking[Type]&lt;&gt;"Income") * (-1) + (Tracking[Type]="Income")), "-")</f>
        <v>0</v>
      </c>
      <c r="I1265" s="95">
        <f>IF(AND(Tracking[[#This Row],[Type]]="Income", shift_late_income_status="Active", DAY(Tracking[[#This Row],[Date]])&gt;=shift_late_income_starting_day),
      DATE(YEAR(Tracking[[#This Row],[Date]]), MONTH(Tracking[[#This Row],[Date]])+1, 1),
      Tracking[[#This Row],[Date]])</f>
        <v>0</v>
      </c>
    </row>
    <row r="1266" spans="3:9" x14ac:dyDescent="0.2">
      <c r="C1266" s="94"/>
      <c r="D1266" s="32"/>
      <c r="E1266" s="32"/>
      <c r="F1266" s="34"/>
      <c r="G1266" s="35"/>
      <c r="H1266" s="37" cm="1">
        <f t="array" ref="H1266">IFERROR(SUMPRODUCT(Tracking[Amount], --(Tracking[Date]&lt;=Tracking[[#This Row],[Date]]), (Tracking[Type]&lt;&gt;"Income") * (-1) + (Tracking[Type]="Income")), "-")</f>
        <v>0</v>
      </c>
      <c r="I1266" s="95">
        <f>IF(AND(Tracking[[#This Row],[Type]]="Income", shift_late_income_status="Active", DAY(Tracking[[#This Row],[Date]])&gt;=shift_late_income_starting_day),
      DATE(YEAR(Tracking[[#This Row],[Date]]), MONTH(Tracking[[#This Row],[Date]])+1, 1),
      Tracking[[#This Row],[Date]])</f>
        <v>0</v>
      </c>
    </row>
    <row r="1267" spans="3:9" x14ac:dyDescent="0.2">
      <c r="C1267" s="94"/>
      <c r="D1267" s="32"/>
      <c r="E1267" s="32"/>
      <c r="F1267" s="34"/>
      <c r="G1267" s="35"/>
      <c r="H1267" s="37" cm="1">
        <f t="array" ref="H1267">IFERROR(SUMPRODUCT(Tracking[Amount], --(Tracking[Date]&lt;=Tracking[[#This Row],[Date]]), (Tracking[Type]&lt;&gt;"Income") * (-1) + (Tracking[Type]="Income")), "-")</f>
        <v>0</v>
      </c>
      <c r="I1267" s="95">
        <f>IF(AND(Tracking[[#This Row],[Type]]="Income", shift_late_income_status="Active", DAY(Tracking[[#This Row],[Date]])&gt;=shift_late_income_starting_day),
      DATE(YEAR(Tracking[[#This Row],[Date]]), MONTH(Tracking[[#This Row],[Date]])+1, 1),
      Tracking[[#This Row],[Date]])</f>
        <v>0</v>
      </c>
    </row>
    <row r="1268" spans="3:9" x14ac:dyDescent="0.2">
      <c r="C1268" s="94"/>
      <c r="D1268" s="32"/>
      <c r="E1268" s="32"/>
      <c r="F1268" s="34"/>
      <c r="G1268" s="35"/>
      <c r="H1268" s="37" cm="1">
        <f t="array" ref="H1268">IFERROR(SUMPRODUCT(Tracking[Amount], --(Tracking[Date]&lt;=Tracking[[#This Row],[Date]]), (Tracking[Type]&lt;&gt;"Income") * (-1) + (Tracking[Type]="Income")), "-")</f>
        <v>0</v>
      </c>
      <c r="I1268" s="95">
        <f>IF(AND(Tracking[[#This Row],[Type]]="Income", shift_late_income_status="Active", DAY(Tracking[[#This Row],[Date]])&gt;=shift_late_income_starting_day),
      DATE(YEAR(Tracking[[#This Row],[Date]]), MONTH(Tracking[[#This Row],[Date]])+1, 1),
      Tracking[[#This Row],[Date]])</f>
        <v>0</v>
      </c>
    </row>
    <row r="1269" spans="3:9" x14ac:dyDescent="0.2">
      <c r="C1269" s="94"/>
      <c r="D1269" s="32"/>
      <c r="E1269" s="32"/>
      <c r="F1269" s="34"/>
      <c r="G1269" s="35"/>
      <c r="H1269" s="37" cm="1">
        <f t="array" ref="H1269">IFERROR(SUMPRODUCT(Tracking[Amount], --(Tracking[Date]&lt;=Tracking[[#This Row],[Date]]), (Tracking[Type]&lt;&gt;"Income") * (-1) + (Tracking[Type]="Income")), "-")</f>
        <v>0</v>
      </c>
      <c r="I1269" s="95">
        <f>IF(AND(Tracking[[#This Row],[Type]]="Income", shift_late_income_status="Active", DAY(Tracking[[#This Row],[Date]])&gt;=shift_late_income_starting_day),
      DATE(YEAR(Tracking[[#This Row],[Date]]), MONTH(Tracking[[#This Row],[Date]])+1, 1),
      Tracking[[#This Row],[Date]])</f>
        <v>0</v>
      </c>
    </row>
    <row r="1270" spans="3:9" x14ac:dyDescent="0.2">
      <c r="C1270" s="94"/>
      <c r="D1270" s="32"/>
      <c r="E1270" s="32"/>
      <c r="F1270" s="34"/>
      <c r="G1270" s="35"/>
      <c r="H1270" s="37" cm="1">
        <f t="array" ref="H1270">IFERROR(SUMPRODUCT(Tracking[Amount], --(Tracking[Date]&lt;=Tracking[[#This Row],[Date]]), (Tracking[Type]&lt;&gt;"Income") * (-1) + (Tracking[Type]="Income")), "-")</f>
        <v>0</v>
      </c>
      <c r="I1270" s="95">
        <f>IF(AND(Tracking[[#This Row],[Type]]="Income", shift_late_income_status="Active", DAY(Tracking[[#This Row],[Date]])&gt;=shift_late_income_starting_day),
      DATE(YEAR(Tracking[[#This Row],[Date]]), MONTH(Tracking[[#This Row],[Date]])+1, 1),
      Tracking[[#This Row],[Date]])</f>
        <v>0</v>
      </c>
    </row>
    <row r="1271" spans="3:9" x14ac:dyDescent="0.2">
      <c r="C1271" s="94"/>
      <c r="D1271" s="32"/>
      <c r="E1271" s="32"/>
      <c r="F1271" s="34"/>
      <c r="G1271" s="35"/>
      <c r="H1271" s="37" cm="1">
        <f t="array" ref="H1271">IFERROR(SUMPRODUCT(Tracking[Amount], --(Tracking[Date]&lt;=Tracking[[#This Row],[Date]]), (Tracking[Type]&lt;&gt;"Income") * (-1) + (Tracking[Type]="Income")), "-")</f>
        <v>0</v>
      </c>
      <c r="I1271" s="95">
        <f>IF(AND(Tracking[[#This Row],[Type]]="Income", shift_late_income_status="Active", DAY(Tracking[[#This Row],[Date]])&gt;=shift_late_income_starting_day),
      DATE(YEAR(Tracking[[#This Row],[Date]]), MONTH(Tracking[[#This Row],[Date]])+1, 1),
      Tracking[[#This Row],[Date]])</f>
        <v>0</v>
      </c>
    </row>
    <row r="1272" spans="3:9" x14ac:dyDescent="0.2">
      <c r="C1272" s="94"/>
      <c r="D1272" s="32"/>
      <c r="E1272" s="32"/>
      <c r="F1272" s="34"/>
      <c r="G1272" s="35"/>
      <c r="H1272" s="37" cm="1">
        <f t="array" ref="H1272">IFERROR(SUMPRODUCT(Tracking[Amount], --(Tracking[Date]&lt;=Tracking[[#This Row],[Date]]), (Tracking[Type]&lt;&gt;"Income") * (-1) + (Tracking[Type]="Income")), "-")</f>
        <v>0</v>
      </c>
      <c r="I1272" s="95">
        <f>IF(AND(Tracking[[#This Row],[Type]]="Income", shift_late_income_status="Active", DAY(Tracking[[#This Row],[Date]])&gt;=shift_late_income_starting_day),
      DATE(YEAR(Tracking[[#This Row],[Date]]), MONTH(Tracking[[#This Row],[Date]])+1, 1),
      Tracking[[#This Row],[Date]])</f>
        <v>0</v>
      </c>
    </row>
    <row r="1273" spans="3:9" x14ac:dyDescent="0.2">
      <c r="C1273" s="94"/>
      <c r="D1273" s="32"/>
      <c r="E1273" s="32"/>
      <c r="F1273" s="34"/>
      <c r="G1273" s="35"/>
      <c r="H1273" s="37" cm="1">
        <f t="array" ref="H1273">IFERROR(SUMPRODUCT(Tracking[Amount], --(Tracking[Date]&lt;=Tracking[[#This Row],[Date]]), (Tracking[Type]&lt;&gt;"Income") * (-1) + (Tracking[Type]="Income")), "-")</f>
        <v>0</v>
      </c>
      <c r="I1273" s="95">
        <f>IF(AND(Tracking[[#This Row],[Type]]="Income", shift_late_income_status="Active", DAY(Tracking[[#This Row],[Date]])&gt;=shift_late_income_starting_day),
      DATE(YEAR(Tracking[[#This Row],[Date]]), MONTH(Tracking[[#This Row],[Date]])+1, 1),
      Tracking[[#This Row],[Date]])</f>
        <v>0</v>
      </c>
    </row>
    <row r="1274" spans="3:9" x14ac:dyDescent="0.2">
      <c r="C1274" s="94"/>
      <c r="D1274" s="32"/>
      <c r="E1274" s="32"/>
      <c r="F1274" s="34"/>
      <c r="G1274" s="35"/>
      <c r="H1274" s="37" cm="1">
        <f t="array" ref="H1274">IFERROR(SUMPRODUCT(Tracking[Amount], --(Tracking[Date]&lt;=Tracking[[#This Row],[Date]]), (Tracking[Type]&lt;&gt;"Income") * (-1) + (Tracking[Type]="Income")), "-")</f>
        <v>0</v>
      </c>
      <c r="I1274" s="95">
        <f>IF(AND(Tracking[[#This Row],[Type]]="Income", shift_late_income_status="Active", DAY(Tracking[[#This Row],[Date]])&gt;=shift_late_income_starting_day),
      DATE(YEAR(Tracking[[#This Row],[Date]]), MONTH(Tracking[[#This Row],[Date]])+1, 1),
      Tracking[[#This Row],[Date]])</f>
        <v>0</v>
      </c>
    </row>
    <row r="1275" spans="3:9" x14ac:dyDescent="0.2">
      <c r="C1275" s="94"/>
      <c r="D1275" s="32"/>
      <c r="E1275" s="32"/>
      <c r="F1275" s="34"/>
      <c r="G1275" s="35"/>
      <c r="H1275" s="37" cm="1">
        <f t="array" ref="H1275">IFERROR(SUMPRODUCT(Tracking[Amount], --(Tracking[Date]&lt;=Tracking[[#This Row],[Date]]), (Tracking[Type]&lt;&gt;"Income") * (-1) + (Tracking[Type]="Income")), "-")</f>
        <v>0</v>
      </c>
      <c r="I1275" s="95">
        <f>IF(AND(Tracking[[#This Row],[Type]]="Income", shift_late_income_status="Active", DAY(Tracking[[#This Row],[Date]])&gt;=shift_late_income_starting_day),
      DATE(YEAR(Tracking[[#This Row],[Date]]), MONTH(Tracking[[#This Row],[Date]])+1, 1),
      Tracking[[#This Row],[Date]])</f>
        <v>0</v>
      </c>
    </row>
    <row r="1276" spans="3:9" x14ac:dyDescent="0.2">
      <c r="C1276" s="94"/>
      <c r="D1276" s="32"/>
      <c r="E1276" s="32"/>
      <c r="F1276" s="34"/>
      <c r="G1276" s="35"/>
      <c r="H1276" s="37" cm="1">
        <f t="array" ref="H1276">IFERROR(SUMPRODUCT(Tracking[Amount], --(Tracking[Date]&lt;=Tracking[[#This Row],[Date]]), (Tracking[Type]&lt;&gt;"Income") * (-1) + (Tracking[Type]="Income")), "-")</f>
        <v>0</v>
      </c>
      <c r="I1276" s="95">
        <f>IF(AND(Tracking[[#This Row],[Type]]="Income", shift_late_income_status="Active", DAY(Tracking[[#This Row],[Date]])&gt;=shift_late_income_starting_day),
      DATE(YEAR(Tracking[[#This Row],[Date]]), MONTH(Tracking[[#This Row],[Date]])+1, 1),
      Tracking[[#This Row],[Date]])</f>
        <v>0</v>
      </c>
    </row>
    <row r="1277" spans="3:9" x14ac:dyDescent="0.2">
      <c r="C1277" s="94"/>
      <c r="D1277" s="32"/>
      <c r="E1277" s="32"/>
      <c r="F1277" s="34"/>
      <c r="G1277" s="35"/>
      <c r="H1277" s="37" cm="1">
        <f t="array" ref="H1277">IFERROR(SUMPRODUCT(Tracking[Amount], --(Tracking[Date]&lt;=Tracking[[#This Row],[Date]]), (Tracking[Type]&lt;&gt;"Income") * (-1) + (Tracking[Type]="Income")), "-")</f>
        <v>0</v>
      </c>
      <c r="I1277" s="95">
        <f>IF(AND(Tracking[[#This Row],[Type]]="Income", shift_late_income_status="Active", DAY(Tracking[[#This Row],[Date]])&gt;=shift_late_income_starting_day),
      DATE(YEAR(Tracking[[#This Row],[Date]]), MONTH(Tracking[[#This Row],[Date]])+1, 1),
      Tracking[[#This Row],[Date]])</f>
        <v>0</v>
      </c>
    </row>
    <row r="1278" spans="3:9" x14ac:dyDescent="0.2">
      <c r="C1278" s="94"/>
      <c r="D1278" s="32"/>
      <c r="E1278" s="32"/>
      <c r="F1278" s="34"/>
      <c r="G1278" s="35"/>
      <c r="H1278" s="37" cm="1">
        <f t="array" ref="H1278">IFERROR(SUMPRODUCT(Tracking[Amount], --(Tracking[Date]&lt;=Tracking[[#This Row],[Date]]), (Tracking[Type]&lt;&gt;"Income") * (-1) + (Tracking[Type]="Income")), "-")</f>
        <v>0</v>
      </c>
      <c r="I1278" s="95">
        <f>IF(AND(Tracking[[#This Row],[Type]]="Income", shift_late_income_status="Active", DAY(Tracking[[#This Row],[Date]])&gt;=shift_late_income_starting_day),
      DATE(YEAR(Tracking[[#This Row],[Date]]), MONTH(Tracking[[#This Row],[Date]])+1, 1),
      Tracking[[#This Row],[Date]])</f>
        <v>0</v>
      </c>
    </row>
    <row r="1279" spans="3:9" x14ac:dyDescent="0.2">
      <c r="C1279" s="94"/>
      <c r="D1279" s="32"/>
      <c r="E1279" s="32"/>
      <c r="F1279" s="34"/>
      <c r="G1279" s="35"/>
      <c r="H1279" s="37" cm="1">
        <f t="array" ref="H1279">IFERROR(SUMPRODUCT(Tracking[Amount], --(Tracking[Date]&lt;=Tracking[[#This Row],[Date]]), (Tracking[Type]&lt;&gt;"Income") * (-1) + (Tracking[Type]="Income")), "-")</f>
        <v>0</v>
      </c>
      <c r="I1279" s="95">
        <f>IF(AND(Tracking[[#This Row],[Type]]="Income", shift_late_income_status="Active", DAY(Tracking[[#This Row],[Date]])&gt;=shift_late_income_starting_day),
      DATE(YEAR(Tracking[[#This Row],[Date]]), MONTH(Tracking[[#This Row],[Date]])+1, 1),
      Tracking[[#This Row],[Date]])</f>
        <v>0</v>
      </c>
    </row>
    <row r="1280" spans="3:9" x14ac:dyDescent="0.2">
      <c r="C1280" s="94"/>
      <c r="D1280" s="32"/>
      <c r="E1280" s="32"/>
      <c r="F1280" s="34"/>
      <c r="G1280" s="35"/>
      <c r="H1280" s="37" cm="1">
        <f t="array" ref="H1280">IFERROR(SUMPRODUCT(Tracking[Amount], --(Tracking[Date]&lt;=Tracking[[#This Row],[Date]]), (Tracking[Type]&lt;&gt;"Income") * (-1) + (Tracking[Type]="Income")), "-")</f>
        <v>0</v>
      </c>
      <c r="I1280" s="95">
        <f>IF(AND(Tracking[[#This Row],[Type]]="Income", shift_late_income_status="Active", DAY(Tracking[[#This Row],[Date]])&gt;=shift_late_income_starting_day),
      DATE(YEAR(Tracking[[#This Row],[Date]]), MONTH(Tracking[[#This Row],[Date]])+1, 1),
      Tracking[[#This Row],[Date]])</f>
        <v>0</v>
      </c>
    </row>
    <row r="1281" spans="3:9" x14ac:dyDescent="0.2">
      <c r="C1281" s="94"/>
      <c r="D1281" s="32"/>
      <c r="E1281" s="32"/>
      <c r="F1281" s="34"/>
      <c r="G1281" s="35"/>
      <c r="H1281" s="37" cm="1">
        <f t="array" ref="H1281">IFERROR(SUMPRODUCT(Tracking[Amount], --(Tracking[Date]&lt;=Tracking[[#This Row],[Date]]), (Tracking[Type]&lt;&gt;"Income") * (-1) + (Tracking[Type]="Income")), "-")</f>
        <v>0</v>
      </c>
      <c r="I1281" s="95">
        <f>IF(AND(Tracking[[#This Row],[Type]]="Income", shift_late_income_status="Active", DAY(Tracking[[#This Row],[Date]])&gt;=shift_late_income_starting_day),
      DATE(YEAR(Tracking[[#This Row],[Date]]), MONTH(Tracking[[#This Row],[Date]])+1, 1),
      Tracking[[#This Row],[Date]])</f>
        <v>0</v>
      </c>
    </row>
    <row r="1282" spans="3:9" x14ac:dyDescent="0.2">
      <c r="C1282" s="94"/>
      <c r="D1282" s="32"/>
      <c r="E1282" s="32"/>
      <c r="F1282" s="34"/>
      <c r="G1282" s="35"/>
      <c r="H1282" s="37" cm="1">
        <f t="array" ref="H1282">IFERROR(SUMPRODUCT(Tracking[Amount], --(Tracking[Date]&lt;=Tracking[[#This Row],[Date]]), (Tracking[Type]&lt;&gt;"Income") * (-1) + (Tracking[Type]="Income")), "-")</f>
        <v>0</v>
      </c>
      <c r="I1282" s="95">
        <f>IF(AND(Tracking[[#This Row],[Type]]="Income", shift_late_income_status="Active", DAY(Tracking[[#This Row],[Date]])&gt;=shift_late_income_starting_day),
      DATE(YEAR(Tracking[[#This Row],[Date]]), MONTH(Tracking[[#This Row],[Date]])+1, 1),
      Tracking[[#This Row],[Date]])</f>
        <v>0</v>
      </c>
    </row>
    <row r="1283" spans="3:9" x14ac:dyDescent="0.2">
      <c r="C1283" s="94"/>
      <c r="D1283" s="32"/>
      <c r="E1283" s="32"/>
      <c r="F1283" s="34"/>
      <c r="G1283" s="35"/>
      <c r="H1283" s="37" cm="1">
        <f t="array" ref="H1283">IFERROR(SUMPRODUCT(Tracking[Amount], --(Tracking[Date]&lt;=Tracking[[#This Row],[Date]]), (Tracking[Type]&lt;&gt;"Income") * (-1) + (Tracking[Type]="Income")), "-")</f>
        <v>0</v>
      </c>
      <c r="I1283" s="95">
        <f>IF(AND(Tracking[[#This Row],[Type]]="Income", shift_late_income_status="Active", DAY(Tracking[[#This Row],[Date]])&gt;=shift_late_income_starting_day),
      DATE(YEAR(Tracking[[#This Row],[Date]]), MONTH(Tracking[[#This Row],[Date]])+1, 1),
      Tracking[[#This Row],[Date]])</f>
        <v>0</v>
      </c>
    </row>
    <row r="1284" spans="3:9" x14ac:dyDescent="0.2">
      <c r="C1284" s="94"/>
      <c r="D1284" s="32"/>
      <c r="E1284" s="32"/>
      <c r="F1284" s="34"/>
      <c r="G1284" s="35"/>
      <c r="H1284" s="37" cm="1">
        <f t="array" ref="H1284">IFERROR(SUMPRODUCT(Tracking[Amount], --(Tracking[Date]&lt;=Tracking[[#This Row],[Date]]), (Tracking[Type]&lt;&gt;"Income") * (-1) + (Tracking[Type]="Income")), "-")</f>
        <v>0</v>
      </c>
      <c r="I1284" s="95">
        <f>IF(AND(Tracking[[#This Row],[Type]]="Income", shift_late_income_status="Active", DAY(Tracking[[#This Row],[Date]])&gt;=shift_late_income_starting_day),
      DATE(YEAR(Tracking[[#This Row],[Date]]), MONTH(Tracking[[#This Row],[Date]])+1, 1),
      Tracking[[#This Row],[Date]])</f>
        <v>0</v>
      </c>
    </row>
    <row r="1285" spans="3:9" x14ac:dyDescent="0.2">
      <c r="C1285" s="94"/>
      <c r="D1285" s="32"/>
      <c r="E1285" s="32"/>
      <c r="F1285" s="34"/>
      <c r="G1285" s="35"/>
      <c r="H1285" s="37" cm="1">
        <f t="array" ref="H1285">IFERROR(SUMPRODUCT(Tracking[Amount], --(Tracking[Date]&lt;=Tracking[[#This Row],[Date]]), (Tracking[Type]&lt;&gt;"Income") * (-1) + (Tracking[Type]="Income")), "-")</f>
        <v>0</v>
      </c>
      <c r="I1285" s="95">
        <f>IF(AND(Tracking[[#This Row],[Type]]="Income", shift_late_income_status="Active", DAY(Tracking[[#This Row],[Date]])&gt;=shift_late_income_starting_day),
      DATE(YEAR(Tracking[[#This Row],[Date]]), MONTH(Tracking[[#This Row],[Date]])+1, 1),
      Tracking[[#This Row],[Date]])</f>
        <v>0</v>
      </c>
    </row>
    <row r="1286" spans="3:9" x14ac:dyDescent="0.2">
      <c r="C1286" s="94"/>
      <c r="D1286" s="32"/>
      <c r="E1286" s="32"/>
      <c r="F1286" s="34"/>
      <c r="G1286" s="35"/>
      <c r="H1286" s="37" cm="1">
        <f t="array" ref="H1286">IFERROR(SUMPRODUCT(Tracking[Amount], --(Tracking[Date]&lt;=Tracking[[#This Row],[Date]]), (Tracking[Type]&lt;&gt;"Income") * (-1) + (Tracking[Type]="Income")), "-")</f>
        <v>0</v>
      </c>
      <c r="I1286" s="95">
        <f>IF(AND(Tracking[[#This Row],[Type]]="Income", shift_late_income_status="Active", DAY(Tracking[[#This Row],[Date]])&gt;=shift_late_income_starting_day),
      DATE(YEAR(Tracking[[#This Row],[Date]]), MONTH(Tracking[[#This Row],[Date]])+1, 1),
      Tracking[[#This Row],[Date]])</f>
        <v>0</v>
      </c>
    </row>
    <row r="1287" spans="3:9" x14ac:dyDescent="0.2">
      <c r="C1287" s="94"/>
      <c r="D1287" s="32"/>
      <c r="E1287" s="32"/>
      <c r="F1287" s="34"/>
      <c r="G1287" s="35"/>
      <c r="H1287" s="37" cm="1">
        <f t="array" ref="H1287">IFERROR(SUMPRODUCT(Tracking[Amount], --(Tracking[Date]&lt;=Tracking[[#This Row],[Date]]), (Tracking[Type]&lt;&gt;"Income") * (-1) + (Tracking[Type]="Income")), "-")</f>
        <v>0</v>
      </c>
      <c r="I1287" s="95">
        <f>IF(AND(Tracking[[#This Row],[Type]]="Income", shift_late_income_status="Active", DAY(Tracking[[#This Row],[Date]])&gt;=shift_late_income_starting_day),
      DATE(YEAR(Tracking[[#This Row],[Date]]), MONTH(Tracking[[#This Row],[Date]])+1, 1),
      Tracking[[#This Row],[Date]])</f>
        <v>0</v>
      </c>
    </row>
    <row r="1288" spans="3:9" x14ac:dyDescent="0.2">
      <c r="C1288" s="94"/>
      <c r="D1288" s="32"/>
      <c r="E1288" s="32"/>
      <c r="F1288" s="34"/>
      <c r="G1288" s="35"/>
      <c r="H1288" s="37" cm="1">
        <f t="array" ref="H1288">IFERROR(SUMPRODUCT(Tracking[Amount], --(Tracking[Date]&lt;=Tracking[[#This Row],[Date]]), (Tracking[Type]&lt;&gt;"Income") * (-1) + (Tracking[Type]="Income")), "-")</f>
        <v>0</v>
      </c>
      <c r="I1288" s="95">
        <f>IF(AND(Tracking[[#This Row],[Type]]="Income", shift_late_income_status="Active", DAY(Tracking[[#This Row],[Date]])&gt;=shift_late_income_starting_day),
      DATE(YEAR(Tracking[[#This Row],[Date]]), MONTH(Tracking[[#This Row],[Date]])+1, 1),
      Tracking[[#This Row],[Date]])</f>
        <v>0</v>
      </c>
    </row>
    <row r="1289" spans="3:9" x14ac:dyDescent="0.2">
      <c r="C1289" s="94"/>
      <c r="D1289" s="32"/>
      <c r="E1289" s="32"/>
      <c r="F1289" s="34"/>
      <c r="G1289" s="35"/>
      <c r="H1289" s="37" cm="1">
        <f t="array" ref="H1289">IFERROR(SUMPRODUCT(Tracking[Amount], --(Tracking[Date]&lt;=Tracking[[#This Row],[Date]]), (Tracking[Type]&lt;&gt;"Income") * (-1) + (Tracking[Type]="Income")), "-")</f>
        <v>0</v>
      </c>
      <c r="I1289" s="95">
        <f>IF(AND(Tracking[[#This Row],[Type]]="Income", shift_late_income_status="Active", DAY(Tracking[[#This Row],[Date]])&gt;=shift_late_income_starting_day),
      DATE(YEAR(Tracking[[#This Row],[Date]]), MONTH(Tracking[[#This Row],[Date]])+1, 1),
      Tracking[[#This Row],[Date]])</f>
        <v>0</v>
      </c>
    </row>
    <row r="1290" spans="3:9" x14ac:dyDescent="0.2">
      <c r="C1290" s="94"/>
      <c r="D1290" s="32"/>
      <c r="E1290" s="32"/>
      <c r="F1290" s="34"/>
      <c r="G1290" s="35"/>
      <c r="H1290" s="37" cm="1">
        <f t="array" ref="H1290">IFERROR(SUMPRODUCT(Tracking[Amount], --(Tracking[Date]&lt;=Tracking[[#This Row],[Date]]), (Tracking[Type]&lt;&gt;"Income") * (-1) + (Tracking[Type]="Income")), "-")</f>
        <v>0</v>
      </c>
      <c r="I1290" s="95">
        <f>IF(AND(Tracking[[#This Row],[Type]]="Income", shift_late_income_status="Active", DAY(Tracking[[#This Row],[Date]])&gt;=shift_late_income_starting_day),
      DATE(YEAR(Tracking[[#This Row],[Date]]), MONTH(Tracking[[#This Row],[Date]])+1, 1),
      Tracking[[#This Row],[Date]])</f>
        <v>0</v>
      </c>
    </row>
    <row r="1291" spans="3:9" x14ac:dyDescent="0.2">
      <c r="C1291" s="94"/>
      <c r="D1291" s="32"/>
      <c r="E1291" s="32"/>
      <c r="F1291" s="34"/>
      <c r="G1291" s="35"/>
      <c r="H1291" s="37" cm="1">
        <f t="array" ref="H1291">IFERROR(SUMPRODUCT(Tracking[Amount], --(Tracking[Date]&lt;=Tracking[[#This Row],[Date]]), (Tracking[Type]&lt;&gt;"Income") * (-1) + (Tracking[Type]="Income")), "-")</f>
        <v>0</v>
      </c>
      <c r="I1291" s="95">
        <f>IF(AND(Tracking[[#This Row],[Type]]="Income", shift_late_income_status="Active", DAY(Tracking[[#This Row],[Date]])&gt;=shift_late_income_starting_day),
      DATE(YEAR(Tracking[[#This Row],[Date]]), MONTH(Tracking[[#This Row],[Date]])+1, 1),
      Tracking[[#This Row],[Date]])</f>
        <v>0</v>
      </c>
    </row>
    <row r="1292" spans="3:9" x14ac:dyDescent="0.2">
      <c r="C1292" s="94"/>
      <c r="D1292" s="32"/>
      <c r="E1292" s="32"/>
      <c r="F1292" s="34"/>
      <c r="G1292" s="35"/>
      <c r="H1292" s="37" cm="1">
        <f t="array" ref="H1292">IFERROR(SUMPRODUCT(Tracking[Amount], --(Tracking[Date]&lt;=Tracking[[#This Row],[Date]]), (Tracking[Type]&lt;&gt;"Income") * (-1) + (Tracking[Type]="Income")), "-")</f>
        <v>0</v>
      </c>
      <c r="I1292" s="95">
        <f>IF(AND(Tracking[[#This Row],[Type]]="Income", shift_late_income_status="Active", DAY(Tracking[[#This Row],[Date]])&gt;=shift_late_income_starting_day),
      DATE(YEAR(Tracking[[#This Row],[Date]]), MONTH(Tracking[[#This Row],[Date]])+1, 1),
      Tracking[[#This Row],[Date]])</f>
        <v>0</v>
      </c>
    </row>
    <row r="1293" spans="3:9" x14ac:dyDescent="0.2">
      <c r="C1293" s="94"/>
      <c r="D1293" s="32"/>
      <c r="E1293" s="32"/>
      <c r="F1293" s="34"/>
      <c r="G1293" s="35"/>
      <c r="H1293" s="37" cm="1">
        <f t="array" ref="H1293">IFERROR(SUMPRODUCT(Tracking[Amount], --(Tracking[Date]&lt;=Tracking[[#This Row],[Date]]), (Tracking[Type]&lt;&gt;"Income") * (-1) + (Tracking[Type]="Income")), "-")</f>
        <v>0</v>
      </c>
      <c r="I1293" s="95">
        <f>IF(AND(Tracking[[#This Row],[Type]]="Income", shift_late_income_status="Active", DAY(Tracking[[#This Row],[Date]])&gt;=shift_late_income_starting_day),
      DATE(YEAR(Tracking[[#This Row],[Date]]), MONTH(Tracking[[#This Row],[Date]])+1, 1),
      Tracking[[#This Row],[Date]])</f>
        <v>0</v>
      </c>
    </row>
    <row r="1294" spans="3:9" x14ac:dyDescent="0.2">
      <c r="C1294" s="94"/>
      <c r="D1294" s="32"/>
      <c r="E1294" s="32"/>
      <c r="F1294" s="34"/>
      <c r="G1294" s="35"/>
      <c r="H1294" s="37" cm="1">
        <f t="array" ref="H1294">IFERROR(SUMPRODUCT(Tracking[Amount], --(Tracking[Date]&lt;=Tracking[[#This Row],[Date]]), (Tracking[Type]&lt;&gt;"Income") * (-1) + (Tracking[Type]="Income")), "-")</f>
        <v>0</v>
      </c>
      <c r="I1294" s="95">
        <f>IF(AND(Tracking[[#This Row],[Type]]="Income", shift_late_income_status="Active", DAY(Tracking[[#This Row],[Date]])&gt;=shift_late_income_starting_day),
      DATE(YEAR(Tracking[[#This Row],[Date]]), MONTH(Tracking[[#This Row],[Date]])+1, 1),
      Tracking[[#This Row],[Date]])</f>
        <v>0</v>
      </c>
    </row>
    <row r="1295" spans="3:9" x14ac:dyDescent="0.2">
      <c r="C1295" s="94"/>
      <c r="D1295" s="32"/>
      <c r="E1295" s="32"/>
      <c r="F1295" s="34"/>
      <c r="G1295" s="35"/>
      <c r="H1295" s="37" cm="1">
        <f t="array" ref="H1295">IFERROR(SUMPRODUCT(Tracking[Amount], --(Tracking[Date]&lt;=Tracking[[#This Row],[Date]]), (Tracking[Type]&lt;&gt;"Income") * (-1) + (Tracking[Type]="Income")), "-")</f>
        <v>0</v>
      </c>
      <c r="I1295" s="95">
        <f>IF(AND(Tracking[[#This Row],[Type]]="Income", shift_late_income_status="Active", DAY(Tracking[[#This Row],[Date]])&gt;=shift_late_income_starting_day),
      DATE(YEAR(Tracking[[#This Row],[Date]]), MONTH(Tracking[[#This Row],[Date]])+1, 1),
      Tracking[[#This Row],[Date]])</f>
        <v>0</v>
      </c>
    </row>
    <row r="1296" spans="3:9" x14ac:dyDescent="0.2">
      <c r="C1296" s="94"/>
      <c r="D1296" s="32"/>
      <c r="E1296" s="32"/>
      <c r="F1296" s="34"/>
      <c r="G1296" s="35"/>
      <c r="H1296" s="37" cm="1">
        <f t="array" ref="H1296">IFERROR(SUMPRODUCT(Tracking[Amount], --(Tracking[Date]&lt;=Tracking[[#This Row],[Date]]), (Tracking[Type]&lt;&gt;"Income") * (-1) + (Tracking[Type]="Income")), "-")</f>
        <v>0</v>
      </c>
      <c r="I1296" s="95">
        <f>IF(AND(Tracking[[#This Row],[Type]]="Income", shift_late_income_status="Active", DAY(Tracking[[#This Row],[Date]])&gt;=shift_late_income_starting_day),
      DATE(YEAR(Tracking[[#This Row],[Date]]), MONTH(Tracking[[#This Row],[Date]])+1, 1),
      Tracking[[#This Row],[Date]])</f>
        <v>0</v>
      </c>
    </row>
    <row r="1297" spans="3:9" x14ac:dyDescent="0.2">
      <c r="C1297" s="94"/>
      <c r="D1297" s="32"/>
      <c r="E1297" s="32"/>
      <c r="F1297" s="34"/>
      <c r="G1297" s="35"/>
      <c r="H1297" s="37" cm="1">
        <f t="array" ref="H1297">IFERROR(SUMPRODUCT(Tracking[Amount], --(Tracking[Date]&lt;=Tracking[[#This Row],[Date]]), (Tracking[Type]&lt;&gt;"Income") * (-1) + (Tracking[Type]="Income")), "-")</f>
        <v>0</v>
      </c>
      <c r="I1297" s="95">
        <f>IF(AND(Tracking[[#This Row],[Type]]="Income", shift_late_income_status="Active", DAY(Tracking[[#This Row],[Date]])&gt;=shift_late_income_starting_day),
      DATE(YEAR(Tracking[[#This Row],[Date]]), MONTH(Tracking[[#This Row],[Date]])+1, 1),
      Tracking[[#This Row],[Date]])</f>
        <v>0</v>
      </c>
    </row>
    <row r="1298" spans="3:9" x14ac:dyDescent="0.2">
      <c r="C1298" s="94"/>
      <c r="D1298" s="32"/>
      <c r="E1298" s="32"/>
      <c r="F1298" s="34"/>
      <c r="G1298" s="35"/>
      <c r="H1298" s="37" cm="1">
        <f t="array" ref="H1298">IFERROR(SUMPRODUCT(Tracking[Amount], --(Tracking[Date]&lt;=Tracking[[#This Row],[Date]]), (Tracking[Type]&lt;&gt;"Income") * (-1) + (Tracking[Type]="Income")), "-")</f>
        <v>0</v>
      </c>
      <c r="I1298" s="95">
        <f>IF(AND(Tracking[[#This Row],[Type]]="Income", shift_late_income_status="Active", DAY(Tracking[[#This Row],[Date]])&gt;=shift_late_income_starting_day),
      DATE(YEAR(Tracking[[#This Row],[Date]]), MONTH(Tracking[[#This Row],[Date]])+1, 1),
      Tracking[[#This Row],[Date]])</f>
        <v>0</v>
      </c>
    </row>
    <row r="1299" spans="3:9" x14ac:dyDescent="0.2">
      <c r="C1299" s="94"/>
      <c r="D1299" s="32"/>
      <c r="E1299" s="32"/>
      <c r="F1299" s="34"/>
      <c r="G1299" s="35"/>
      <c r="H1299" s="37" cm="1">
        <f t="array" ref="H1299">IFERROR(SUMPRODUCT(Tracking[Amount], --(Tracking[Date]&lt;=Tracking[[#This Row],[Date]]), (Tracking[Type]&lt;&gt;"Income") * (-1) + (Tracking[Type]="Income")), "-")</f>
        <v>0</v>
      </c>
      <c r="I1299" s="95">
        <f>IF(AND(Tracking[[#This Row],[Type]]="Income", shift_late_income_status="Active", DAY(Tracking[[#This Row],[Date]])&gt;=shift_late_income_starting_day),
      DATE(YEAR(Tracking[[#This Row],[Date]]), MONTH(Tracking[[#This Row],[Date]])+1, 1),
      Tracking[[#This Row],[Date]])</f>
        <v>0</v>
      </c>
    </row>
    <row r="1300" spans="3:9" x14ac:dyDescent="0.2">
      <c r="C1300" s="94"/>
      <c r="D1300" s="32"/>
      <c r="E1300" s="32"/>
      <c r="F1300" s="34"/>
      <c r="G1300" s="35"/>
      <c r="H1300" s="37" cm="1">
        <f t="array" ref="H1300">IFERROR(SUMPRODUCT(Tracking[Amount], --(Tracking[Date]&lt;=Tracking[[#This Row],[Date]]), (Tracking[Type]&lt;&gt;"Income") * (-1) + (Tracking[Type]="Income")), "-")</f>
        <v>0</v>
      </c>
      <c r="I1300" s="95">
        <f>IF(AND(Tracking[[#This Row],[Type]]="Income", shift_late_income_status="Active", DAY(Tracking[[#This Row],[Date]])&gt;=shift_late_income_starting_day),
      DATE(YEAR(Tracking[[#This Row],[Date]]), MONTH(Tracking[[#This Row],[Date]])+1, 1),
      Tracking[[#This Row],[Date]])</f>
        <v>0</v>
      </c>
    </row>
    <row r="1301" spans="3:9" x14ac:dyDescent="0.2">
      <c r="C1301" s="94"/>
      <c r="D1301" s="32"/>
      <c r="E1301" s="32"/>
      <c r="F1301" s="34"/>
      <c r="G1301" s="35"/>
      <c r="H1301" s="37" cm="1">
        <f t="array" ref="H1301">IFERROR(SUMPRODUCT(Tracking[Amount], --(Tracking[Date]&lt;=Tracking[[#This Row],[Date]]), (Tracking[Type]&lt;&gt;"Income") * (-1) + (Tracking[Type]="Income")), "-")</f>
        <v>0</v>
      </c>
      <c r="I1301" s="95">
        <f>IF(AND(Tracking[[#This Row],[Type]]="Income", shift_late_income_status="Active", DAY(Tracking[[#This Row],[Date]])&gt;=shift_late_income_starting_day),
      DATE(YEAR(Tracking[[#This Row],[Date]]), MONTH(Tracking[[#This Row],[Date]])+1, 1),
      Tracking[[#This Row],[Date]])</f>
        <v>0</v>
      </c>
    </row>
    <row r="1302" spans="3:9" x14ac:dyDescent="0.2">
      <c r="C1302" s="94"/>
      <c r="D1302" s="32"/>
      <c r="E1302" s="32"/>
      <c r="F1302" s="34"/>
      <c r="G1302" s="35"/>
      <c r="H1302" s="37" cm="1">
        <f t="array" ref="H1302">IFERROR(SUMPRODUCT(Tracking[Amount], --(Tracking[Date]&lt;=Tracking[[#This Row],[Date]]), (Tracking[Type]&lt;&gt;"Income") * (-1) + (Tracking[Type]="Income")), "-")</f>
        <v>0</v>
      </c>
      <c r="I1302" s="95">
        <f>IF(AND(Tracking[[#This Row],[Type]]="Income", shift_late_income_status="Active", DAY(Tracking[[#This Row],[Date]])&gt;=shift_late_income_starting_day),
      DATE(YEAR(Tracking[[#This Row],[Date]]), MONTH(Tracking[[#This Row],[Date]])+1, 1),
      Tracking[[#This Row],[Date]])</f>
        <v>0</v>
      </c>
    </row>
    <row r="1303" spans="3:9" x14ac:dyDescent="0.2">
      <c r="C1303" s="94"/>
      <c r="D1303" s="32"/>
      <c r="E1303" s="32"/>
      <c r="F1303" s="34"/>
      <c r="G1303" s="35"/>
      <c r="H1303" s="37" cm="1">
        <f t="array" ref="H1303">IFERROR(SUMPRODUCT(Tracking[Amount], --(Tracking[Date]&lt;=Tracking[[#This Row],[Date]]), (Tracking[Type]&lt;&gt;"Income") * (-1) + (Tracking[Type]="Income")), "-")</f>
        <v>0</v>
      </c>
      <c r="I1303" s="95">
        <f>IF(AND(Tracking[[#This Row],[Type]]="Income", shift_late_income_status="Active", DAY(Tracking[[#This Row],[Date]])&gt;=shift_late_income_starting_day),
      DATE(YEAR(Tracking[[#This Row],[Date]]), MONTH(Tracking[[#This Row],[Date]])+1, 1),
      Tracking[[#This Row],[Date]])</f>
        <v>0</v>
      </c>
    </row>
    <row r="1304" spans="3:9" x14ac:dyDescent="0.2">
      <c r="C1304" s="94"/>
      <c r="D1304" s="32"/>
      <c r="E1304" s="32"/>
      <c r="F1304" s="34"/>
      <c r="G1304" s="35"/>
      <c r="H1304" s="37" cm="1">
        <f t="array" ref="H1304">IFERROR(SUMPRODUCT(Tracking[Amount], --(Tracking[Date]&lt;=Tracking[[#This Row],[Date]]), (Tracking[Type]&lt;&gt;"Income") * (-1) + (Tracking[Type]="Income")), "-")</f>
        <v>0</v>
      </c>
      <c r="I1304" s="95">
        <f>IF(AND(Tracking[[#This Row],[Type]]="Income", shift_late_income_status="Active", DAY(Tracking[[#This Row],[Date]])&gt;=shift_late_income_starting_day),
      DATE(YEAR(Tracking[[#This Row],[Date]]), MONTH(Tracking[[#This Row],[Date]])+1, 1),
      Tracking[[#This Row],[Date]])</f>
        <v>0</v>
      </c>
    </row>
    <row r="1305" spans="3:9" x14ac:dyDescent="0.2">
      <c r="C1305" s="94"/>
      <c r="D1305" s="32"/>
      <c r="E1305" s="32"/>
      <c r="F1305" s="34"/>
      <c r="G1305" s="35"/>
      <c r="H1305" s="37" cm="1">
        <f t="array" ref="H1305">IFERROR(SUMPRODUCT(Tracking[Amount], --(Tracking[Date]&lt;=Tracking[[#This Row],[Date]]), (Tracking[Type]&lt;&gt;"Income") * (-1) + (Tracking[Type]="Income")), "-")</f>
        <v>0</v>
      </c>
      <c r="I1305" s="95">
        <f>IF(AND(Tracking[[#This Row],[Type]]="Income", shift_late_income_status="Active", DAY(Tracking[[#This Row],[Date]])&gt;=shift_late_income_starting_day),
      DATE(YEAR(Tracking[[#This Row],[Date]]), MONTH(Tracking[[#This Row],[Date]])+1, 1),
      Tracking[[#This Row],[Date]])</f>
        <v>0</v>
      </c>
    </row>
    <row r="1306" spans="3:9" x14ac:dyDescent="0.2">
      <c r="C1306" s="94"/>
      <c r="D1306" s="32"/>
      <c r="E1306" s="32"/>
      <c r="F1306" s="34"/>
      <c r="G1306" s="35"/>
      <c r="H1306" s="37" cm="1">
        <f t="array" ref="H1306">IFERROR(SUMPRODUCT(Tracking[Amount], --(Tracking[Date]&lt;=Tracking[[#This Row],[Date]]), (Tracking[Type]&lt;&gt;"Income") * (-1) + (Tracking[Type]="Income")), "-")</f>
        <v>0</v>
      </c>
      <c r="I1306" s="95">
        <f>IF(AND(Tracking[[#This Row],[Type]]="Income", shift_late_income_status="Active", DAY(Tracking[[#This Row],[Date]])&gt;=shift_late_income_starting_day),
      DATE(YEAR(Tracking[[#This Row],[Date]]), MONTH(Tracking[[#This Row],[Date]])+1, 1),
      Tracking[[#This Row],[Date]])</f>
        <v>0</v>
      </c>
    </row>
    <row r="1307" spans="3:9" x14ac:dyDescent="0.2">
      <c r="C1307" s="94"/>
      <c r="D1307" s="32"/>
      <c r="E1307" s="32"/>
      <c r="F1307" s="34"/>
      <c r="G1307" s="35"/>
      <c r="H1307" s="37" cm="1">
        <f t="array" ref="H1307">IFERROR(SUMPRODUCT(Tracking[Amount], --(Tracking[Date]&lt;=Tracking[[#This Row],[Date]]), (Tracking[Type]&lt;&gt;"Income") * (-1) + (Tracking[Type]="Income")), "-")</f>
        <v>0</v>
      </c>
      <c r="I1307" s="95">
        <f>IF(AND(Tracking[[#This Row],[Type]]="Income", shift_late_income_status="Active", DAY(Tracking[[#This Row],[Date]])&gt;=shift_late_income_starting_day),
      DATE(YEAR(Tracking[[#This Row],[Date]]), MONTH(Tracking[[#This Row],[Date]])+1, 1),
      Tracking[[#This Row],[Date]])</f>
        <v>0</v>
      </c>
    </row>
    <row r="1308" spans="3:9" x14ac:dyDescent="0.2">
      <c r="C1308" s="94"/>
      <c r="D1308" s="32"/>
      <c r="E1308" s="32"/>
      <c r="F1308" s="34"/>
      <c r="G1308" s="35"/>
      <c r="H1308" s="37" cm="1">
        <f t="array" ref="H1308">IFERROR(SUMPRODUCT(Tracking[Amount], --(Tracking[Date]&lt;=Tracking[[#This Row],[Date]]), (Tracking[Type]&lt;&gt;"Income") * (-1) + (Tracking[Type]="Income")), "-")</f>
        <v>0</v>
      </c>
      <c r="I1308" s="95">
        <f>IF(AND(Tracking[[#This Row],[Type]]="Income", shift_late_income_status="Active", DAY(Tracking[[#This Row],[Date]])&gt;=shift_late_income_starting_day),
      DATE(YEAR(Tracking[[#This Row],[Date]]), MONTH(Tracking[[#This Row],[Date]])+1, 1),
      Tracking[[#This Row],[Date]])</f>
        <v>0</v>
      </c>
    </row>
    <row r="1309" spans="3:9" x14ac:dyDescent="0.2">
      <c r="C1309" s="94"/>
      <c r="D1309" s="32"/>
      <c r="E1309" s="32"/>
      <c r="F1309" s="34"/>
      <c r="G1309" s="35"/>
      <c r="H1309" s="37" cm="1">
        <f t="array" ref="H1309">IFERROR(SUMPRODUCT(Tracking[Amount], --(Tracking[Date]&lt;=Tracking[[#This Row],[Date]]), (Tracking[Type]&lt;&gt;"Income") * (-1) + (Tracking[Type]="Income")), "-")</f>
        <v>0</v>
      </c>
      <c r="I1309" s="95">
        <f>IF(AND(Tracking[[#This Row],[Type]]="Income", shift_late_income_status="Active", DAY(Tracking[[#This Row],[Date]])&gt;=shift_late_income_starting_day),
      DATE(YEAR(Tracking[[#This Row],[Date]]), MONTH(Tracking[[#This Row],[Date]])+1, 1),
      Tracking[[#This Row],[Date]])</f>
        <v>0</v>
      </c>
    </row>
    <row r="1310" spans="3:9" x14ac:dyDescent="0.2">
      <c r="C1310" s="94"/>
      <c r="D1310" s="32"/>
      <c r="E1310" s="32"/>
      <c r="F1310" s="34"/>
      <c r="G1310" s="35"/>
      <c r="H1310" s="37" cm="1">
        <f t="array" ref="H1310">IFERROR(SUMPRODUCT(Tracking[Amount], --(Tracking[Date]&lt;=Tracking[[#This Row],[Date]]), (Tracking[Type]&lt;&gt;"Income") * (-1) + (Tracking[Type]="Income")), "-")</f>
        <v>0</v>
      </c>
      <c r="I1310" s="95">
        <f>IF(AND(Tracking[[#This Row],[Type]]="Income", shift_late_income_status="Active", DAY(Tracking[[#This Row],[Date]])&gt;=shift_late_income_starting_day),
      DATE(YEAR(Tracking[[#This Row],[Date]]), MONTH(Tracking[[#This Row],[Date]])+1, 1),
      Tracking[[#This Row],[Date]])</f>
        <v>0</v>
      </c>
    </row>
    <row r="1311" spans="3:9" x14ac:dyDescent="0.2">
      <c r="C1311" s="94"/>
      <c r="D1311" s="32"/>
      <c r="E1311" s="32"/>
      <c r="F1311" s="34"/>
      <c r="G1311" s="35"/>
      <c r="H1311" s="37" cm="1">
        <f t="array" ref="H1311">IFERROR(SUMPRODUCT(Tracking[Amount], --(Tracking[Date]&lt;=Tracking[[#This Row],[Date]]), (Tracking[Type]&lt;&gt;"Income") * (-1) + (Tracking[Type]="Income")), "-")</f>
        <v>0</v>
      </c>
      <c r="I1311" s="95">
        <f>IF(AND(Tracking[[#This Row],[Type]]="Income", shift_late_income_status="Active", DAY(Tracking[[#This Row],[Date]])&gt;=shift_late_income_starting_day),
      DATE(YEAR(Tracking[[#This Row],[Date]]), MONTH(Tracking[[#This Row],[Date]])+1, 1),
      Tracking[[#This Row],[Date]])</f>
        <v>0</v>
      </c>
    </row>
    <row r="1312" spans="3:9" x14ac:dyDescent="0.2">
      <c r="C1312" s="94"/>
      <c r="D1312" s="32"/>
      <c r="E1312" s="32"/>
      <c r="F1312" s="34"/>
      <c r="G1312" s="35"/>
      <c r="H1312" s="37" cm="1">
        <f t="array" ref="H1312">IFERROR(SUMPRODUCT(Tracking[Amount], --(Tracking[Date]&lt;=Tracking[[#This Row],[Date]]), (Tracking[Type]&lt;&gt;"Income") * (-1) + (Tracking[Type]="Income")), "-")</f>
        <v>0</v>
      </c>
      <c r="I1312" s="95">
        <f>IF(AND(Tracking[[#This Row],[Type]]="Income", shift_late_income_status="Active", DAY(Tracking[[#This Row],[Date]])&gt;=shift_late_income_starting_day),
      DATE(YEAR(Tracking[[#This Row],[Date]]), MONTH(Tracking[[#This Row],[Date]])+1, 1),
      Tracking[[#This Row],[Date]])</f>
        <v>0</v>
      </c>
    </row>
    <row r="1313" spans="3:9" x14ac:dyDescent="0.2">
      <c r="C1313" s="94"/>
      <c r="D1313" s="32"/>
      <c r="E1313" s="32"/>
      <c r="F1313" s="34"/>
      <c r="G1313" s="35"/>
      <c r="H1313" s="37" cm="1">
        <f t="array" ref="H1313">IFERROR(SUMPRODUCT(Tracking[Amount], --(Tracking[Date]&lt;=Tracking[[#This Row],[Date]]), (Tracking[Type]&lt;&gt;"Income") * (-1) + (Tracking[Type]="Income")), "-")</f>
        <v>0</v>
      </c>
      <c r="I1313" s="95">
        <f>IF(AND(Tracking[[#This Row],[Type]]="Income", shift_late_income_status="Active", DAY(Tracking[[#This Row],[Date]])&gt;=shift_late_income_starting_day),
      DATE(YEAR(Tracking[[#This Row],[Date]]), MONTH(Tracking[[#This Row],[Date]])+1, 1),
      Tracking[[#This Row],[Date]])</f>
        <v>0</v>
      </c>
    </row>
    <row r="1314" spans="3:9" x14ac:dyDescent="0.2">
      <c r="C1314" s="94"/>
      <c r="D1314" s="32"/>
      <c r="E1314" s="32"/>
      <c r="F1314" s="34"/>
      <c r="G1314" s="35"/>
      <c r="H1314" s="37" cm="1">
        <f t="array" ref="H1314">IFERROR(SUMPRODUCT(Tracking[Amount], --(Tracking[Date]&lt;=Tracking[[#This Row],[Date]]), (Tracking[Type]&lt;&gt;"Income") * (-1) + (Tracking[Type]="Income")), "-")</f>
        <v>0</v>
      </c>
      <c r="I1314" s="95">
        <f>IF(AND(Tracking[[#This Row],[Type]]="Income", shift_late_income_status="Active", DAY(Tracking[[#This Row],[Date]])&gt;=shift_late_income_starting_day),
      DATE(YEAR(Tracking[[#This Row],[Date]]), MONTH(Tracking[[#This Row],[Date]])+1, 1),
      Tracking[[#This Row],[Date]])</f>
        <v>0</v>
      </c>
    </row>
    <row r="1315" spans="3:9" x14ac:dyDescent="0.2">
      <c r="C1315" s="94"/>
      <c r="D1315" s="32"/>
      <c r="E1315" s="32"/>
      <c r="F1315" s="34"/>
      <c r="G1315" s="35"/>
      <c r="H1315" s="37" cm="1">
        <f t="array" ref="H1315">IFERROR(SUMPRODUCT(Tracking[Amount], --(Tracking[Date]&lt;=Tracking[[#This Row],[Date]]), (Tracking[Type]&lt;&gt;"Income") * (-1) + (Tracking[Type]="Income")), "-")</f>
        <v>0</v>
      </c>
      <c r="I1315" s="95">
        <f>IF(AND(Tracking[[#This Row],[Type]]="Income", shift_late_income_status="Active", DAY(Tracking[[#This Row],[Date]])&gt;=shift_late_income_starting_day),
      DATE(YEAR(Tracking[[#This Row],[Date]]), MONTH(Tracking[[#This Row],[Date]])+1, 1),
      Tracking[[#This Row],[Date]])</f>
        <v>0</v>
      </c>
    </row>
    <row r="1316" spans="3:9" x14ac:dyDescent="0.2">
      <c r="C1316" s="94"/>
      <c r="D1316" s="32"/>
      <c r="E1316" s="32"/>
      <c r="F1316" s="34"/>
      <c r="G1316" s="35"/>
      <c r="H1316" s="37" cm="1">
        <f t="array" ref="H1316">IFERROR(SUMPRODUCT(Tracking[Amount], --(Tracking[Date]&lt;=Tracking[[#This Row],[Date]]), (Tracking[Type]&lt;&gt;"Income") * (-1) + (Tracking[Type]="Income")), "-")</f>
        <v>0</v>
      </c>
      <c r="I1316" s="95">
        <f>IF(AND(Tracking[[#This Row],[Type]]="Income", shift_late_income_status="Active", DAY(Tracking[[#This Row],[Date]])&gt;=shift_late_income_starting_day),
      DATE(YEAR(Tracking[[#This Row],[Date]]), MONTH(Tracking[[#This Row],[Date]])+1, 1),
      Tracking[[#This Row],[Date]])</f>
        <v>0</v>
      </c>
    </row>
    <row r="1317" spans="3:9" x14ac:dyDescent="0.2">
      <c r="C1317" s="94"/>
      <c r="D1317" s="32"/>
      <c r="E1317" s="32"/>
      <c r="F1317" s="34"/>
      <c r="G1317" s="35"/>
      <c r="H1317" s="37" cm="1">
        <f t="array" ref="H1317">IFERROR(SUMPRODUCT(Tracking[Amount], --(Tracking[Date]&lt;=Tracking[[#This Row],[Date]]), (Tracking[Type]&lt;&gt;"Income") * (-1) + (Tracking[Type]="Income")), "-")</f>
        <v>0</v>
      </c>
      <c r="I1317" s="95">
        <f>IF(AND(Tracking[[#This Row],[Type]]="Income", shift_late_income_status="Active", DAY(Tracking[[#This Row],[Date]])&gt;=shift_late_income_starting_day),
      DATE(YEAR(Tracking[[#This Row],[Date]]), MONTH(Tracking[[#This Row],[Date]])+1, 1),
      Tracking[[#This Row],[Date]])</f>
        <v>0</v>
      </c>
    </row>
    <row r="1318" spans="3:9" x14ac:dyDescent="0.2">
      <c r="C1318" s="94"/>
      <c r="D1318" s="32"/>
      <c r="E1318" s="32"/>
      <c r="F1318" s="34"/>
      <c r="G1318" s="35"/>
      <c r="H1318" s="37" cm="1">
        <f t="array" ref="H1318">IFERROR(SUMPRODUCT(Tracking[Amount], --(Tracking[Date]&lt;=Tracking[[#This Row],[Date]]), (Tracking[Type]&lt;&gt;"Income") * (-1) + (Tracking[Type]="Income")), "-")</f>
        <v>0</v>
      </c>
      <c r="I1318" s="95">
        <f>IF(AND(Tracking[[#This Row],[Type]]="Income", shift_late_income_status="Active", DAY(Tracking[[#This Row],[Date]])&gt;=shift_late_income_starting_day),
      DATE(YEAR(Tracking[[#This Row],[Date]]), MONTH(Tracking[[#This Row],[Date]])+1, 1),
      Tracking[[#This Row],[Date]])</f>
        <v>0</v>
      </c>
    </row>
    <row r="1319" spans="3:9" x14ac:dyDescent="0.2">
      <c r="C1319" s="94"/>
      <c r="D1319" s="32"/>
      <c r="E1319" s="32"/>
      <c r="F1319" s="34"/>
      <c r="G1319" s="35"/>
      <c r="H1319" s="37" cm="1">
        <f t="array" ref="H1319">IFERROR(SUMPRODUCT(Tracking[Amount], --(Tracking[Date]&lt;=Tracking[[#This Row],[Date]]), (Tracking[Type]&lt;&gt;"Income") * (-1) + (Tracking[Type]="Income")), "-")</f>
        <v>0</v>
      </c>
      <c r="I1319" s="95">
        <f>IF(AND(Tracking[[#This Row],[Type]]="Income", shift_late_income_status="Active", DAY(Tracking[[#This Row],[Date]])&gt;=shift_late_income_starting_day),
      DATE(YEAR(Tracking[[#This Row],[Date]]), MONTH(Tracking[[#This Row],[Date]])+1, 1),
      Tracking[[#This Row],[Date]])</f>
        <v>0</v>
      </c>
    </row>
    <row r="1320" spans="3:9" x14ac:dyDescent="0.2">
      <c r="C1320" s="94"/>
      <c r="D1320" s="32"/>
      <c r="E1320" s="32"/>
      <c r="F1320" s="34"/>
      <c r="G1320" s="35"/>
      <c r="H1320" s="37" cm="1">
        <f t="array" ref="H1320">IFERROR(SUMPRODUCT(Tracking[Amount], --(Tracking[Date]&lt;=Tracking[[#This Row],[Date]]), (Tracking[Type]&lt;&gt;"Income") * (-1) + (Tracking[Type]="Income")), "-")</f>
        <v>0</v>
      </c>
      <c r="I1320" s="95">
        <f>IF(AND(Tracking[[#This Row],[Type]]="Income", shift_late_income_status="Active", DAY(Tracking[[#This Row],[Date]])&gt;=shift_late_income_starting_day),
      DATE(YEAR(Tracking[[#This Row],[Date]]), MONTH(Tracking[[#This Row],[Date]])+1, 1),
      Tracking[[#This Row],[Date]])</f>
        <v>0</v>
      </c>
    </row>
    <row r="1321" spans="3:9" x14ac:dyDescent="0.2">
      <c r="C1321" s="94"/>
      <c r="D1321" s="32"/>
      <c r="E1321" s="32"/>
      <c r="F1321" s="34"/>
      <c r="G1321" s="35"/>
      <c r="H1321" s="37" cm="1">
        <f t="array" ref="H1321">IFERROR(SUMPRODUCT(Tracking[Amount], --(Tracking[Date]&lt;=Tracking[[#This Row],[Date]]), (Tracking[Type]&lt;&gt;"Income") * (-1) + (Tracking[Type]="Income")), "-")</f>
        <v>0</v>
      </c>
      <c r="I1321" s="95">
        <f>IF(AND(Tracking[[#This Row],[Type]]="Income", shift_late_income_status="Active", DAY(Tracking[[#This Row],[Date]])&gt;=shift_late_income_starting_day),
      DATE(YEAR(Tracking[[#This Row],[Date]]), MONTH(Tracking[[#This Row],[Date]])+1, 1),
      Tracking[[#This Row],[Date]])</f>
        <v>0</v>
      </c>
    </row>
    <row r="1322" spans="3:9" x14ac:dyDescent="0.2">
      <c r="C1322" s="94"/>
      <c r="D1322" s="32"/>
      <c r="E1322" s="32"/>
      <c r="F1322" s="34"/>
      <c r="G1322" s="35"/>
      <c r="H1322" s="37" cm="1">
        <f t="array" ref="H1322">IFERROR(SUMPRODUCT(Tracking[Amount], --(Tracking[Date]&lt;=Tracking[[#This Row],[Date]]), (Tracking[Type]&lt;&gt;"Income") * (-1) + (Tracking[Type]="Income")), "-")</f>
        <v>0</v>
      </c>
      <c r="I1322" s="95">
        <f>IF(AND(Tracking[[#This Row],[Type]]="Income", shift_late_income_status="Active", DAY(Tracking[[#This Row],[Date]])&gt;=shift_late_income_starting_day),
      DATE(YEAR(Tracking[[#This Row],[Date]]), MONTH(Tracking[[#This Row],[Date]])+1, 1),
      Tracking[[#This Row],[Date]])</f>
        <v>0</v>
      </c>
    </row>
    <row r="1323" spans="3:9" x14ac:dyDescent="0.2">
      <c r="C1323" s="94"/>
      <c r="D1323" s="32"/>
      <c r="E1323" s="32"/>
      <c r="F1323" s="34"/>
      <c r="G1323" s="35"/>
      <c r="H1323" s="37" cm="1">
        <f t="array" ref="H1323">IFERROR(SUMPRODUCT(Tracking[Amount], --(Tracking[Date]&lt;=Tracking[[#This Row],[Date]]), (Tracking[Type]&lt;&gt;"Income") * (-1) + (Tracking[Type]="Income")), "-")</f>
        <v>0</v>
      </c>
      <c r="I1323" s="95">
        <f>IF(AND(Tracking[[#This Row],[Type]]="Income", shift_late_income_status="Active", DAY(Tracking[[#This Row],[Date]])&gt;=shift_late_income_starting_day),
      DATE(YEAR(Tracking[[#This Row],[Date]]), MONTH(Tracking[[#This Row],[Date]])+1, 1),
      Tracking[[#This Row],[Date]])</f>
        <v>0</v>
      </c>
    </row>
    <row r="1324" spans="3:9" x14ac:dyDescent="0.2">
      <c r="C1324" s="94"/>
      <c r="D1324" s="32"/>
      <c r="E1324" s="32"/>
      <c r="F1324" s="34"/>
      <c r="G1324" s="35"/>
      <c r="H1324" s="37" cm="1">
        <f t="array" ref="H1324">IFERROR(SUMPRODUCT(Tracking[Amount], --(Tracking[Date]&lt;=Tracking[[#This Row],[Date]]), (Tracking[Type]&lt;&gt;"Income") * (-1) + (Tracking[Type]="Income")), "-")</f>
        <v>0</v>
      </c>
      <c r="I1324" s="95">
        <f>IF(AND(Tracking[[#This Row],[Type]]="Income", shift_late_income_status="Active", DAY(Tracking[[#This Row],[Date]])&gt;=shift_late_income_starting_day),
      DATE(YEAR(Tracking[[#This Row],[Date]]), MONTH(Tracking[[#This Row],[Date]])+1, 1),
      Tracking[[#This Row],[Date]])</f>
        <v>0</v>
      </c>
    </row>
    <row r="1325" spans="3:9" x14ac:dyDescent="0.2">
      <c r="C1325" s="94"/>
      <c r="D1325" s="32"/>
      <c r="E1325" s="32"/>
      <c r="F1325" s="34"/>
      <c r="G1325" s="35"/>
      <c r="H1325" s="37" cm="1">
        <f t="array" ref="H1325">IFERROR(SUMPRODUCT(Tracking[Amount], --(Tracking[Date]&lt;=Tracking[[#This Row],[Date]]), (Tracking[Type]&lt;&gt;"Income") * (-1) + (Tracking[Type]="Income")), "-")</f>
        <v>0</v>
      </c>
      <c r="I1325" s="95">
        <f>IF(AND(Tracking[[#This Row],[Type]]="Income", shift_late_income_status="Active", DAY(Tracking[[#This Row],[Date]])&gt;=shift_late_income_starting_day),
      DATE(YEAR(Tracking[[#This Row],[Date]]), MONTH(Tracking[[#This Row],[Date]])+1, 1),
      Tracking[[#This Row],[Date]])</f>
        <v>0</v>
      </c>
    </row>
    <row r="1326" spans="3:9" x14ac:dyDescent="0.2">
      <c r="C1326" s="94"/>
      <c r="D1326" s="32"/>
      <c r="E1326" s="32"/>
      <c r="F1326" s="34"/>
      <c r="G1326" s="35"/>
      <c r="H1326" s="37" cm="1">
        <f t="array" ref="H1326">IFERROR(SUMPRODUCT(Tracking[Amount], --(Tracking[Date]&lt;=Tracking[[#This Row],[Date]]), (Tracking[Type]&lt;&gt;"Income") * (-1) + (Tracking[Type]="Income")), "-")</f>
        <v>0</v>
      </c>
      <c r="I1326" s="95">
        <f>IF(AND(Tracking[[#This Row],[Type]]="Income", shift_late_income_status="Active", DAY(Tracking[[#This Row],[Date]])&gt;=shift_late_income_starting_day),
      DATE(YEAR(Tracking[[#This Row],[Date]]), MONTH(Tracking[[#This Row],[Date]])+1, 1),
      Tracking[[#This Row],[Date]])</f>
        <v>0</v>
      </c>
    </row>
    <row r="1327" spans="3:9" x14ac:dyDescent="0.2">
      <c r="C1327" s="94"/>
      <c r="D1327" s="32"/>
      <c r="E1327" s="32"/>
      <c r="F1327" s="34"/>
      <c r="G1327" s="35"/>
      <c r="H1327" s="37" cm="1">
        <f t="array" ref="H1327">IFERROR(SUMPRODUCT(Tracking[Amount], --(Tracking[Date]&lt;=Tracking[[#This Row],[Date]]), (Tracking[Type]&lt;&gt;"Income") * (-1) + (Tracking[Type]="Income")), "-")</f>
        <v>0</v>
      </c>
      <c r="I1327" s="95">
        <f>IF(AND(Tracking[[#This Row],[Type]]="Income", shift_late_income_status="Active", DAY(Tracking[[#This Row],[Date]])&gt;=shift_late_income_starting_day),
      DATE(YEAR(Tracking[[#This Row],[Date]]), MONTH(Tracking[[#This Row],[Date]])+1, 1),
      Tracking[[#This Row],[Date]])</f>
        <v>0</v>
      </c>
    </row>
    <row r="1328" spans="3:9" x14ac:dyDescent="0.2">
      <c r="C1328" s="94"/>
      <c r="D1328" s="32"/>
      <c r="E1328" s="32"/>
      <c r="F1328" s="34"/>
      <c r="G1328" s="35"/>
      <c r="H1328" s="37" cm="1">
        <f t="array" ref="H1328">IFERROR(SUMPRODUCT(Tracking[Amount], --(Tracking[Date]&lt;=Tracking[[#This Row],[Date]]), (Tracking[Type]&lt;&gt;"Income") * (-1) + (Tracking[Type]="Income")), "-")</f>
        <v>0</v>
      </c>
      <c r="I1328" s="95">
        <f>IF(AND(Tracking[[#This Row],[Type]]="Income", shift_late_income_status="Active", DAY(Tracking[[#This Row],[Date]])&gt;=shift_late_income_starting_day),
      DATE(YEAR(Tracking[[#This Row],[Date]]), MONTH(Tracking[[#This Row],[Date]])+1, 1),
      Tracking[[#This Row],[Date]])</f>
        <v>0</v>
      </c>
    </row>
    <row r="1329" spans="3:9" x14ac:dyDescent="0.2">
      <c r="C1329" s="94"/>
      <c r="D1329" s="32"/>
      <c r="E1329" s="32"/>
      <c r="F1329" s="34"/>
      <c r="G1329" s="35"/>
      <c r="H1329" s="37" cm="1">
        <f t="array" ref="H1329">IFERROR(SUMPRODUCT(Tracking[Amount], --(Tracking[Date]&lt;=Tracking[[#This Row],[Date]]), (Tracking[Type]&lt;&gt;"Income") * (-1) + (Tracking[Type]="Income")), "-")</f>
        <v>0</v>
      </c>
      <c r="I1329" s="95">
        <f>IF(AND(Tracking[[#This Row],[Type]]="Income", shift_late_income_status="Active", DAY(Tracking[[#This Row],[Date]])&gt;=shift_late_income_starting_day),
      DATE(YEAR(Tracking[[#This Row],[Date]]), MONTH(Tracking[[#This Row],[Date]])+1, 1),
      Tracking[[#This Row],[Date]])</f>
        <v>0</v>
      </c>
    </row>
    <row r="1330" spans="3:9" x14ac:dyDescent="0.2">
      <c r="C1330" s="94"/>
      <c r="D1330" s="32"/>
      <c r="E1330" s="32"/>
      <c r="F1330" s="34"/>
      <c r="G1330" s="35"/>
      <c r="H1330" s="37" cm="1">
        <f t="array" ref="H1330">IFERROR(SUMPRODUCT(Tracking[Amount], --(Tracking[Date]&lt;=Tracking[[#This Row],[Date]]), (Tracking[Type]&lt;&gt;"Income") * (-1) + (Tracking[Type]="Income")), "-")</f>
        <v>0</v>
      </c>
      <c r="I1330" s="95">
        <f>IF(AND(Tracking[[#This Row],[Type]]="Income", shift_late_income_status="Active", DAY(Tracking[[#This Row],[Date]])&gt;=shift_late_income_starting_day),
      DATE(YEAR(Tracking[[#This Row],[Date]]), MONTH(Tracking[[#This Row],[Date]])+1, 1),
      Tracking[[#This Row],[Date]])</f>
        <v>0</v>
      </c>
    </row>
    <row r="1331" spans="3:9" x14ac:dyDescent="0.2">
      <c r="C1331" s="94"/>
      <c r="D1331" s="32"/>
      <c r="E1331" s="32"/>
      <c r="F1331" s="34"/>
      <c r="G1331" s="35"/>
      <c r="H1331" s="37" cm="1">
        <f t="array" ref="H1331">IFERROR(SUMPRODUCT(Tracking[Amount], --(Tracking[Date]&lt;=Tracking[[#This Row],[Date]]), (Tracking[Type]&lt;&gt;"Income") * (-1) + (Tracking[Type]="Income")), "-")</f>
        <v>0</v>
      </c>
      <c r="I1331" s="95">
        <f>IF(AND(Tracking[[#This Row],[Type]]="Income", shift_late_income_status="Active", DAY(Tracking[[#This Row],[Date]])&gt;=shift_late_income_starting_day),
      DATE(YEAR(Tracking[[#This Row],[Date]]), MONTH(Tracking[[#This Row],[Date]])+1, 1),
      Tracking[[#This Row],[Date]])</f>
        <v>0</v>
      </c>
    </row>
    <row r="1332" spans="3:9" x14ac:dyDescent="0.2">
      <c r="C1332" s="94"/>
      <c r="D1332" s="32"/>
      <c r="E1332" s="32"/>
      <c r="F1332" s="34"/>
      <c r="G1332" s="35"/>
      <c r="H1332" s="37" cm="1">
        <f t="array" ref="H1332">IFERROR(SUMPRODUCT(Tracking[Amount], --(Tracking[Date]&lt;=Tracking[[#This Row],[Date]]), (Tracking[Type]&lt;&gt;"Income") * (-1) + (Tracking[Type]="Income")), "-")</f>
        <v>0</v>
      </c>
      <c r="I1332" s="95">
        <f>IF(AND(Tracking[[#This Row],[Type]]="Income", shift_late_income_status="Active", DAY(Tracking[[#This Row],[Date]])&gt;=shift_late_income_starting_day),
      DATE(YEAR(Tracking[[#This Row],[Date]]), MONTH(Tracking[[#This Row],[Date]])+1, 1),
      Tracking[[#This Row],[Date]])</f>
        <v>0</v>
      </c>
    </row>
    <row r="1333" spans="3:9" x14ac:dyDescent="0.2">
      <c r="C1333" s="94"/>
      <c r="D1333" s="32"/>
      <c r="E1333" s="32"/>
      <c r="F1333" s="34"/>
      <c r="G1333" s="35"/>
      <c r="H1333" s="37" cm="1">
        <f t="array" ref="H1333">IFERROR(SUMPRODUCT(Tracking[Amount], --(Tracking[Date]&lt;=Tracking[[#This Row],[Date]]), (Tracking[Type]&lt;&gt;"Income") * (-1) + (Tracking[Type]="Income")), "-")</f>
        <v>0</v>
      </c>
      <c r="I1333" s="95">
        <f>IF(AND(Tracking[[#This Row],[Type]]="Income", shift_late_income_status="Active", DAY(Tracking[[#This Row],[Date]])&gt;=shift_late_income_starting_day),
      DATE(YEAR(Tracking[[#This Row],[Date]]), MONTH(Tracking[[#This Row],[Date]])+1, 1),
      Tracking[[#This Row],[Date]])</f>
        <v>0</v>
      </c>
    </row>
    <row r="1334" spans="3:9" x14ac:dyDescent="0.2">
      <c r="C1334" s="94"/>
      <c r="D1334" s="32"/>
      <c r="E1334" s="32"/>
      <c r="F1334" s="34"/>
      <c r="G1334" s="35"/>
      <c r="H1334" s="37" cm="1">
        <f t="array" ref="H1334">IFERROR(SUMPRODUCT(Tracking[Amount], --(Tracking[Date]&lt;=Tracking[[#This Row],[Date]]), (Tracking[Type]&lt;&gt;"Income") * (-1) + (Tracking[Type]="Income")), "-")</f>
        <v>0</v>
      </c>
      <c r="I1334" s="95">
        <f>IF(AND(Tracking[[#This Row],[Type]]="Income", shift_late_income_status="Active", DAY(Tracking[[#This Row],[Date]])&gt;=shift_late_income_starting_day),
      DATE(YEAR(Tracking[[#This Row],[Date]]), MONTH(Tracking[[#This Row],[Date]])+1, 1),
      Tracking[[#This Row],[Date]])</f>
        <v>0</v>
      </c>
    </row>
  </sheetData>
  <conditionalFormatting sqref="E12:E1334">
    <cfRule type="expression" dxfId="28" priority="3">
      <formula>ISNA(MATCH(E12, INDIRECT(D12), 0))</formula>
    </cfRule>
  </conditionalFormatting>
  <conditionalFormatting sqref="F12:F235 F238:F691 F694:F1334">
    <cfRule type="expression" dxfId="27" priority="2">
      <formula>D12="Income"</formula>
    </cfRule>
  </conditionalFormatting>
  <conditionalFormatting sqref="F237 F693">
    <cfRule type="expression" dxfId="26" priority="67">
      <formula>D236="Income"</formula>
    </cfRule>
  </conditionalFormatting>
  <conditionalFormatting sqref="I12:I1334">
    <cfRule type="expression" dxfId="25" priority="1">
      <formula>AND(D12="Income", shift_late_income_status="Active", DAY(C12)&gt;=shift_late_income_starting_day)</formula>
    </cfRule>
  </conditionalFormatting>
  <dataValidations count="4">
    <dataValidation type="custom" allowBlank="1" showInputMessage="1" showErrorMessage="1" errorTitle="Invalid Amount" error="Please enter a valid number." sqref="F12:F235 F237:F691 F693:F1334" xr:uid="{078C86E2-1061-4DDB-B671-BFF1D64E9E36}">
      <formula1>ISNUMBER(F12)</formula1>
    </dataValidation>
    <dataValidation type="date" operator="greaterThan" allowBlank="1" showInputMessage="1" showErrorMessage="1" errorTitle="Invalid Date" error="Please enter a valid date." sqref="C426:C1334 C12:C425" xr:uid="{BFE604CB-E0EC-43CC-BB9B-C331D6410DBB}">
      <formula1>1</formula1>
    </dataValidation>
    <dataValidation type="list" allowBlank="1" showInputMessage="1" showErrorMessage="1" errorTitle="Invalid Type" error="Please select a valid type from the dropdown list." sqref="D426:D1334 D12:D425" xr:uid="{86D1084A-1331-49D9-B821-4B730F71DFA7}">
      <formula1>"Income, Expenses, Savings"</formula1>
    </dataValidation>
    <dataValidation type="list" allowBlank="1" showInputMessage="1" showErrorMessage="1" errorTitle="Invalid Category" error="Please select a valid category from the dropdown list." sqref="E426:E1334 E12:E425" xr:uid="{9B253D40-FFD2-4AB4-8F75-7F8BAFD5D7A1}">
      <formula1>INDIRECT(D12)</formula1>
    </dataValidation>
  </dataValidations>
  <pageMargins left="0.7" right="0.7" top="0.75" bottom="0.75" header="0.3" footer="0.3"/>
  <pageSetup paperSize="9"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4170-1F35-459F-8DAA-775747269D1B}">
  <sheetPr>
    <tabColor theme="2"/>
  </sheetPr>
  <dimension ref="B1:AR120"/>
  <sheetViews>
    <sheetView showGridLines="0" zoomScale="130" zoomScaleNormal="130" workbookViewId="0">
      <selection activeCell="AL52" sqref="AL52"/>
    </sheetView>
  </sheetViews>
  <sheetFormatPr baseColWidth="10" defaultColWidth="8.83203125" defaultRowHeight="15" x14ac:dyDescent="0.2"/>
  <cols>
    <col min="1" max="1" width="5.5" customWidth="1"/>
    <col min="2" max="2" width="2.83203125" customWidth="1"/>
    <col min="3" max="3" width="8.83203125" hidden="1" customWidth="1"/>
    <col min="4" max="4" width="11" hidden="1" customWidth="1"/>
    <col min="5" max="9" width="8.83203125" hidden="1" customWidth="1"/>
    <col min="10" max="10" width="26" hidden="1" customWidth="1"/>
    <col min="11" max="12" width="8.83203125" hidden="1" customWidth="1"/>
    <col min="13" max="13" width="10" hidden="1" customWidth="1"/>
    <col min="14" max="14" width="10.1640625" hidden="1" customWidth="1"/>
    <col min="15" max="15" width="12.83203125" hidden="1" customWidth="1"/>
    <col min="16" max="16" width="11.1640625" hidden="1" customWidth="1"/>
    <col min="17" max="17" width="12.33203125" hidden="1" customWidth="1"/>
    <col min="18" max="18" width="11.1640625" hidden="1" customWidth="1"/>
    <col min="19" max="21" width="13" hidden="1" customWidth="1"/>
    <col min="22" max="22" width="20.1640625" hidden="1" customWidth="1"/>
    <col min="23" max="23" width="13.6640625" hidden="1" customWidth="1"/>
    <col min="24" max="24" width="19.5" hidden="1" customWidth="1"/>
    <col min="25" max="25" width="27" customWidth="1"/>
    <col min="26" max="27" width="10.33203125" customWidth="1"/>
    <col min="28" max="28" width="8.1640625" customWidth="1"/>
    <col min="29" max="30" width="10.33203125" customWidth="1"/>
    <col min="31" max="31" width="3.83203125" customWidth="1"/>
    <col min="32" max="33" width="15.1640625" customWidth="1"/>
    <col min="34" max="34" width="1.83203125" customWidth="1"/>
    <col min="35" max="35" width="15.6640625" customWidth="1"/>
    <col min="36" max="36" width="8.5" customWidth="1"/>
    <col min="37" max="37" width="6.5" customWidth="1"/>
    <col min="38" max="38" width="3.5" customWidth="1"/>
    <col min="39" max="40" width="15.1640625" customWidth="1"/>
    <col min="41" max="41" width="1.83203125" customWidth="1"/>
    <col min="42" max="42" width="15.6640625" customWidth="1"/>
    <col min="43" max="43" width="8.5" customWidth="1"/>
    <col min="44" max="44" width="6.5" customWidth="1"/>
  </cols>
  <sheetData>
    <row r="1" spans="2:44" s="1" customFormat="1" ht="7.25" customHeight="1" x14ac:dyDescent="0.2"/>
    <row r="2" spans="2:44" s="1" customFormat="1" ht="27.5" customHeight="1" x14ac:dyDescent="0.3">
      <c r="B2" s="2" t="s">
        <v>145</v>
      </c>
    </row>
    <row r="3" spans="2:44" s="1" customFormat="1" ht="7.25" customHeight="1" x14ac:dyDescent="0.2"/>
    <row r="5" spans="2:44" x14ac:dyDescent="0.2">
      <c r="AQ5" s="112" t="s">
        <v>146</v>
      </c>
      <c r="AR5" s="113"/>
    </row>
    <row r="6" spans="2:44" x14ac:dyDescent="0.2">
      <c r="AN6" s="115" t="s">
        <v>147</v>
      </c>
      <c r="AO6" s="115"/>
      <c r="AP6" s="115"/>
      <c r="AQ6" s="114" t="s">
        <v>148</v>
      </c>
      <c r="AR6" s="114"/>
    </row>
    <row r="8" spans="2:44" x14ac:dyDescent="0.2">
      <c r="AQ8" s="112" t="s">
        <v>149</v>
      </c>
      <c r="AR8" s="113"/>
    </row>
    <row r="9" spans="2:44" x14ac:dyDescent="0.2">
      <c r="AN9" s="115" t="s">
        <v>150</v>
      </c>
      <c r="AO9" s="115"/>
      <c r="AP9" s="115"/>
      <c r="AQ9" s="116" t="s">
        <v>151</v>
      </c>
      <c r="AR9" s="116"/>
    </row>
    <row r="11" spans="2:44" x14ac:dyDescent="0.2">
      <c r="C11" s="42"/>
      <c r="D11" s="42"/>
      <c r="E11" s="42"/>
      <c r="F11" s="42"/>
      <c r="G11" s="42"/>
      <c r="H11" s="42"/>
      <c r="I11" s="42"/>
      <c r="J11" s="42"/>
      <c r="K11" s="42"/>
      <c r="L11" s="42"/>
      <c r="M11" s="42"/>
      <c r="N11" s="42"/>
      <c r="O11" s="42"/>
      <c r="P11" s="42"/>
      <c r="Q11" s="42"/>
      <c r="R11" s="42"/>
      <c r="S11" s="42"/>
      <c r="T11" s="42"/>
      <c r="U11" s="42"/>
      <c r="V11" s="42"/>
      <c r="W11" s="42"/>
      <c r="X11" s="42"/>
      <c r="Y11" s="111" t="str">
        <f ca="1">"Breakdown - " &amp;
  IF(selected_period="Total Year",
      selected_year &amp; " (Total Year)",
      selected_period_display &amp; " " &amp; selected_year)</f>
        <v>Breakdown - October 2025</v>
      </c>
      <c r="Z11" s="111"/>
      <c r="AA11" s="111"/>
      <c r="AB11" s="111"/>
      <c r="AC11" s="111"/>
      <c r="AD11" s="111"/>
      <c r="AF11" s="111" t="str">
        <f ca="1">"Summary - " &amp;
  IF(selected_period="Total Year",
      selected_year &amp; " (Total Year)",
      selected_period_display &amp; " " &amp; selected_year)</f>
        <v>Summary - October 2025</v>
      </c>
      <c r="AG11" s="111"/>
      <c r="AH11" s="111"/>
      <c r="AI11" s="111"/>
      <c r="AJ11" s="111"/>
      <c r="AK11" s="111"/>
      <c r="AL11" s="111"/>
      <c r="AM11" s="111"/>
      <c r="AN11" s="111"/>
      <c r="AO11" s="111"/>
      <c r="AP11" s="111"/>
      <c r="AQ11" s="111"/>
      <c r="AR11" s="111"/>
    </row>
    <row r="12" spans="2:44" x14ac:dyDescent="0.2">
      <c r="C12" s="50" t="s">
        <v>152</v>
      </c>
      <c r="D12" s="51" t="s">
        <v>153</v>
      </c>
      <c r="E12" s="50" t="s">
        <v>154</v>
      </c>
      <c r="F12" s="52" t="s">
        <v>155</v>
      </c>
      <c r="G12" s="52" t="s">
        <v>156</v>
      </c>
      <c r="H12" s="51" t="s">
        <v>157</v>
      </c>
      <c r="I12" s="50" t="s">
        <v>158</v>
      </c>
      <c r="J12" s="52" t="s">
        <v>159</v>
      </c>
      <c r="K12" s="52" t="s">
        <v>160</v>
      </c>
      <c r="L12" s="51" t="s">
        <v>161</v>
      </c>
      <c r="M12" s="50" t="s">
        <v>162</v>
      </c>
      <c r="N12" s="51" t="s">
        <v>163</v>
      </c>
      <c r="O12" s="50" t="s">
        <v>164</v>
      </c>
      <c r="P12" s="52" t="s">
        <v>165</v>
      </c>
      <c r="Q12" s="52" t="s">
        <v>166</v>
      </c>
      <c r="R12" s="51" t="s">
        <v>167</v>
      </c>
      <c r="S12" s="50" t="s">
        <v>168</v>
      </c>
      <c r="T12" s="52" t="s">
        <v>169</v>
      </c>
      <c r="U12" s="52" t="s">
        <v>170</v>
      </c>
      <c r="V12" s="52" t="s">
        <v>171</v>
      </c>
      <c r="W12" s="51" t="s">
        <v>172</v>
      </c>
      <c r="X12" s="56" t="s">
        <v>173</v>
      </c>
    </row>
    <row r="13" spans="2:44" x14ac:dyDescent="0.2">
      <c r="C13" s="6" cm="1">
        <f t="array" ref="C13">income_header_row</f>
        <v>9</v>
      </c>
      <c r="D13" s="7">
        <f t="shared" ref="D13:D120" si="0">IF(is_header, row_id,
      IF(NOT(is_empty), D12,-1))</f>
        <v>9</v>
      </c>
      <c r="E13" s="6" cm="1">
        <f t="array" ref="E13">1*OR(row_id=income_header_row, row_id=expenses_header_row, row_id=savings_header_row)</f>
        <v>1</v>
      </c>
      <c r="F13">
        <f t="shared" ref="F13:F120" si="1">1*NOT(OR(is_header, is_total, is_empty))</f>
        <v>0</v>
      </c>
      <c r="G13" cm="1">
        <f t="array" ref="G13">1*OR(row_id=income_total_row, row_id=expenses_total_row, row_id=savings_total_row)</f>
        <v>0</v>
      </c>
      <c r="H13" s="7">
        <f t="shared" ref="H13:H120" si="2">1*OR(row_id="/1", row_id="/2", row_id=-1)</f>
        <v>0</v>
      </c>
      <c r="I13" s="6" t="str" cm="1">
        <f t="array" ref="I13">IFERROR(INDEX('Budget Planning'!$C:$C, header_row_id),"")</f>
        <v>Income</v>
      </c>
      <c r="J13" t="str" cm="1">
        <f t="array" ref="J13">IFERROR(INDEX('Budget Planning'!$C:$C, row_id),"")</f>
        <v>Income</v>
      </c>
      <c r="K13" s="54" t="str" cm="1">
        <f t="array" ref="K1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3" s="55" t="str" cm="1">
        <f t="array" ref="L13">IF(OR(is_header, is_empty), "",
      INDEX('Budget Planning'!$E:$EM, row_id,
                  MATCH(IF(selected_period="Total Year", selected_year, DATE(selected_year, selected_period, 1)), 'Budget Planning'!$E$9:$EM$9, 0)  ))</f>
        <v/>
      </c>
      <c r="M13" s="6" t="str" cm="1">
        <f t="array" ref="M13">IF(is_cat,
       IF(header_row_id=income_header_row, MATCH(income_min_row, $C:$C, 0),
           IF(header_row_id=expenses_header_row, MATCH(expenses_min_row, $C:$C, 0),
               IF(header_row_id=savings_header_row, MATCH(savings_min_row, $C:$C, 0),""))), "")</f>
        <v/>
      </c>
      <c r="N13" s="7" t="str" cm="1">
        <f t="array" ref="N13">IF(is_cat,
       IF(header_row_id=income_header_row, MATCH(income_max_row, $C:$C, 0),
           IF(header_row_id=expenses_header_row, MATCH(expenses_max_row, $C:$C, 0),
               IF(header_row_id=savings_header_row, MATCH(savings_max_row, $C:$C, 0),""))), "")</f>
        <v/>
      </c>
      <c r="O13" s="6" t="str">
        <f t="shared" ref="O13:O120" si="3">IF(is_cat, ADDRESS(sort_min_row, COLUMN(tracked)) &amp; ":" &amp; ADDRESS(sort_max_row, COLUMN(tracked)), "")</f>
        <v/>
      </c>
      <c r="P13" t="str">
        <f t="shared" ref="P13:P120" ca="1" si="4">IF(is_cat, RANK(tracked, INDIRECT(tracked_range), 0), "")</f>
        <v/>
      </c>
      <c r="Q13" t="str">
        <f t="shared" ref="Q13:Q120" si="5">IF(is_cat, ADDRESS(sort_min_row, COLUMN(budget)) &amp; ":" &amp; ADDRESS(sort_max_row, COLUMN(budget)), "")</f>
        <v/>
      </c>
      <c r="R13" s="7" t="str">
        <f t="shared" ref="R13:R120" ca="1" si="6">IF(is_cat, RANK(budget, INDIRECT(budget_range), 0), "")</f>
        <v/>
      </c>
      <c r="S13" s="6" t="str">
        <f t="shared" ref="S13:S44" si="7">IF(is_cat, _xlfn.NUMBERVALUE( tracked_rank &amp; IF(LEN(budget_rank)=1, "0", "") &amp; budget_rank), "")</f>
        <v/>
      </c>
      <c r="T13" t="str">
        <f t="shared" ref="T13:T120" si="8">IF(is_cat, ADDRESS(sort_min_row, COLUMN(comb_rank)) &amp; ":" &amp; ADDRESS(sort_max_row, COLUMN(comb_rank)), "")</f>
        <v/>
      </c>
      <c r="U13" t="str">
        <f t="shared" ref="U13:U120" ca="1" si="9">IF(is_cat, RANK(comb_rank, INDIRECT(comb_rank_range), 1), "")</f>
        <v/>
      </c>
      <c r="V13" t="str">
        <f t="shared" ref="V13:V120" si="10">IF(is_cat, ADDRESS(sort_min_row, COLUMN(comb_rank_norm)) &amp; ":" &amp; ADDRESS(ROW(), COLUMN(comb_rank_norm)), "")</f>
        <v/>
      </c>
      <c r="W13" s="7" t="str">
        <f t="shared" ref="W13:W120" ca="1" si="11">IF(is_cat, comb_rank_norm + COUNTIF(INDIRECT(comb_rank_norm_run_range), comb_rank_norm)-1, "")</f>
        <v/>
      </c>
      <c r="X13" s="57">
        <f t="shared" ref="X13:X120" si="12">IF(is_cat, header_row_id + comb_rank_unique, row_id)</f>
        <v>9</v>
      </c>
      <c r="Y13" s="58" t="str">
        <f t="shared" ref="Y13:Y120" si="13">IF(is_empty, "", INDEX($J:$J, MATCH(row_id, $X:$X, 0)))</f>
        <v>Income</v>
      </c>
      <c r="Z13" s="60" t="str">
        <f t="shared" ref="Z13:Z120" si="14">IF(is_empty, "", IF(is_header, "Tracked", INDEX($K:$K, MATCH(row_id, $X:$X, 0))))</f>
        <v>Tracked</v>
      </c>
      <c r="AA13" s="60" t="str">
        <f t="shared" ref="AA13:AA120" si="15">IF(is_empty, "", IF(is_header, "Budget", INDEX($L:$L, MATCH(row_id, $X:$X, 0))))</f>
        <v>Budget</v>
      </c>
      <c r="AB13" s="59" t="str">
        <f t="shared" ref="AB13:AB120" si="16">IF(is_empty, "", IF(is_header, "% Compl.", IFERROR(out_tracked / out_budget, "-")))</f>
        <v>% Compl.</v>
      </c>
      <c r="AC13" s="60" t="str">
        <f t="shared" ref="AC13:AC120" si="17">IF(is_empty, "", IF(is_header, "Remaining", IF(out_budget - out_tracked &gt; 0, out_budget - out_tracked, 0)))</f>
        <v>Remaining</v>
      </c>
      <c r="AD13" s="60" t="str">
        <f t="shared" ref="AD13:AD120" si="18">IF(is_empty, "", IF(is_header, "Excess", IF(out_budget - out_tracked &lt; 0, out_tracked - out_budget, 0)))</f>
        <v>Excess</v>
      </c>
      <c r="AF13" s="61"/>
      <c r="AG13" s="62"/>
      <c r="AH13" s="62"/>
      <c r="AI13" s="62"/>
      <c r="AJ13" s="62"/>
      <c r="AK13" s="63"/>
      <c r="AM13" s="61"/>
      <c r="AN13" s="62"/>
      <c r="AO13" s="62"/>
      <c r="AP13" s="62"/>
      <c r="AQ13" s="62"/>
      <c r="AR13" s="63"/>
    </row>
    <row r="14" spans="2:44" x14ac:dyDescent="0.2">
      <c r="C14" s="6" cm="1">
        <f t="array" ref="C14">IF(C13=-1,-1,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7">
        <f t="shared" si="0"/>
        <v>9</v>
      </c>
      <c r="E14" s="6" cm="1">
        <f t="array" ref="E14">1*OR(row_id=income_header_row, row_id=expenses_header_row, row_id=savings_header_row)</f>
        <v>0</v>
      </c>
      <c r="F14">
        <f t="shared" si="1"/>
        <v>1</v>
      </c>
      <c r="G14" cm="1">
        <f t="array" ref="G14">1*OR(row_id=income_total_row, row_id=expenses_total_row, row_id=savings_total_row)</f>
        <v>0</v>
      </c>
      <c r="H14" s="7">
        <f t="shared" si="2"/>
        <v>0</v>
      </c>
      <c r="I14" s="6" t="str" cm="1">
        <f t="array" ref="I14">IFERROR(INDEX('Budget Planning'!$C:$C, header_row_id),"")</f>
        <v>Income</v>
      </c>
      <c r="J14" t="str" cm="1">
        <f t="array" ref="J14">IFERROR(INDEX('Budget Planning'!$C:$C, row_id),"")</f>
        <v>Salary Ivo</v>
      </c>
      <c r="K14" s="54" cm="1">
        <f t="array" aca="1" ref="K1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7700</v>
      </c>
      <c r="L14" s="55" cm="1">
        <f t="array" aca="1" ref="L14" ca="1">IF(OR(is_header, is_empty), "",
      INDEX('Budget Planning'!$E:$EM, row_id,
                  MATCH(IF(selected_period="Total Year", selected_year, DATE(selected_year, selected_period, 1)), 'Budget Planning'!$E$9:$EM$9, 0)  ))</f>
        <v>7700</v>
      </c>
      <c r="M14" s="6" cm="1">
        <f t="array" ref="M14">IF(is_cat,
       IF(header_row_id=income_header_row, MATCH(income_min_row, $C:$C, 0),
           IF(header_row_id=expenses_header_row, MATCH(expenses_min_row, $C:$C, 0),
               IF(header_row_id=savings_header_row, MATCH(savings_min_row, $C:$C, 0),""))), "")</f>
        <v>14</v>
      </c>
      <c r="N14" s="7" cm="1">
        <f t="array" ref="N14">IF(is_cat,
       IF(header_row_id=income_header_row, MATCH(income_max_row, $C:$C, 0),
           IF(header_row_id=expenses_header_row, MATCH(expenses_max_row, $C:$C, 0),
               IF(header_row_id=savings_header_row, MATCH(savings_max_row, $C:$C, 0),""))), "")</f>
        <v>17</v>
      </c>
      <c r="O14" s="6" t="str">
        <f t="shared" si="3"/>
        <v>$K$14:$K$17</v>
      </c>
      <c r="P14">
        <f t="shared" ca="1" si="4"/>
        <v>1</v>
      </c>
      <c r="Q14" t="str">
        <f t="shared" si="5"/>
        <v>$L$14:$L$17</v>
      </c>
      <c r="R14" s="7">
        <f t="shared" ca="1" si="6"/>
        <v>1</v>
      </c>
      <c r="S14" s="6">
        <f t="shared" ca="1" si="7"/>
        <v>101</v>
      </c>
      <c r="T14" t="str">
        <f t="shared" si="8"/>
        <v>$S$14:$S$17</v>
      </c>
      <c r="U14">
        <f t="shared" ca="1" si="9"/>
        <v>1</v>
      </c>
      <c r="V14" t="str">
        <f t="shared" si="10"/>
        <v>$U$14:$U$14</v>
      </c>
      <c r="W14" s="7">
        <f t="shared" ca="1" si="11"/>
        <v>1</v>
      </c>
      <c r="X14" s="57">
        <f t="shared" ca="1" si="12"/>
        <v>10</v>
      </c>
      <c r="Y14" s="58" t="str">
        <f t="shared" ca="1" si="13"/>
        <v>Salary Ivo</v>
      </c>
      <c r="Z14" s="60">
        <f t="shared" ca="1" si="14"/>
        <v>7700</v>
      </c>
      <c r="AA14" s="60">
        <f t="shared" ca="1" si="15"/>
        <v>7700</v>
      </c>
      <c r="AB14" s="59">
        <f t="shared" ca="1" si="16"/>
        <v>1</v>
      </c>
      <c r="AC14" s="60">
        <f t="shared" ca="1" si="17"/>
        <v>0</v>
      </c>
      <c r="AD14" s="60">
        <f t="shared" ca="1" si="18"/>
        <v>0</v>
      </c>
      <c r="AF14" s="6"/>
      <c r="AK14" s="7"/>
      <c r="AM14" s="6"/>
      <c r="AR14" s="7"/>
    </row>
    <row r="15" spans="2:44" x14ac:dyDescent="0.2">
      <c r="C15" s="6" cm="1">
        <f t="array" ref="C15">IF(C14=-1,-1,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11</v>
      </c>
      <c r="D15" s="7">
        <f t="shared" si="0"/>
        <v>9</v>
      </c>
      <c r="E15" s="6" cm="1">
        <f t="array" ref="E15">1*OR(row_id=income_header_row, row_id=expenses_header_row, row_id=savings_header_row)</f>
        <v>0</v>
      </c>
      <c r="F15">
        <f t="shared" si="1"/>
        <v>1</v>
      </c>
      <c r="G15" cm="1">
        <f t="array" ref="G15">1*OR(row_id=income_total_row, row_id=expenses_total_row, row_id=savings_total_row)</f>
        <v>0</v>
      </c>
      <c r="H15" s="7">
        <f t="shared" si="2"/>
        <v>0</v>
      </c>
      <c r="I15" s="6" t="str" cm="1">
        <f t="array" ref="I15">IFERROR(INDEX('Budget Planning'!$C:$C, header_row_id),"")</f>
        <v>Income</v>
      </c>
      <c r="J15" t="str" cm="1">
        <f t="array" ref="J15">IFERROR(INDEX('Budget Planning'!$C:$C, row_id),"")</f>
        <v>Salary Kalina</v>
      </c>
      <c r="K15" s="54" cm="1">
        <f t="array" aca="1" ref="K1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5" s="55" cm="1">
        <f t="array" aca="1" ref="L15" ca="1">IF(OR(is_header, is_empty), "",
      INDEX('Budget Planning'!$E:$EM, row_id,
                  MATCH(IF(selected_period="Total Year", selected_year, DATE(selected_year, selected_period, 1)), 'Budget Planning'!$E$9:$EM$9, 0)  ))</f>
        <v>0</v>
      </c>
      <c r="M15" s="6" cm="1">
        <f t="array" ref="M15">IF(is_cat,
       IF(header_row_id=income_header_row, MATCH(income_min_row, $C:$C, 0),
           IF(header_row_id=expenses_header_row, MATCH(expenses_min_row, $C:$C, 0),
               IF(header_row_id=savings_header_row, MATCH(savings_min_row, $C:$C, 0),""))), "")</f>
        <v>14</v>
      </c>
      <c r="N15" s="7" cm="1">
        <f t="array" ref="N15">IF(is_cat,
       IF(header_row_id=income_header_row, MATCH(income_max_row, $C:$C, 0),
           IF(header_row_id=expenses_header_row, MATCH(expenses_max_row, $C:$C, 0),
               IF(header_row_id=savings_header_row, MATCH(savings_max_row, $C:$C, 0),""))), "")</f>
        <v>17</v>
      </c>
      <c r="O15" s="6" t="str">
        <f t="shared" si="3"/>
        <v>$K$14:$K$17</v>
      </c>
      <c r="P15">
        <f t="shared" ca="1" si="4"/>
        <v>3</v>
      </c>
      <c r="Q15" t="str">
        <f t="shared" si="5"/>
        <v>$L$14:$L$17</v>
      </c>
      <c r="R15" s="7">
        <f t="shared" ca="1" si="6"/>
        <v>3</v>
      </c>
      <c r="S15" s="6">
        <f t="shared" ca="1" si="7"/>
        <v>303</v>
      </c>
      <c r="T15" t="str">
        <f t="shared" si="8"/>
        <v>$S$14:$S$17</v>
      </c>
      <c r="U15">
        <f t="shared" ca="1" si="9"/>
        <v>3</v>
      </c>
      <c r="V15" t="str">
        <f t="shared" si="10"/>
        <v>$U$14:$U$15</v>
      </c>
      <c r="W15" s="7">
        <f t="shared" ca="1" si="11"/>
        <v>3</v>
      </c>
      <c r="X15" s="57">
        <f t="shared" ca="1" si="12"/>
        <v>12</v>
      </c>
      <c r="Y15" s="58" t="str">
        <f t="shared" ca="1" si="13"/>
        <v>Rent</v>
      </c>
      <c r="Z15" s="60">
        <f t="shared" ca="1" si="14"/>
        <v>250</v>
      </c>
      <c r="AA15" s="60">
        <f t="shared" ca="1" si="15"/>
        <v>250</v>
      </c>
      <c r="AB15" s="59">
        <f t="shared" ca="1" si="16"/>
        <v>1</v>
      </c>
      <c r="AC15" s="60">
        <f t="shared" ca="1" si="17"/>
        <v>0</v>
      </c>
      <c r="AD15" s="60">
        <f t="shared" ca="1" si="18"/>
        <v>0</v>
      </c>
      <c r="AF15" s="6"/>
      <c r="AK15" s="7"/>
      <c r="AM15" s="6"/>
      <c r="AR15" s="7"/>
    </row>
    <row r="16" spans="2:44" x14ac:dyDescent="0.2">
      <c r="C16" s="6" cm="1">
        <f t="array" ref="C16">IF(C15=-1,-1,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12</v>
      </c>
      <c r="D16" s="7">
        <f t="shared" si="0"/>
        <v>9</v>
      </c>
      <c r="E16" s="6" cm="1">
        <f t="array" ref="E16">1*OR(row_id=income_header_row, row_id=expenses_header_row, row_id=savings_header_row)</f>
        <v>0</v>
      </c>
      <c r="F16">
        <f t="shared" si="1"/>
        <v>1</v>
      </c>
      <c r="G16" cm="1">
        <f t="array" ref="G16">1*OR(row_id=income_total_row, row_id=expenses_total_row, row_id=savings_total_row)</f>
        <v>0</v>
      </c>
      <c r="H16" s="7">
        <f t="shared" si="2"/>
        <v>0</v>
      </c>
      <c r="I16" s="6" t="str" cm="1">
        <f t="array" ref="I16">IFERROR(INDEX('Budget Planning'!$C:$C, header_row_id),"")</f>
        <v>Income</v>
      </c>
      <c r="J16" t="str" cm="1">
        <f t="array" ref="J16">IFERROR(INDEX('Budget Planning'!$C:$C, row_id),"")</f>
        <v>Rent</v>
      </c>
      <c r="K16" s="54" cm="1">
        <f t="array" aca="1" ref="K1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250</v>
      </c>
      <c r="L16" s="55" cm="1">
        <f t="array" aca="1" ref="L16" ca="1">IF(OR(is_header, is_empty), "",
      INDEX('Budget Planning'!$E:$EM, row_id,
                  MATCH(IF(selected_period="Total Year", selected_year, DATE(selected_year, selected_period, 1)), 'Budget Planning'!$E$9:$EM$9, 0)  ))</f>
        <v>250</v>
      </c>
      <c r="M16" s="6" cm="1">
        <f t="array" ref="M16">IF(is_cat,
       IF(header_row_id=income_header_row, MATCH(income_min_row, $C:$C, 0),
           IF(header_row_id=expenses_header_row, MATCH(expenses_min_row, $C:$C, 0),
               IF(header_row_id=savings_header_row, MATCH(savings_min_row, $C:$C, 0),""))), "")</f>
        <v>14</v>
      </c>
      <c r="N16" s="7" cm="1">
        <f t="array" ref="N16">IF(is_cat,
       IF(header_row_id=income_header_row, MATCH(income_max_row, $C:$C, 0),
           IF(header_row_id=expenses_header_row, MATCH(expenses_max_row, $C:$C, 0),
               IF(header_row_id=savings_header_row, MATCH(savings_max_row, $C:$C, 0),""))), "")</f>
        <v>17</v>
      </c>
      <c r="O16" s="6" t="str">
        <f t="shared" si="3"/>
        <v>$K$14:$K$17</v>
      </c>
      <c r="P16">
        <f t="shared" ca="1" si="4"/>
        <v>2</v>
      </c>
      <c r="Q16" t="str">
        <f t="shared" si="5"/>
        <v>$L$14:$L$17</v>
      </c>
      <c r="R16" s="7">
        <f t="shared" ca="1" si="6"/>
        <v>2</v>
      </c>
      <c r="S16" s="6">
        <f t="shared" ca="1" si="7"/>
        <v>202</v>
      </c>
      <c r="T16" t="str">
        <f t="shared" si="8"/>
        <v>$S$14:$S$17</v>
      </c>
      <c r="U16">
        <f t="shared" ca="1" si="9"/>
        <v>2</v>
      </c>
      <c r="V16" t="str">
        <f t="shared" si="10"/>
        <v>$U$14:$U$16</v>
      </c>
      <c r="W16" s="7">
        <f t="shared" ca="1" si="11"/>
        <v>2</v>
      </c>
      <c r="X16" s="57">
        <f t="shared" ca="1" si="12"/>
        <v>11</v>
      </c>
      <c r="Y16" s="58" t="str">
        <f t="shared" ca="1" si="13"/>
        <v>Salary Kalina</v>
      </c>
      <c r="Z16" s="60">
        <f t="shared" ca="1" si="14"/>
        <v>0</v>
      </c>
      <c r="AA16" s="60">
        <f t="shared" ca="1" si="15"/>
        <v>0</v>
      </c>
      <c r="AB16" s="59" t="str">
        <f t="shared" ca="1" si="16"/>
        <v>-</v>
      </c>
      <c r="AC16" s="60">
        <f t="shared" ca="1" si="17"/>
        <v>0</v>
      </c>
      <c r="AD16" s="60">
        <f t="shared" ca="1" si="18"/>
        <v>0</v>
      </c>
      <c r="AF16" s="6"/>
      <c r="AI16" s="73" t="str">
        <f ca="1">Calculations!E35</f>
        <v>Salary Ivo</v>
      </c>
      <c r="AJ16" s="74">
        <f ca="1">Calculations!F35</f>
        <v>7700</v>
      </c>
      <c r="AK16" s="7"/>
      <c r="AM16" s="6"/>
      <c r="AR16" s="7"/>
    </row>
    <row r="17" spans="3:44" x14ac:dyDescent="0.2">
      <c r="C17" s="6" cm="1">
        <f t="array" ref="C17">IF(C16=-1,-1,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13</v>
      </c>
      <c r="D17" s="7">
        <f t="shared" si="0"/>
        <v>9</v>
      </c>
      <c r="E17" s="6" cm="1">
        <f t="array" ref="E17">1*OR(row_id=income_header_row, row_id=expenses_header_row, row_id=savings_header_row)</f>
        <v>0</v>
      </c>
      <c r="F17">
        <f t="shared" si="1"/>
        <v>1</v>
      </c>
      <c r="G17" cm="1">
        <f t="array" ref="G17">1*OR(row_id=income_total_row, row_id=expenses_total_row, row_id=savings_total_row)</f>
        <v>0</v>
      </c>
      <c r="H17" s="7">
        <f t="shared" si="2"/>
        <v>0</v>
      </c>
      <c r="I17" s="6" t="str" cm="1">
        <f t="array" ref="I17">IFERROR(INDEX('Budget Planning'!$C:$C, header_row_id),"")</f>
        <v>Income</v>
      </c>
      <c r="J17" t="str" cm="1">
        <f t="array" ref="J17">IFERROR(INDEX('Budget Planning'!$C:$C, row_id),"")</f>
        <v>Other</v>
      </c>
      <c r="K17" s="54" cm="1">
        <f t="array" aca="1" ref="K1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17" s="55" cm="1">
        <f t="array" aca="1" ref="L17" ca="1">IF(OR(is_header, is_empty), "",
      INDEX('Budget Planning'!$E:$EM, row_id,
                  MATCH(IF(selected_period="Total Year", selected_year, DATE(selected_year, selected_period, 1)), 'Budget Planning'!$E$9:$EM$9, 0)  ))</f>
        <v>0</v>
      </c>
      <c r="M17" s="6" cm="1">
        <f t="array" ref="M17">IF(is_cat,
       IF(header_row_id=income_header_row, MATCH(income_min_row, $C:$C, 0),
           IF(header_row_id=expenses_header_row, MATCH(expenses_min_row, $C:$C, 0),
               IF(header_row_id=savings_header_row, MATCH(savings_min_row, $C:$C, 0),""))), "")</f>
        <v>14</v>
      </c>
      <c r="N17" s="7" cm="1">
        <f t="array" ref="N17">IF(is_cat,
       IF(header_row_id=income_header_row, MATCH(income_max_row, $C:$C, 0),
           IF(header_row_id=expenses_header_row, MATCH(expenses_max_row, $C:$C, 0),
               IF(header_row_id=savings_header_row, MATCH(savings_max_row, $C:$C, 0),""))), "")</f>
        <v>17</v>
      </c>
      <c r="O17" s="6" t="str">
        <f t="shared" si="3"/>
        <v>$K$14:$K$17</v>
      </c>
      <c r="P17">
        <f t="shared" ca="1" si="4"/>
        <v>3</v>
      </c>
      <c r="Q17" t="str">
        <f t="shared" si="5"/>
        <v>$L$14:$L$17</v>
      </c>
      <c r="R17" s="7">
        <f t="shared" ca="1" si="6"/>
        <v>3</v>
      </c>
      <c r="S17" s="6">
        <f t="shared" ca="1" si="7"/>
        <v>303</v>
      </c>
      <c r="T17" t="str">
        <f t="shared" si="8"/>
        <v>$S$14:$S$17</v>
      </c>
      <c r="U17">
        <f t="shared" ca="1" si="9"/>
        <v>3</v>
      </c>
      <c r="V17" t="str">
        <f t="shared" si="10"/>
        <v>$U$14:$U$17</v>
      </c>
      <c r="W17" s="7">
        <f t="shared" ca="1" si="11"/>
        <v>4</v>
      </c>
      <c r="X17" s="57">
        <f t="shared" ca="1" si="12"/>
        <v>13</v>
      </c>
      <c r="Y17" s="58" t="str">
        <f t="shared" ca="1" si="13"/>
        <v>Other</v>
      </c>
      <c r="Z17" s="60">
        <f t="shared" ca="1" si="14"/>
        <v>0</v>
      </c>
      <c r="AA17" s="60">
        <f t="shared" ca="1" si="15"/>
        <v>0</v>
      </c>
      <c r="AB17" s="59" t="str">
        <f t="shared" ca="1" si="16"/>
        <v>-</v>
      </c>
      <c r="AC17" s="60">
        <f t="shared" ca="1" si="17"/>
        <v>0</v>
      </c>
      <c r="AD17" s="60">
        <f t="shared" ca="1" si="18"/>
        <v>0</v>
      </c>
      <c r="AF17" s="6"/>
      <c r="AI17" s="73" t="str">
        <f ca="1">Calculations!E36</f>
        <v>Rent</v>
      </c>
      <c r="AJ17" s="74">
        <f ca="1">Calculations!F36</f>
        <v>250</v>
      </c>
      <c r="AK17" s="7"/>
      <c r="AM17" s="6"/>
      <c r="AR17" s="7"/>
    </row>
    <row r="18" spans="3:44" x14ac:dyDescent="0.2">
      <c r="C18" s="6" cm="1">
        <f t="array" ref="C18">IF(C17=-1,-1,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20</v>
      </c>
      <c r="D18" s="7">
        <f t="shared" si="0"/>
        <v>9</v>
      </c>
      <c r="E18" s="6" cm="1">
        <f t="array" ref="E18">1*OR(row_id=income_header_row, row_id=expenses_header_row, row_id=savings_header_row)</f>
        <v>0</v>
      </c>
      <c r="F18">
        <f t="shared" si="1"/>
        <v>0</v>
      </c>
      <c r="G18" cm="1">
        <f t="array" ref="G18">1*OR(row_id=income_total_row, row_id=expenses_total_row, row_id=savings_total_row)</f>
        <v>1</v>
      </c>
      <c r="H18" s="7">
        <f t="shared" si="2"/>
        <v>0</v>
      </c>
      <c r="I18" s="6" t="str" cm="1">
        <f t="array" ref="I18">IFERROR(INDEX('Budget Planning'!$C:$C, header_row_id),"")</f>
        <v>Income</v>
      </c>
      <c r="J18" t="str" cm="1">
        <f t="array" ref="J18">IFERROR(INDEX('Budget Planning'!$C:$C, row_id),"")</f>
        <v>Total</v>
      </c>
      <c r="K18" s="54" cm="1">
        <f t="array" aca="1" ref="K1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7950</v>
      </c>
      <c r="L18" s="55" cm="1">
        <f t="array" aca="1" ref="L18" ca="1">IF(OR(is_header, is_empty), "",
      INDEX('Budget Planning'!$E:$EM, row_id,
                  MATCH(IF(selected_period="Total Year", selected_year, DATE(selected_year, selected_period, 1)), 'Budget Planning'!$E$9:$EM$9, 0)  ))</f>
        <v>7950</v>
      </c>
      <c r="M18" s="6" t="str" cm="1">
        <f t="array" ref="M18">IF(is_cat,
       IF(header_row_id=income_header_row, MATCH(income_min_row, $C:$C, 0),
           IF(header_row_id=expenses_header_row, MATCH(expenses_min_row, $C:$C, 0),
               IF(header_row_id=savings_header_row, MATCH(savings_min_row, $C:$C, 0),""))), "")</f>
        <v/>
      </c>
      <c r="N18" s="7" t="str" cm="1">
        <f t="array" ref="N18">IF(is_cat,
       IF(header_row_id=income_header_row, MATCH(income_max_row, $C:$C, 0),
           IF(header_row_id=expenses_header_row, MATCH(expenses_max_row, $C:$C, 0),
               IF(header_row_id=savings_header_row, MATCH(savings_max_row, $C:$C, 0),""))), "")</f>
        <v/>
      </c>
      <c r="O18" s="6" t="str">
        <f t="shared" si="3"/>
        <v/>
      </c>
      <c r="P18" t="str">
        <f t="shared" ca="1" si="4"/>
        <v/>
      </c>
      <c r="Q18" t="str">
        <f t="shared" si="5"/>
        <v/>
      </c>
      <c r="R18" s="7" t="str">
        <f t="shared" ca="1" si="6"/>
        <v/>
      </c>
      <c r="S18" s="6" t="str">
        <f t="shared" si="7"/>
        <v/>
      </c>
      <c r="T18" t="str">
        <f t="shared" si="8"/>
        <v/>
      </c>
      <c r="U18" t="str">
        <f t="shared" ca="1" si="9"/>
        <v/>
      </c>
      <c r="V18" t="str">
        <f t="shared" si="10"/>
        <v/>
      </c>
      <c r="W18" s="7" t="str">
        <f t="shared" ca="1" si="11"/>
        <v/>
      </c>
      <c r="X18" s="57">
        <f t="shared" si="12"/>
        <v>20</v>
      </c>
      <c r="Y18" s="58" t="str">
        <f t="shared" ca="1" si="13"/>
        <v>Total</v>
      </c>
      <c r="Z18" s="60">
        <f t="shared" ca="1" si="14"/>
        <v>7950</v>
      </c>
      <c r="AA18" s="60">
        <f t="shared" ca="1" si="15"/>
        <v>7950</v>
      </c>
      <c r="AB18" s="59">
        <f t="shared" ca="1" si="16"/>
        <v>1</v>
      </c>
      <c r="AC18" s="60">
        <f t="shared" ca="1" si="17"/>
        <v>0</v>
      </c>
      <c r="AD18" s="60">
        <f t="shared" ca="1" si="18"/>
        <v>0</v>
      </c>
      <c r="AF18" s="6"/>
      <c r="AI18" s="73" t="str">
        <f ca="1">Calculations!E37</f>
        <v/>
      </c>
      <c r="AJ18" s="74" t="str">
        <f ca="1">Calculations!F37</f>
        <v/>
      </c>
      <c r="AK18" s="7"/>
      <c r="AM18" s="6"/>
      <c r="AR18" s="7"/>
    </row>
    <row r="19" spans="3:44" x14ac:dyDescent="0.2">
      <c r="C19" s="6" t="str" cm="1">
        <f t="array" ref="C19">IF(C18=-1,-1,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/1</v>
      </c>
      <c r="D19" s="7">
        <f t="shared" si="0"/>
        <v>-1</v>
      </c>
      <c r="E19" s="6" cm="1">
        <f t="array" ref="E19">1*OR(row_id=income_header_row, row_id=expenses_header_row, row_id=savings_header_row)</f>
        <v>0</v>
      </c>
      <c r="F19">
        <f t="shared" si="1"/>
        <v>0</v>
      </c>
      <c r="G19" cm="1">
        <f t="array" ref="G19">1*OR(row_id=income_total_row, row_id=expenses_total_row, row_id=savings_total_row)</f>
        <v>0</v>
      </c>
      <c r="H19" s="7">
        <f t="shared" si="2"/>
        <v>1</v>
      </c>
      <c r="I19" s="6" t="str" cm="1">
        <f t="array" ref="I19">IFERROR(INDEX('Budget Planning'!$C:$C, header_row_id),"")</f>
        <v/>
      </c>
      <c r="J19" t="str" cm="1">
        <f t="array" ref="J19">IFERROR(INDEX('Budget Planning'!$C:$C, row_id),"")</f>
        <v/>
      </c>
      <c r="K19" s="54" t="str" cm="1">
        <f t="array" ref="K1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9" s="55" t="str" cm="1">
        <f t="array" ref="L19">IF(OR(is_header, is_empty), "",
      INDEX('Budget Planning'!$E:$EM, row_id,
                  MATCH(IF(selected_period="Total Year", selected_year, DATE(selected_year, selected_period, 1)), 'Budget Planning'!$E$9:$EM$9, 0)  ))</f>
        <v/>
      </c>
      <c r="M19" s="6" t="str" cm="1">
        <f t="array" ref="M19">IF(is_cat,
       IF(header_row_id=income_header_row, MATCH(income_min_row, $C:$C, 0),
           IF(header_row_id=expenses_header_row, MATCH(expenses_min_row, $C:$C, 0),
               IF(header_row_id=savings_header_row, MATCH(savings_min_row, $C:$C, 0),""))), "")</f>
        <v/>
      </c>
      <c r="N19" s="7" t="str" cm="1">
        <f t="array" ref="N19">IF(is_cat,
       IF(header_row_id=income_header_row, MATCH(income_max_row, $C:$C, 0),
           IF(header_row_id=expenses_header_row, MATCH(expenses_max_row, $C:$C, 0),
               IF(header_row_id=savings_header_row, MATCH(savings_max_row, $C:$C, 0),""))), "")</f>
        <v/>
      </c>
      <c r="O19" s="6" t="str">
        <f t="shared" si="3"/>
        <v/>
      </c>
      <c r="P19" t="str">
        <f t="shared" ca="1" si="4"/>
        <v/>
      </c>
      <c r="Q19" t="str">
        <f t="shared" si="5"/>
        <v/>
      </c>
      <c r="R19" s="7" t="str">
        <f t="shared" ca="1" si="6"/>
        <v/>
      </c>
      <c r="S19" s="6" t="str">
        <f t="shared" si="7"/>
        <v/>
      </c>
      <c r="T19" t="str">
        <f t="shared" si="8"/>
        <v/>
      </c>
      <c r="U19" t="str">
        <f t="shared" ca="1" si="9"/>
        <v/>
      </c>
      <c r="V19" t="str">
        <f t="shared" si="10"/>
        <v/>
      </c>
      <c r="W19" s="7" t="str">
        <f t="shared" ca="1" si="11"/>
        <v/>
      </c>
      <c r="X19" s="57" t="str">
        <f t="shared" si="12"/>
        <v>/1</v>
      </c>
      <c r="Y19" s="58" t="str">
        <f t="shared" si="13"/>
        <v/>
      </c>
      <c r="Z19" s="60" t="str">
        <f t="shared" si="14"/>
        <v/>
      </c>
      <c r="AA19" s="60" t="str">
        <f t="shared" si="15"/>
        <v/>
      </c>
      <c r="AB19" s="59" t="str">
        <f t="shared" si="16"/>
        <v/>
      </c>
      <c r="AC19" s="60" t="str">
        <f t="shared" si="17"/>
        <v/>
      </c>
      <c r="AD19" s="60" t="str">
        <f t="shared" si="18"/>
        <v/>
      </c>
      <c r="AF19" s="6"/>
      <c r="AI19" s="73" t="str">
        <f ca="1">Calculations!E38</f>
        <v/>
      </c>
      <c r="AJ19" s="74" t="str">
        <f ca="1">Calculations!F38</f>
        <v/>
      </c>
      <c r="AK19" s="7"/>
      <c r="AM19" s="6"/>
      <c r="AR19" s="7"/>
    </row>
    <row r="20" spans="3:44" x14ac:dyDescent="0.2">
      <c r="C20" s="6" cm="1">
        <f t="array" ref="C20">IF(C19=-1,-1,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22</v>
      </c>
      <c r="D20" s="7">
        <f t="shared" si="0"/>
        <v>22</v>
      </c>
      <c r="E20" s="6" cm="1">
        <f t="array" ref="E20">1*OR(row_id=income_header_row, row_id=expenses_header_row, row_id=savings_header_row)</f>
        <v>1</v>
      </c>
      <c r="F20">
        <f t="shared" si="1"/>
        <v>0</v>
      </c>
      <c r="G20" cm="1">
        <f t="array" ref="G20">1*OR(row_id=income_total_row, row_id=expenses_total_row, row_id=savings_total_row)</f>
        <v>0</v>
      </c>
      <c r="H20" s="7">
        <f t="shared" si="2"/>
        <v>0</v>
      </c>
      <c r="I20" s="6" t="str" cm="1">
        <f t="array" ref="I20">IFERROR(INDEX('Budget Planning'!$C:$C, header_row_id),"")</f>
        <v>Expenses</v>
      </c>
      <c r="J20" t="str" cm="1">
        <f t="array" ref="J20">IFERROR(INDEX('Budget Planning'!$C:$C, row_id),"")</f>
        <v>Expenses</v>
      </c>
      <c r="K20" s="54" t="str" cm="1">
        <f t="array" ref="K2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20" s="55" t="str" cm="1">
        <f t="array" ref="L20">IF(OR(is_header, is_empty), "",
      INDEX('Budget Planning'!$E:$EM, row_id,
                  MATCH(IF(selected_period="Total Year", selected_year, DATE(selected_year, selected_period, 1)), 'Budget Planning'!$E$9:$EM$9, 0)  ))</f>
        <v/>
      </c>
      <c r="M20" s="6" t="str" cm="1">
        <f t="array" ref="M20">IF(is_cat,
       IF(header_row_id=income_header_row, MATCH(income_min_row, $C:$C, 0),
           IF(header_row_id=expenses_header_row, MATCH(expenses_min_row, $C:$C, 0),
               IF(header_row_id=savings_header_row, MATCH(savings_min_row, $C:$C, 0),""))), "")</f>
        <v/>
      </c>
      <c r="N20" s="7" t="str" cm="1">
        <f t="array" ref="N20">IF(is_cat,
       IF(header_row_id=income_header_row, MATCH(income_max_row, $C:$C, 0),
           IF(header_row_id=expenses_header_row, MATCH(expenses_max_row, $C:$C, 0),
               IF(header_row_id=savings_header_row, MATCH(savings_max_row, $C:$C, 0),""))), "")</f>
        <v/>
      </c>
      <c r="O20" s="6" t="str">
        <f t="shared" si="3"/>
        <v/>
      </c>
      <c r="P20" t="str">
        <f t="shared" ca="1" si="4"/>
        <v/>
      </c>
      <c r="Q20" t="str">
        <f t="shared" si="5"/>
        <v/>
      </c>
      <c r="R20" s="7" t="str">
        <f t="shared" ca="1" si="6"/>
        <v/>
      </c>
      <c r="S20" s="6" t="str">
        <f t="shared" si="7"/>
        <v/>
      </c>
      <c r="T20" t="str">
        <f t="shared" si="8"/>
        <v/>
      </c>
      <c r="U20" t="str">
        <f t="shared" ca="1" si="9"/>
        <v/>
      </c>
      <c r="V20" t="str">
        <f t="shared" si="10"/>
        <v/>
      </c>
      <c r="W20" s="7" t="str">
        <f t="shared" ca="1" si="11"/>
        <v/>
      </c>
      <c r="X20" s="57">
        <f t="shared" si="12"/>
        <v>22</v>
      </c>
      <c r="Y20" s="58" t="str">
        <f t="shared" ca="1" si="13"/>
        <v>Expenses</v>
      </c>
      <c r="Z20" s="60" t="str">
        <f t="shared" si="14"/>
        <v>Tracked</v>
      </c>
      <c r="AA20" s="60" t="str">
        <f t="shared" si="15"/>
        <v>Budget</v>
      </c>
      <c r="AB20" s="59" t="str">
        <f t="shared" si="16"/>
        <v>% Compl.</v>
      </c>
      <c r="AC20" s="60" t="str">
        <f t="shared" si="17"/>
        <v>Remaining</v>
      </c>
      <c r="AD20" s="60" t="str">
        <f t="shared" si="18"/>
        <v>Excess</v>
      </c>
      <c r="AF20" s="6"/>
      <c r="AI20" s="73" t="str">
        <f>Calculations!E39</f>
        <v/>
      </c>
      <c r="AJ20" s="74" t="str">
        <f>Calculations!F39</f>
        <v/>
      </c>
      <c r="AK20" s="7"/>
      <c r="AM20" s="6"/>
      <c r="AR20" s="7"/>
    </row>
    <row r="21" spans="3:44" x14ac:dyDescent="0.2">
      <c r="C21" s="6" cm="1">
        <f t="array" ref="C21">IF(C20=-1,-1,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23</v>
      </c>
      <c r="D21" s="7">
        <f t="shared" si="0"/>
        <v>22</v>
      </c>
      <c r="E21" s="6" cm="1">
        <f t="array" ref="E21">1*OR(row_id=income_header_row, row_id=expenses_header_row, row_id=savings_header_row)</f>
        <v>0</v>
      </c>
      <c r="F21">
        <f t="shared" si="1"/>
        <v>1</v>
      </c>
      <c r="G21" cm="1">
        <f t="array" ref="G21">1*OR(row_id=income_total_row, row_id=expenses_total_row, row_id=savings_total_row)</f>
        <v>0</v>
      </c>
      <c r="H21" s="7">
        <f t="shared" si="2"/>
        <v>0</v>
      </c>
      <c r="I21" s="6" t="str" cm="1">
        <f t="array" ref="I21">IFERROR(INDEX('Budget Planning'!$C:$C, header_row_id),"")</f>
        <v>Expenses</v>
      </c>
      <c r="J21" t="str" cm="1">
        <f t="array" ref="J21">IFERROR(INDEX('Budget Planning'!$C:$C, row_id),"")</f>
        <v>Groceries</v>
      </c>
      <c r="K21" s="54" cm="1">
        <f t="array" aca="1" ref="K2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634</v>
      </c>
      <c r="L21" s="55" cm="1">
        <f t="array" aca="1" ref="L21" ca="1">IF(OR(is_header, is_empty), "",
      INDEX('Budget Planning'!$E:$EM, row_id,
                  MATCH(IF(selected_period="Total Year", selected_year, DATE(selected_year, selected_period, 1)), 'Budget Planning'!$E$9:$EM$9, 0)  ))</f>
        <v>700</v>
      </c>
      <c r="M21" s="6" cm="1">
        <f t="array" ref="M21">IF(is_cat,
       IF(header_row_id=income_header_row, MATCH(income_min_row, $C:$C, 0),
           IF(header_row_id=expenses_header_row, MATCH(expenses_min_row, $C:$C, 0),
               IF(header_row_id=savings_header_row, MATCH(savings_min_row, $C:$C, 0),""))), "")</f>
        <v>21</v>
      </c>
      <c r="N21" s="7" cm="1">
        <f t="array" ref="N21">IF(is_cat,
       IF(header_row_id=income_header_row, MATCH(income_max_row, $C:$C, 0),
           IF(header_row_id=expenses_header_row, MATCH(expenses_max_row, $C:$C, 0),
               IF(header_row_id=savings_header_row, MATCH(savings_max_row, $C:$C, 0),""))), "")</f>
        <v>36</v>
      </c>
      <c r="O21" s="6" t="str">
        <f t="shared" si="3"/>
        <v>$K$21:$K$36</v>
      </c>
      <c r="P21">
        <f t="shared" ca="1" si="4"/>
        <v>4</v>
      </c>
      <c r="Q21" t="str">
        <f t="shared" si="5"/>
        <v>$L$21:$L$36</v>
      </c>
      <c r="R21" s="7">
        <f t="shared" ca="1" si="6"/>
        <v>2</v>
      </c>
      <c r="S21" s="6">
        <f t="shared" ca="1" si="7"/>
        <v>402</v>
      </c>
      <c r="T21" t="str">
        <f t="shared" si="8"/>
        <v>$S$21:$S$36</v>
      </c>
      <c r="U21">
        <f t="shared" ca="1" si="9"/>
        <v>4</v>
      </c>
      <c r="V21" t="str">
        <f t="shared" si="10"/>
        <v>$U$21:$U$21</v>
      </c>
      <c r="W21" s="7">
        <f t="shared" ca="1" si="11"/>
        <v>4</v>
      </c>
      <c r="X21" s="57">
        <f t="shared" ca="1" si="12"/>
        <v>26</v>
      </c>
      <c r="Y21" s="58" t="str">
        <f t="shared" ca="1" si="13"/>
        <v>Home improvements</v>
      </c>
      <c r="Z21" s="60">
        <f t="shared" ca="1" si="14"/>
        <v>4198</v>
      </c>
      <c r="AA21" s="60">
        <f t="shared" ca="1" si="15"/>
        <v>300</v>
      </c>
      <c r="AB21" s="59">
        <f t="shared" ca="1" si="16"/>
        <v>13.993333333333334</v>
      </c>
      <c r="AC21" s="60">
        <f t="shared" ca="1" si="17"/>
        <v>0</v>
      </c>
      <c r="AD21" s="60">
        <f t="shared" ca="1" si="18"/>
        <v>3898</v>
      </c>
      <c r="AF21" s="6"/>
      <c r="AI21" s="73" t="str">
        <f ca="1">Calculations!E40</f>
        <v/>
      </c>
      <c r="AJ21" s="74" t="str">
        <f ca="1">Calculations!F40</f>
        <v/>
      </c>
      <c r="AK21" s="7"/>
      <c r="AM21" s="6"/>
      <c r="AR21" s="7"/>
    </row>
    <row r="22" spans="3:44" x14ac:dyDescent="0.2">
      <c r="C22" s="6" cm="1">
        <f t="array" ref="C22">IF(C21=-1,-1,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24</v>
      </c>
      <c r="D22" s="7">
        <f t="shared" si="0"/>
        <v>22</v>
      </c>
      <c r="E22" s="6" cm="1">
        <f t="array" ref="E22">1*OR(row_id=income_header_row, row_id=expenses_header_row, row_id=savings_header_row)</f>
        <v>0</v>
      </c>
      <c r="F22">
        <f t="shared" si="1"/>
        <v>1</v>
      </c>
      <c r="G22" cm="1">
        <f t="array" ref="G22">1*OR(row_id=income_total_row, row_id=expenses_total_row, row_id=savings_total_row)</f>
        <v>0</v>
      </c>
      <c r="H22" s="7">
        <f t="shared" si="2"/>
        <v>0</v>
      </c>
      <c r="I22" s="6" t="str" cm="1">
        <f t="array" ref="I22">IFERROR(INDEX('Budget Planning'!$C:$C, header_row_id),"")</f>
        <v>Expenses</v>
      </c>
      <c r="J22" t="str" cm="1">
        <f t="array" ref="J22">IFERROR(INDEX('Budget Planning'!$C:$C, row_id),"")</f>
        <v>Eat out</v>
      </c>
      <c r="K22" s="54" cm="1">
        <f t="array" aca="1" ref="K2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276</v>
      </c>
      <c r="L22" s="55" cm="1">
        <f t="array" aca="1" ref="L22" ca="1">IF(OR(is_header, is_empty), "",
      INDEX('Budget Planning'!$E:$EM, row_id,
                  MATCH(IF(selected_period="Total Year", selected_year, DATE(selected_year, selected_period, 1)), 'Budget Planning'!$E$9:$EM$9, 0)  ))</f>
        <v>400</v>
      </c>
      <c r="M22" s="6" cm="1">
        <f t="array" ref="M22">IF(is_cat,
       IF(header_row_id=income_header_row, MATCH(income_min_row, $C:$C, 0),
           IF(header_row_id=expenses_header_row, MATCH(expenses_min_row, $C:$C, 0),
               IF(header_row_id=savings_header_row, MATCH(savings_min_row, $C:$C, 0),""))), "")</f>
        <v>21</v>
      </c>
      <c r="N22" s="7" cm="1">
        <f t="array" ref="N22">IF(is_cat,
       IF(header_row_id=income_header_row, MATCH(income_max_row, $C:$C, 0),
           IF(header_row_id=expenses_header_row, MATCH(expenses_max_row, $C:$C, 0),
               IF(header_row_id=savings_header_row, MATCH(savings_max_row, $C:$C, 0),""))), "")</f>
        <v>36</v>
      </c>
      <c r="O22" s="6" t="str">
        <f t="shared" si="3"/>
        <v>$K$21:$K$36</v>
      </c>
      <c r="P22">
        <f t="shared" ca="1" si="4"/>
        <v>9</v>
      </c>
      <c r="Q22" t="str">
        <f t="shared" si="5"/>
        <v>$L$21:$L$36</v>
      </c>
      <c r="R22" s="7">
        <f t="shared" ca="1" si="6"/>
        <v>3</v>
      </c>
      <c r="S22" s="6">
        <f t="shared" ca="1" si="7"/>
        <v>903</v>
      </c>
      <c r="T22" t="str">
        <f t="shared" si="8"/>
        <v>$S$21:$S$36</v>
      </c>
      <c r="U22">
        <f t="shared" ca="1" si="9"/>
        <v>9</v>
      </c>
      <c r="V22" t="str">
        <f t="shared" si="10"/>
        <v>$U$21:$U$22</v>
      </c>
      <c r="W22" s="7">
        <f t="shared" ca="1" si="11"/>
        <v>9</v>
      </c>
      <c r="X22" s="57">
        <f t="shared" ca="1" si="12"/>
        <v>31</v>
      </c>
      <c r="Y22" s="58" t="str">
        <f t="shared" ca="1" si="13"/>
        <v>Medical</v>
      </c>
      <c r="Z22" s="60">
        <f t="shared" ca="1" si="14"/>
        <v>3717</v>
      </c>
      <c r="AA22" s="60">
        <f t="shared" ca="1" si="15"/>
        <v>150</v>
      </c>
      <c r="AB22" s="59">
        <f t="shared" ca="1" si="16"/>
        <v>24.78</v>
      </c>
      <c r="AC22" s="60">
        <f t="shared" ca="1" si="17"/>
        <v>0</v>
      </c>
      <c r="AD22" s="60">
        <f t="shared" ca="1" si="18"/>
        <v>3567</v>
      </c>
      <c r="AF22" s="6"/>
      <c r="AI22" s="75" t="str">
        <f>Calculations!E41</f>
        <v>Total</v>
      </c>
      <c r="AJ22" s="76">
        <f ca="1">Calculations!F41</f>
        <v>7950</v>
      </c>
      <c r="AK22" s="7"/>
      <c r="AM22" s="6"/>
      <c r="AR22" s="7"/>
    </row>
    <row r="23" spans="3:44" x14ac:dyDescent="0.2">
      <c r="C23" s="6" cm="1">
        <f t="array" ref="C23">IF(C22=-1,-1,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25</v>
      </c>
      <c r="D23" s="7">
        <f t="shared" si="0"/>
        <v>22</v>
      </c>
      <c r="E23" s="6" cm="1">
        <f t="array" ref="E23">1*OR(row_id=income_header_row, row_id=expenses_header_row, row_id=savings_header_row)</f>
        <v>0</v>
      </c>
      <c r="F23">
        <f t="shared" si="1"/>
        <v>1</v>
      </c>
      <c r="G23" cm="1">
        <f t="array" ref="G23">1*OR(row_id=income_total_row, row_id=expenses_total_row, row_id=savings_total_row)</f>
        <v>0</v>
      </c>
      <c r="H23" s="7">
        <f t="shared" si="2"/>
        <v>0</v>
      </c>
      <c r="I23" s="6" t="str" cm="1">
        <f t="array" ref="I23">IFERROR(INDEX('Budget Planning'!$C:$C, header_row_id),"")</f>
        <v>Expenses</v>
      </c>
      <c r="J23" t="str" cm="1">
        <f t="array" ref="J23">IFERROR(INDEX('Budget Planning'!$C:$C, row_id),"")</f>
        <v>Fun</v>
      </c>
      <c r="K23" s="54" cm="1">
        <f t="array" aca="1" ref="K2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203</v>
      </c>
      <c r="L23" s="55" cm="1">
        <f t="array" aca="1" ref="L23" ca="1">IF(OR(is_header, is_empty), "",
      INDEX('Budget Planning'!$E:$EM, row_id,
                  MATCH(IF(selected_period="Total Year", selected_year, DATE(selected_year, selected_period, 1)), 'Budget Planning'!$E$9:$EM$9, 0)  ))</f>
        <v>250</v>
      </c>
      <c r="M23" s="6" cm="1">
        <f t="array" ref="M23">IF(is_cat,
       IF(header_row_id=income_header_row, MATCH(income_min_row, $C:$C, 0),
           IF(header_row_id=expenses_header_row, MATCH(expenses_min_row, $C:$C, 0),
               IF(header_row_id=savings_header_row, MATCH(savings_min_row, $C:$C, 0),""))), "")</f>
        <v>21</v>
      </c>
      <c r="N23" s="7" cm="1">
        <f t="array" ref="N23">IF(is_cat,
       IF(header_row_id=income_header_row, MATCH(income_max_row, $C:$C, 0),
           IF(header_row_id=expenses_header_row, MATCH(expenses_max_row, $C:$C, 0),
               IF(header_row_id=savings_header_row, MATCH(savings_max_row, $C:$C, 0),""))), "")</f>
        <v>36</v>
      </c>
      <c r="O23" s="6" t="str">
        <f t="shared" si="3"/>
        <v>$K$21:$K$36</v>
      </c>
      <c r="P23">
        <f t="shared" ca="1" si="4"/>
        <v>10</v>
      </c>
      <c r="Q23" t="str">
        <f t="shared" si="5"/>
        <v>$L$21:$L$36</v>
      </c>
      <c r="R23" s="7">
        <f t="shared" ca="1" si="6"/>
        <v>8</v>
      </c>
      <c r="S23" s="6">
        <f t="shared" ca="1" si="7"/>
        <v>1008</v>
      </c>
      <c r="T23" t="str">
        <f t="shared" si="8"/>
        <v>$S$21:$S$36</v>
      </c>
      <c r="U23">
        <f t="shared" ca="1" si="9"/>
        <v>10</v>
      </c>
      <c r="V23" t="str">
        <f t="shared" si="10"/>
        <v>$U$21:$U$23</v>
      </c>
      <c r="W23" s="7">
        <f t="shared" ca="1" si="11"/>
        <v>10</v>
      </c>
      <c r="X23" s="57">
        <f t="shared" ca="1" si="12"/>
        <v>32</v>
      </c>
      <c r="Y23" s="58" t="str">
        <f t="shared" ca="1" si="13"/>
        <v>Mortgage</v>
      </c>
      <c r="Z23" s="60">
        <f t="shared" ca="1" si="14"/>
        <v>3215</v>
      </c>
      <c r="AA23" s="60">
        <f t="shared" ca="1" si="15"/>
        <v>3215</v>
      </c>
      <c r="AB23" s="59">
        <f t="shared" ca="1" si="16"/>
        <v>1</v>
      </c>
      <c r="AC23" s="60">
        <f t="shared" ca="1" si="17"/>
        <v>0</v>
      </c>
      <c r="AD23" s="60">
        <f t="shared" ca="1" si="18"/>
        <v>0</v>
      </c>
      <c r="AF23" s="6"/>
      <c r="AK23" s="7"/>
      <c r="AM23" s="6"/>
      <c r="AR23" s="7"/>
    </row>
    <row r="24" spans="3:44" x14ac:dyDescent="0.2">
      <c r="C24" s="6" cm="1">
        <f t="array" ref="C24">IF(C23=-1,-1,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26</v>
      </c>
      <c r="D24" s="7">
        <f t="shared" si="0"/>
        <v>22</v>
      </c>
      <c r="E24" s="6" cm="1">
        <f t="array" ref="E24">1*OR(row_id=income_header_row, row_id=expenses_header_row, row_id=savings_header_row)</f>
        <v>0</v>
      </c>
      <c r="F24">
        <f t="shared" si="1"/>
        <v>1</v>
      </c>
      <c r="G24" cm="1">
        <f t="array" ref="G24">1*OR(row_id=income_total_row, row_id=expenses_total_row, row_id=savings_total_row)</f>
        <v>0</v>
      </c>
      <c r="H24" s="7">
        <f t="shared" si="2"/>
        <v>0</v>
      </c>
      <c r="I24" s="6" t="str" cm="1">
        <f t="array" ref="I24">IFERROR(INDEX('Budget Planning'!$C:$C, header_row_id),"")</f>
        <v>Expenses</v>
      </c>
      <c r="J24" t="str" cm="1">
        <f t="array" ref="J24">IFERROR(INDEX('Budget Planning'!$C:$C, row_id),"")</f>
        <v>Medical</v>
      </c>
      <c r="K24" s="54" cm="1">
        <f t="array" aca="1" ref="K2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3717</v>
      </c>
      <c r="L24" s="55" cm="1">
        <f t="array" aca="1" ref="L24" ca="1">IF(OR(is_header, is_empty), "",
      INDEX('Budget Planning'!$E:$EM, row_id,
                  MATCH(IF(selected_period="Total Year", selected_year, DATE(selected_year, selected_period, 1)), 'Budget Planning'!$E$9:$EM$9, 0)  ))</f>
        <v>150</v>
      </c>
      <c r="M24" s="6" cm="1">
        <f t="array" ref="M24">IF(is_cat,
       IF(header_row_id=income_header_row, MATCH(income_min_row, $C:$C, 0),
           IF(header_row_id=expenses_header_row, MATCH(expenses_min_row, $C:$C, 0),
               IF(header_row_id=savings_header_row, MATCH(savings_min_row, $C:$C, 0),""))), "")</f>
        <v>21</v>
      </c>
      <c r="N24" s="7" cm="1">
        <f t="array" ref="N24">IF(is_cat,
       IF(header_row_id=income_header_row, MATCH(income_max_row, $C:$C, 0),
           IF(header_row_id=expenses_header_row, MATCH(expenses_max_row, $C:$C, 0),
               IF(header_row_id=savings_header_row, MATCH(savings_max_row, $C:$C, 0),""))), "")</f>
        <v>36</v>
      </c>
      <c r="O24" s="6" t="str">
        <f t="shared" si="3"/>
        <v>$K$21:$K$36</v>
      </c>
      <c r="P24">
        <f t="shared" ca="1" si="4"/>
        <v>2</v>
      </c>
      <c r="Q24" t="str">
        <f t="shared" si="5"/>
        <v>$L$21:$L$36</v>
      </c>
      <c r="R24" s="7">
        <f t="shared" ca="1" si="6"/>
        <v>12</v>
      </c>
      <c r="S24" s="6">
        <f t="shared" ca="1" si="7"/>
        <v>212</v>
      </c>
      <c r="T24" t="str">
        <f t="shared" si="8"/>
        <v>$S$21:$S$36</v>
      </c>
      <c r="U24">
        <f t="shared" ca="1" si="9"/>
        <v>2</v>
      </c>
      <c r="V24" t="str">
        <f t="shared" si="10"/>
        <v>$U$21:$U$24</v>
      </c>
      <c r="W24" s="7">
        <f t="shared" ca="1" si="11"/>
        <v>2</v>
      </c>
      <c r="X24" s="57">
        <f t="shared" ca="1" si="12"/>
        <v>24</v>
      </c>
      <c r="Y24" s="58" t="str">
        <f t="shared" ca="1" si="13"/>
        <v>Groceries</v>
      </c>
      <c r="Z24" s="60">
        <f t="shared" ca="1" si="14"/>
        <v>634</v>
      </c>
      <c r="AA24" s="60">
        <f t="shared" ca="1" si="15"/>
        <v>700</v>
      </c>
      <c r="AB24" s="59">
        <f t="shared" ca="1" si="16"/>
        <v>0.90571428571428569</v>
      </c>
      <c r="AC24" s="60">
        <f t="shared" ca="1" si="17"/>
        <v>66</v>
      </c>
      <c r="AD24" s="60">
        <f t="shared" ca="1" si="18"/>
        <v>0</v>
      </c>
      <c r="AF24" s="8"/>
      <c r="AG24" s="9"/>
      <c r="AH24" s="9"/>
      <c r="AI24" s="9"/>
      <c r="AJ24" s="9"/>
      <c r="AK24" s="10"/>
      <c r="AM24" s="8"/>
      <c r="AN24" s="9"/>
      <c r="AO24" s="9"/>
      <c r="AP24" s="9"/>
      <c r="AQ24" s="9"/>
      <c r="AR24" s="10"/>
    </row>
    <row r="25" spans="3:44" x14ac:dyDescent="0.2">
      <c r="C25" s="6" cm="1">
        <f t="array" ref="C25">IF(C24=-1,-1,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27</v>
      </c>
      <c r="D25" s="7">
        <f t="shared" si="0"/>
        <v>22</v>
      </c>
      <c r="E25" s="6" cm="1">
        <f t="array" ref="E25">1*OR(row_id=income_header_row, row_id=expenses_header_row, row_id=savings_header_row)</f>
        <v>0</v>
      </c>
      <c r="F25">
        <f t="shared" si="1"/>
        <v>1</v>
      </c>
      <c r="G25" cm="1">
        <f t="array" ref="G25">1*OR(row_id=income_total_row, row_id=expenses_total_row, row_id=savings_total_row)</f>
        <v>0</v>
      </c>
      <c r="H25" s="7">
        <f t="shared" si="2"/>
        <v>0</v>
      </c>
      <c r="I25" s="6" t="str" cm="1">
        <f t="array" ref="I25">IFERROR(INDEX('Budget Planning'!$C:$C, header_row_id),"")</f>
        <v>Expenses</v>
      </c>
      <c r="J25" t="str" cm="1">
        <f t="array" ref="J25">IFERROR(INDEX('Budget Planning'!$C:$C, row_id),"")</f>
        <v>Baby</v>
      </c>
      <c r="K25" s="54" cm="1">
        <f t="array" aca="1" ref="K2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614</v>
      </c>
      <c r="L25" s="55" cm="1">
        <f t="array" aca="1" ref="L25" ca="1">IF(OR(is_header, is_empty), "",
      INDEX('Budget Planning'!$E:$EM, row_id,
                  MATCH(IF(selected_period="Total Year", selected_year, DATE(selected_year, selected_period, 1)), 'Budget Planning'!$E$9:$EM$9, 0)  ))</f>
        <v>300</v>
      </c>
      <c r="M25" s="6" cm="1">
        <f t="array" ref="M25">IF(is_cat,
       IF(header_row_id=income_header_row, MATCH(income_min_row, $C:$C, 0),
           IF(header_row_id=expenses_header_row, MATCH(expenses_min_row, $C:$C, 0),
               IF(header_row_id=savings_header_row, MATCH(savings_min_row, $C:$C, 0),""))), "")</f>
        <v>21</v>
      </c>
      <c r="N25" s="7" cm="1">
        <f t="array" ref="N25">IF(is_cat,
       IF(header_row_id=income_header_row, MATCH(income_max_row, $C:$C, 0),
           IF(header_row_id=expenses_header_row, MATCH(expenses_max_row, $C:$C, 0),
               IF(header_row_id=savings_header_row, MATCH(savings_max_row, $C:$C, 0),""))), "")</f>
        <v>36</v>
      </c>
      <c r="O25" s="6" t="str">
        <f t="shared" si="3"/>
        <v>$K$21:$K$36</v>
      </c>
      <c r="P25">
        <f t="shared" ca="1" si="4"/>
        <v>5</v>
      </c>
      <c r="Q25" t="str">
        <f t="shared" si="5"/>
        <v>$L$21:$L$36</v>
      </c>
      <c r="R25" s="7">
        <f t="shared" ca="1" si="6"/>
        <v>5</v>
      </c>
      <c r="S25" s="6">
        <f t="shared" ca="1" si="7"/>
        <v>505</v>
      </c>
      <c r="T25" t="str">
        <f t="shared" si="8"/>
        <v>$S$21:$S$36</v>
      </c>
      <c r="U25">
        <f t="shared" ca="1" si="9"/>
        <v>5</v>
      </c>
      <c r="V25" t="str">
        <f t="shared" si="10"/>
        <v>$U$21:$U$25</v>
      </c>
      <c r="W25" s="7">
        <f t="shared" ca="1" si="11"/>
        <v>5</v>
      </c>
      <c r="X25" s="57">
        <f t="shared" ca="1" si="12"/>
        <v>27</v>
      </c>
      <c r="Y25" s="58" t="str">
        <f t="shared" ca="1" si="13"/>
        <v>Baby</v>
      </c>
      <c r="Z25" s="60">
        <f t="shared" ca="1" si="14"/>
        <v>614</v>
      </c>
      <c r="AA25" s="60">
        <f t="shared" ca="1" si="15"/>
        <v>300</v>
      </c>
      <c r="AB25" s="59">
        <f t="shared" ca="1" si="16"/>
        <v>2.0466666666666669</v>
      </c>
      <c r="AC25" s="60">
        <f t="shared" ca="1" si="17"/>
        <v>0</v>
      </c>
      <c r="AD25" s="60">
        <f t="shared" ca="1" si="18"/>
        <v>314</v>
      </c>
    </row>
    <row r="26" spans="3:44" x14ac:dyDescent="0.2">
      <c r="C26" s="6" cm="1">
        <f t="array" ref="C26">IF(C25=-1,-1,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28</v>
      </c>
      <c r="D26" s="7">
        <f t="shared" si="0"/>
        <v>22</v>
      </c>
      <c r="E26" s="6" cm="1">
        <f t="array" ref="E26">1*OR(row_id=income_header_row, row_id=expenses_header_row, row_id=savings_header_row)</f>
        <v>0</v>
      </c>
      <c r="F26">
        <f t="shared" si="1"/>
        <v>1</v>
      </c>
      <c r="G26" cm="1">
        <f t="array" ref="G26">1*OR(row_id=income_total_row, row_id=expenses_total_row, row_id=savings_total_row)</f>
        <v>0</v>
      </c>
      <c r="H26" s="7">
        <f t="shared" si="2"/>
        <v>0</v>
      </c>
      <c r="I26" s="6" t="str" cm="1">
        <f t="array" ref="I26">IFERROR(INDEX('Budget Planning'!$C:$C, header_row_id),"")</f>
        <v>Expenses</v>
      </c>
      <c r="J26" t="str" cm="1">
        <f t="array" ref="J26">IFERROR(INDEX('Budget Planning'!$C:$C, row_id),"")</f>
        <v>Body care</v>
      </c>
      <c r="K26" s="54" cm="1">
        <f t="array" aca="1" ref="K2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362</v>
      </c>
      <c r="L26" s="55" cm="1">
        <f t="array" aca="1" ref="L26" ca="1">IF(OR(is_header, is_empty), "",
      INDEX('Budget Planning'!$E:$EM, row_id,
                  MATCH(IF(selected_period="Total Year", selected_year, DATE(selected_year, selected_period, 1)), 'Budget Planning'!$E$9:$EM$9, 0)  ))</f>
        <v>300</v>
      </c>
      <c r="M26" s="6" cm="1">
        <f t="array" ref="M26">IF(is_cat,
       IF(header_row_id=income_header_row, MATCH(income_min_row, $C:$C, 0),
           IF(header_row_id=expenses_header_row, MATCH(expenses_min_row, $C:$C, 0),
               IF(header_row_id=savings_header_row, MATCH(savings_min_row, $C:$C, 0),""))), "")</f>
        <v>21</v>
      </c>
      <c r="N26" s="7" cm="1">
        <f t="array" ref="N26">IF(is_cat,
       IF(header_row_id=income_header_row, MATCH(income_max_row, $C:$C, 0),
           IF(header_row_id=expenses_header_row, MATCH(expenses_max_row, $C:$C, 0),
               IF(header_row_id=savings_header_row, MATCH(savings_max_row, $C:$C, 0),""))), "")</f>
        <v>36</v>
      </c>
      <c r="O26" s="6" t="str">
        <f t="shared" si="3"/>
        <v>$K$21:$K$36</v>
      </c>
      <c r="P26">
        <f t="shared" ca="1" si="4"/>
        <v>8</v>
      </c>
      <c r="Q26" t="str">
        <f t="shared" si="5"/>
        <v>$L$21:$L$36</v>
      </c>
      <c r="R26" s="7">
        <f t="shared" ca="1" si="6"/>
        <v>5</v>
      </c>
      <c r="S26" s="6">
        <f t="shared" ca="1" si="7"/>
        <v>805</v>
      </c>
      <c r="T26" t="str">
        <f t="shared" si="8"/>
        <v>$S$21:$S$36</v>
      </c>
      <c r="U26">
        <f t="shared" ca="1" si="9"/>
        <v>8</v>
      </c>
      <c r="V26" t="str">
        <f t="shared" si="10"/>
        <v>$U$21:$U$26</v>
      </c>
      <c r="W26" s="7">
        <f t="shared" ca="1" si="11"/>
        <v>8</v>
      </c>
      <c r="X26" s="57">
        <f t="shared" ca="1" si="12"/>
        <v>30</v>
      </c>
      <c r="Y26" s="58" t="str">
        <f t="shared" ca="1" si="13"/>
        <v>Utilities</v>
      </c>
      <c r="Z26" s="60">
        <f t="shared" ca="1" si="14"/>
        <v>439</v>
      </c>
      <c r="AA26" s="60">
        <f t="shared" ca="1" si="15"/>
        <v>350</v>
      </c>
      <c r="AB26" s="59">
        <f t="shared" ca="1" si="16"/>
        <v>1.2542857142857142</v>
      </c>
      <c r="AC26" s="60">
        <f t="shared" ca="1" si="17"/>
        <v>0</v>
      </c>
      <c r="AD26" s="60">
        <f t="shared" ca="1" si="18"/>
        <v>89</v>
      </c>
      <c r="AF26" s="61"/>
      <c r="AG26" s="62"/>
      <c r="AH26" s="62"/>
      <c r="AI26" s="62"/>
      <c r="AJ26" s="62"/>
      <c r="AK26" s="63"/>
      <c r="AM26" s="61"/>
      <c r="AN26" s="62"/>
      <c r="AO26" s="62"/>
      <c r="AP26" s="62"/>
      <c r="AQ26" s="62"/>
      <c r="AR26" s="63"/>
    </row>
    <row r="27" spans="3:44" x14ac:dyDescent="0.2">
      <c r="C27" s="6" cm="1">
        <f t="array" ref="C27">IF(C26=-1,-1,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29</v>
      </c>
      <c r="D27" s="7">
        <f t="shared" si="0"/>
        <v>22</v>
      </c>
      <c r="E27" s="6" cm="1">
        <f t="array" ref="E27">1*OR(row_id=income_header_row, row_id=expenses_header_row, row_id=savings_header_row)</f>
        <v>0</v>
      </c>
      <c r="F27">
        <f t="shared" si="1"/>
        <v>1</v>
      </c>
      <c r="G27" cm="1">
        <f t="array" ref="G27">1*OR(row_id=income_total_row, row_id=expenses_total_row, row_id=savings_total_row)</f>
        <v>0</v>
      </c>
      <c r="H27" s="7">
        <f t="shared" si="2"/>
        <v>0</v>
      </c>
      <c r="I27" s="6" t="str" cm="1">
        <f t="array" ref="I27">IFERROR(INDEX('Budget Planning'!$C:$C, header_row_id),"")</f>
        <v>Expenses</v>
      </c>
      <c r="J27" t="str" cm="1">
        <f t="array" ref="J27">IFERROR(INDEX('Budget Planning'!$C:$C, row_id),"")</f>
        <v>Maya</v>
      </c>
      <c r="K27" s="54" cm="1">
        <f t="array" aca="1" ref="K2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130</v>
      </c>
      <c r="L27" s="55" cm="1">
        <f t="array" aca="1" ref="L27" ca="1">IF(OR(is_header, is_empty), "",
      INDEX('Budget Planning'!$E:$EM, row_id,
                  MATCH(IF(selected_period="Total Year", selected_year, DATE(selected_year, selected_period, 1)), 'Budget Planning'!$E$9:$EM$9, 0)  ))</f>
        <v>50</v>
      </c>
      <c r="M27" s="6" cm="1">
        <f t="array" ref="M27">IF(is_cat,
       IF(header_row_id=income_header_row, MATCH(income_min_row, $C:$C, 0),
           IF(header_row_id=expenses_header_row, MATCH(expenses_min_row, $C:$C, 0),
               IF(header_row_id=savings_header_row, MATCH(savings_min_row, $C:$C, 0),""))), "")</f>
        <v>21</v>
      </c>
      <c r="N27" s="7" cm="1">
        <f t="array" ref="N27">IF(is_cat,
       IF(header_row_id=income_header_row, MATCH(income_max_row, $C:$C, 0),
           IF(header_row_id=expenses_header_row, MATCH(expenses_max_row, $C:$C, 0),
               IF(header_row_id=savings_header_row, MATCH(savings_max_row, $C:$C, 0),""))), "")</f>
        <v>36</v>
      </c>
      <c r="O27" s="6" t="str">
        <f t="shared" si="3"/>
        <v>$K$21:$K$36</v>
      </c>
      <c r="P27">
        <f t="shared" ca="1" si="4"/>
        <v>12</v>
      </c>
      <c r="Q27" t="str">
        <f t="shared" si="5"/>
        <v>$L$21:$L$36</v>
      </c>
      <c r="R27" s="7">
        <f t="shared" ca="1" si="6"/>
        <v>14</v>
      </c>
      <c r="S27" s="6">
        <f t="shared" ca="1" si="7"/>
        <v>1214</v>
      </c>
      <c r="T27" t="str">
        <f t="shared" si="8"/>
        <v>$S$21:$S$36</v>
      </c>
      <c r="U27">
        <f t="shared" ca="1" si="9"/>
        <v>12</v>
      </c>
      <c r="V27" t="str">
        <f t="shared" si="10"/>
        <v>$U$21:$U$27</v>
      </c>
      <c r="W27" s="7">
        <f t="shared" ca="1" si="11"/>
        <v>12</v>
      </c>
      <c r="X27" s="57">
        <f t="shared" ca="1" si="12"/>
        <v>34</v>
      </c>
      <c r="Y27" s="58" t="str">
        <f t="shared" ca="1" si="13"/>
        <v>Subscriptions</v>
      </c>
      <c r="Z27" s="60">
        <f t="shared" ca="1" si="14"/>
        <v>424</v>
      </c>
      <c r="AA27" s="60">
        <f t="shared" ca="1" si="15"/>
        <v>180</v>
      </c>
      <c r="AB27" s="59">
        <f t="shared" ca="1" si="16"/>
        <v>2.3555555555555556</v>
      </c>
      <c r="AC27" s="60">
        <f t="shared" ca="1" si="17"/>
        <v>0</v>
      </c>
      <c r="AD27" s="60">
        <f t="shared" ca="1" si="18"/>
        <v>244</v>
      </c>
      <c r="AF27" s="6"/>
      <c r="AK27" s="7"/>
      <c r="AM27" s="6"/>
      <c r="AR27" s="7"/>
    </row>
    <row r="28" spans="3:44" x14ac:dyDescent="0.2">
      <c r="C28" s="6" cm="1">
        <f t="array" ref="C28">IF(C27=-1,-1,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30</v>
      </c>
      <c r="D28" s="7">
        <f t="shared" si="0"/>
        <v>22</v>
      </c>
      <c r="E28" s="6" cm="1">
        <f t="array" ref="E28">1*OR(row_id=income_header_row, row_id=expenses_header_row, row_id=savings_header_row)</f>
        <v>0</v>
      </c>
      <c r="F28">
        <f t="shared" si="1"/>
        <v>1</v>
      </c>
      <c r="G28" cm="1">
        <f t="array" ref="G28">1*OR(row_id=income_total_row, row_id=expenses_total_row, row_id=savings_total_row)</f>
        <v>0</v>
      </c>
      <c r="H28" s="7">
        <f t="shared" si="2"/>
        <v>0</v>
      </c>
      <c r="I28" s="6" t="str" cm="1">
        <f t="array" ref="I28">IFERROR(INDEX('Budget Planning'!$C:$C, header_row_id),"")</f>
        <v>Expenses</v>
      </c>
      <c r="J28" t="str" cm="1">
        <f t="array" ref="J28">IFERROR(INDEX('Budget Planning'!$C:$C, row_id),"")</f>
        <v>Clothes</v>
      </c>
      <c r="K28" s="54" cm="1">
        <f t="array" aca="1" ref="K28"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8" s="55" cm="1">
        <f t="array" aca="1" ref="L28" ca="1">IF(OR(is_header, is_empty), "",
      INDEX('Budget Planning'!$E:$EM, row_id,
                  MATCH(IF(selected_period="Total Year", selected_year, DATE(selected_year, selected_period, 1)), 'Budget Planning'!$E$9:$EM$9, 0)  ))</f>
        <v>200</v>
      </c>
      <c r="M28" s="6" cm="1">
        <f t="array" ref="M28">IF(is_cat,
       IF(header_row_id=income_header_row, MATCH(income_min_row, $C:$C, 0),
           IF(header_row_id=expenses_header_row, MATCH(expenses_min_row, $C:$C, 0),
               IF(header_row_id=savings_header_row, MATCH(savings_min_row, $C:$C, 0),""))), "")</f>
        <v>21</v>
      </c>
      <c r="N28" s="7" cm="1">
        <f t="array" ref="N28">IF(is_cat,
       IF(header_row_id=income_header_row, MATCH(income_max_row, $C:$C, 0),
           IF(header_row_id=expenses_header_row, MATCH(expenses_max_row, $C:$C, 0),
               IF(header_row_id=savings_header_row, MATCH(savings_max_row, $C:$C, 0),""))), "")</f>
        <v>36</v>
      </c>
      <c r="O28" s="6" t="str">
        <f t="shared" si="3"/>
        <v>$K$21:$K$36</v>
      </c>
      <c r="P28">
        <f t="shared" ca="1" si="4"/>
        <v>14</v>
      </c>
      <c r="Q28" t="str">
        <f t="shared" si="5"/>
        <v>$L$21:$L$36</v>
      </c>
      <c r="R28" s="7">
        <f t="shared" ca="1" si="6"/>
        <v>9</v>
      </c>
      <c r="S28" s="6">
        <f t="shared" ca="1" si="7"/>
        <v>1409</v>
      </c>
      <c r="T28" t="str">
        <f t="shared" si="8"/>
        <v>$S$21:$S$36</v>
      </c>
      <c r="U28">
        <f t="shared" ca="1" si="9"/>
        <v>14</v>
      </c>
      <c r="V28" t="str">
        <f t="shared" si="10"/>
        <v>$U$21:$U$28</v>
      </c>
      <c r="W28" s="7">
        <f t="shared" ca="1" si="11"/>
        <v>14</v>
      </c>
      <c r="X28" s="57">
        <f t="shared" ca="1" si="12"/>
        <v>36</v>
      </c>
      <c r="Y28" s="58" t="str">
        <f t="shared" ca="1" si="13"/>
        <v>Body care</v>
      </c>
      <c r="Z28" s="60">
        <f t="shared" ca="1" si="14"/>
        <v>362</v>
      </c>
      <c r="AA28" s="60">
        <f t="shared" ca="1" si="15"/>
        <v>300</v>
      </c>
      <c r="AB28" s="59">
        <f t="shared" ca="1" si="16"/>
        <v>1.2066666666666668</v>
      </c>
      <c r="AC28" s="60">
        <f t="shared" ca="1" si="17"/>
        <v>0</v>
      </c>
      <c r="AD28" s="60">
        <f t="shared" ca="1" si="18"/>
        <v>62</v>
      </c>
      <c r="AF28" s="6"/>
      <c r="AK28" s="7"/>
      <c r="AM28" s="6"/>
      <c r="AR28" s="7"/>
    </row>
    <row r="29" spans="3:44" x14ac:dyDescent="0.2">
      <c r="C29" s="6" cm="1">
        <f t="array" ref="C29">IF(C28=-1,-1,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31</v>
      </c>
      <c r="D29" s="7">
        <f t="shared" si="0"/>
        <v>22</v>
      </c>
      <c r="E29" s="6" cm="1">
        <f t="array" ref="E29">1*OR(row_id=income_header_row, row_id=expenses_header_row, row_id=savings_header_row)</f>
        <v>0</v>
      </c>
      <c r="F29">
        <f t="shared" si="1"/>
        <v>1</v>
      </c>
      <c r="G29" cm="1">
        <f t="array" ref="G29">1*OR(row_id=income_total_row, row_id=expenses_total_row, row_id=savings_total_row)</f>
        <v>0</v>
      </c>
      <c r="H29" s="7">
        <f t="shared" si="2"/>
        <v>0</v>
      </c>
      <c r="I29" s="6" t="str" cm="1">
        <f t="array" ref="I29">IFERROR(INDEX('Budget Planning'!$C:$C, header_row_id),"")</f>
        <v>Expenses</v>
      </c>
      <c r="J29" t="str" cm="1">
        <f t="array" ref="J29">IFERROR(INDEX('Budget Planning'!$C:$C, row_id),"")</f>
        <v>Hobbies</v>
      </c>
      <c r="K29" s="54" cm="1">
        <f t="array" aca="1" ref="K29"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29" s="55" cm="1">
        <f t="array" aca="1" ref="L29" ca="1">IF(OR(is_header, is_empty), "",
      INDEX('Budget Planning'!$E:$EM, row_id,
                  MATCH(IF(selected_period="Total Year", selected_year, DATE(selected_year, selected_period, 1)), 'Budget Planning'!$E$9:$EM$9, 0)  ))</f>
        <v>100</v>
      </c>
      <c r="M29" s="6" cm="1">
        <f t="array" ref="M29">IF(is_cat,
       IF(header_row_id=income_header_row, MATCH(income_min_row, $C:$C, 0),
           IF(header_row_id=expenses_header_row, MATCH(expenses_min_row, $C:$C, 0),
               IF(header_row_id=savings_header_row, MATCH(savings_min_row, $C:$C, 0),""))), "")</f>
        <v>21</v>
      </c>
      <c r="N29" s="7" cm="1">
        <f t="array" ref="N29">IF(is_cat,
       IF(header_row_id=income_header_row, MATCH(income_max_row, $C:$C, 0),
           IF(header_row_id=expenses_header_row, MATCH(expenses_max_row, $C:$C, 0),
               IF(header_row_id=savings_header_row, MATCH(savings_max_row, $C:$C, 0),""))), "")</f>
        <v>36</v>
      </c>
      <c r="O29" s="6" t="str">
        <f t="shared" si="3"/>
        <v>$K$21:$K$36</v>
      </c>
      <c r="P29">
        <f t="shared" ca="1" si="4"/>
        <v>14</v>
      </c>
      <c r="Q29" t="str">
        <f t="shared" si="5"/>
        <v>$L$21:$L$36</v>
      </c>
      <c r="R29" s="7">
        <f t="shared" ca="1" si="6"/>
        <v>13</v>
      </c>
      <c r="S29" s="6">
        <f t="shared" ca="1" si="7"/>
        <v>1413</v>
      </c>
      <c r="T29" t="str">
        <f t="shared" si="8"/>
        <v>$S$21:$S$36</v>
      </c>
      <c r="U29">
        <f t="shared" ca="1" si="9"/>
        <v>15</v>
      </c>
      <c r="V29" t="str">
        <f t="shared" si="10"/>
        <v>$U$21:$U$29</v>
      </c>
      <c r="W29" s="7">
        <f t="shared" ca="1" si="11"/>
        <v>15</v>
      </c>
      <c r="X29" s="57">
        <f t="shared" ca="1" si="12"/>
        <v>37</v>
      </c>
      <c r="Y29" s="58" t="str">
        <f t="shared" ca="1" si="13"/>
        <v>Eat out</v>
      </c>
      <c r="Z29" s="60">
        <f t="shared" ca="1" si="14"/>
        <v>276</v>
      </c>
      <c r="AA29" s="60">
        <f t="shared" ca="1" si="15"/>
        <v>400</v>
      </c>
      <c r="AB29" s="59">
        <f t="shared" ca="1" si="16"/>
        <v>0.69</v>
      </c>
      <c r="AC29" s="60">
        <f t="shared" ca="1" si="17"/>
        <v>124</v>
      </c>
      <c r="AD29" s="60">
        <f t="shared" ca="1" si="18"/>
        <v>0</v>
      </c>
      <c r="AF29" s="6"/>
      <c r="AI29" s="73" t="str">
        <f ca="1">Calculations!I35</f>
        <v>Home improvements</v>
      </c>
      <c r="AJ29" s="74">
        <f ca="1">Calculations!J35</f>
        <v>4198</v>
      </c>
      <c r="AK29" s="7"/>
      <c r="AM29" s="6"/>
      <c r="AP29" s="73" t="str">
        <f ca="1">Calculations!M35</f>
        <v>Metlife</v>
      </c>
      <c r="AQ29" s="74">
        <f ca="1">Calculations!N35</f>
        <v>78</v>
      </c>
      <c r="AR29" s="7"/>
    </row>
    <row r="30" spans="3:44" x14ac:dyDescent="0.2">
      <c r="C30" s="6" cm="1">
        <f t="array" ref="C30">IF(C29=-1,-1,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32</v>
      </c>
      <c r="D30" s="7">
        <f t="shared" si="0"/>
        <v>22</v>
      </c>
      <c r="E30" s="6" cm="1">
        <f t="array" ref="E30">1*OR(row_id=income_header_row, row_id=expenses_header_row, row_id=savings_header_row)</f>
        <v>0</v>
      </c>
      <c r="F30">
        <f t="shared" si="1"/>
        <v>1</v>
      </c>
      <c r="G30" cm="1">
        <f t="array" ref="G30">1*OR(row_id=income_total_row, row_id=expenses_total_row, row_id=savings_total_row)</f>
        <v>0</v>
      </c>
      <c r="H30" s="7">
        <f t="shared" si="2"/>
        <v>0</v>
      </c>
      <c r="I30" s="6" t="str" cm="1">
        <f t="array" ref="I30">IFERROR(INDEX('Budget Planning'!$C:$C, header_row_id),"")</f>
        <v>Expenses</v>
      </c>
      <c r="J30" t="str" cm="1">
        <f t="array" ref="J30">IFERROR(INDEX('Budget Planning'!$C:$C, row_id),"")</f>
        <v>Home improvements</v>
      </c>
      <c r="K30" s="54" cm="1">
        <f t="array" aca="1" ref="K3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4198</v>
      </c>
      <c r="L30" s="55" cm="1">
        <f t="array" aca="1" ref="L30" ca="1">IF(OR(is_header, is_empty), "",
      INDEX('Budget Planning'!$E:$EM, row_id,
                  MATCH(IF(selected_period="Total Year", selected_year, DATE(selected_year, selected_period, 1)), 'Budget Planning'!$E$9:$EM$9, 0)  ))</f>
        <v>300</v>
      </c>
      <c r="M30" s="6" cm="1">
        <f t="array" ref="M30">IF(is_cat,
       IF(header_row_id=income_header_row, MATCH(income_min_row, $C:$C, 0),
           IF(header_row_id=expenses_header_row, MATCH(expenses_min_row, $C:$C, 0),
               IF(header_row_id=savings_header_row, MATCH(savings_min_row, $C:$C, 0),""))), "")</f>
        <v>21</v>
      </c>
      <c r="N30" s="7" cm="1">
        <f t="array" ref="N30">IF(is_cat,
       IF(header_row_id=income_header_row, MATCH(income_max_row, $C:$C, 0),
           IF(header_row_id=expenses_header_row, MATCH(expenses_max_row, $C:$C, 0),
               IF(header_row_id=savings_header_row, MATCH(savings_max_row, $C:$C, 0),""))), "")</f>
        <v>36</v>
      </c>
      <c r="O30" s="6" t="str">
        <f t="shared" si="3"/>
        <v>$K$21:$K$36</v>
      </c>
      <c r="P30">
        <f t="shared" ca="1" si="4"/>
        <v>1</v>
      </c>
      <c r="Q30" t="str">
        <f t="shared" si="5"/>
        <v>$L$21:$L$36</v>
      </c>
      <c r="R30" s="7">
        <f t="shared" ca="1" si="6"/>
        <v>5</v>
      </c>
      <c r="S30" s="6">
        <f t="shared" ca="1" si="7"/>
        <v>105</v>
      </c>
      <c r="T30" t="str">
        <f t="shared" si="8"/>
        <v>$S$21:$S$36</v>
      </c>
      <c r="U30">
        <f t="shared" ca="1" si="9"/>
        <v>1</v>
      </c>
      <c r="V30" t="str">
        <f t="shared" si="10"/>
        <v>$U$21:$U$30</v>
      </c>
      <c r="W30" s="7">
        <f t="shared" ca="1" si="11"/>
        <v>1</v>
      </c>
      <c r="X30" s="57">
        <f t="shared" ca="1" si="12"/>
        <v>23</v>
      </c>
      <c r="Y30" s="58" t="str">
        <f t="shared" ca="1" si="13"/>
        <v>Fun</v>
      </c>
      <c r="Z30" s="60">
        <f t="shared" ca="1" si="14"/>
        <v>203</v>
      </c>
      <c r="AA30" s="60">
        <f t="shared" ca="1" si="15"/>
        <v>250</v>
      </c>
      <c r="AB30" s="59">
        <f t="shared" ca="1" si="16"/>
        <v>0.81200000000000006</v>
      </c>
      <c r="AC30" s="60">
        <f t="shared" ca="1" si="17"/>
        <v>47</v>
      </c>
      <c r="AD30" s="60">
        <f t="shared" ca="1" si="18"/>
        <v>0</v>
      </c>
      <c r="AF30" s="6"/>
      <c r="AI30" s="73" t="str">
        <f ca="1">Calculations!I36</f>
        <v>Medical</v>
      </c>
      <c r="AJ30" s="74">
        <f ca="1">Calculations!J36</f>
        <v>3717</v>
      </c>
      <c r="AK30" s="7"/>
      <c r="AM30" s="6"/>
      <c r="AP30" s="73" t="str">
        <f ca="1">Calculations!M36</f>
        <v/>
      </c>
      <c r="AQ30" s="74" t="str">
        <f ca="1">Calculations!N36</f>
        <v/>
      </c>
      <c r="AR30" s="7"/>
    </row>
    <row r="31" spans="3:44" x14ac:dyDescent="0.2">
      <c r="C31" s="6" cm="1">
        <f t="array" ref="C31">IF(C30=-1,-1,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33</v>
      </c>
      <c r="D31" s="7">
        <f t="shared" si="0"/>
        <v>22</v>
      </c>
      <c r="E31" s="6" cm="1">
        <f t="array" ref="E31">1*OR(row_id=income_header_row, row_id=expenses_header_row, row_id=savings_header_row)</f>
        <v>0</v>
      </c>
      <c r="F31">
        <f t="shared" si="1"/>
        <v>1</v>
      </c>
      <c r="G31" cm="1">
        <f t="array" ref="G31">1*OR(row_id=income_total_row, row_id=expenses_total_row, row_id=savings_total_row)</f>
        <v>0</v>
      </c>
      <c r="H31" s="7">
        <f t="shared" si="2"/>
        <v>0</v>
      </c>
      <c r="I31" s="6" t="str" cm="1">
        <f t="array" ref="I31">IFERROR(INDEX('Budget Planning'!$C:$C, header_row_id),"")</f>
        <v>Expenses</v>
      </c>
      <c r="J31" t="str" cm="1">
        <f t="array" ref="J31">IFERROR(INDEX('Budget Planning'!$C:$C, row_id),"")</f>
        <v>Mortgage</v>
      </c>
      <c r="K31" s="54" cm="1">
        <f t="array" aca="1" ref="K3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3215</v>
      </c>
      <c r="L31" s="55" cm="1">
        <f t="array" aca="1" ref="L31" ca="1">IF(OR(is_header, is_empty), "",
      INDEX('Budget Planning'!$E:$EM, row_id,
                  MATCH(IF(selected_period="Total Year", selected_year, DATE(selected_year, selected_period, 1)), 'Budget Planning'!$E$9:$EM$9, 0)  ))</f>
        <v>3215</v>
      </c>
      <c r="M31" s="6" cm="1">
        <f t="array" ref="M31">IF(is_cat,
       IF(header_row_id=income_header_row, MATCH(income_min_row, $C:$C, 0),
           IF(header_row_id=expenses_header_row, MATCH(expenses_min_row, $C:$C, 0),
               IF(header_row_id=savings_header_row, MATCH(savings_min_row, $C:$C, 0),""))), "")</f>
        <v>21</v>
      </c>
      <c r="N31" s="7" cm="1">
        <f t="array" ref="N31">IF(is_cat,
       IF(header_row_id=income_header_row, MATCH(income_max_row, $C:$C, 0),
           IF(header_row_id=expenses_header_row, MATCH(expenses_max_row, $C:$C, 0),
               IF(header_row_id=savings_header_row, MATCH(savings_max_row, $C:$C, 0),""))), "")</f>
        <v>36</v>
      </c>
      <c r="O31" s="6" t="str">
        <f t="shared" si="3"/>
        <v>$K$21:$K$36</v>
      </c>
      <c r="P31">
        <f t="shared" ca="1" si="4"/>
        <v>3</v>
      </c>
      <c r="Q31" t="str">
        <f t="shared" si="5"/>
        <v>$L$21:$L$36</v>
      </c>
      <c r="R31" s="7">
        <f t="shared" ca="1" si="6"/>
        <v>1</v>
      </c>
      <c r="S31" s="6">
        <f t="shared" ca="1" si="7"/>
        <v>301</v>
      </c>
      <c r="T31" t="str">
        <f t="shared" si="8"/>
        <v>$S$21:$S$36</v>
      </c>
      <c r="U31">
        <f t="shared" ca="1" si="9"/>
        <v>3</v>
      </c>
      <c r="V31" t="str">
        <f t="shared" si="10"/>
        <v>$U$21:$U$31</v>
      </c>
      <c r="W31" s="7">
        <f t="shared" ca="1" si="11"/>
        <v>3</v>
      </c>
      <c r="X31" s="57">
        <f t="shared" ca="1" si="12"/>
        <v>25</v>
      </c>
      <c r="Y31" s="58" t="str">
        <f t="shared" ca="1" si="13"/>
        <v>Other</v>
      </c>
      <c r="Z31" s="60">
        <f t="shared" ca="1" si="14"/>
        <v>138</v>
      </c>
      <c r="AA31" s="60">
        <f t="shared" ca="1" si="15"/>
        <v>200</v>
      </c>
      <c r="AB31" s="59">
        <f t="shared" ca="1" si="16"/>
        <v>0.69</v>
      </c>
      <c r="AC31" s="60">
        <f t="shared" ca="1" si="17"/>
        <v>62</v>
      </c>
      <c r="AD31" s="60">
        <f t="shared" ca="1" si="18"/>
        <v>0</v>
      </c>
      <c r="AF31" s="6"/>
      <c r="AI31" s="73" t="str">
        <f ca="1">Calculations!I37</f>
        <v>Mortgage</v>
      </c>
      <c r="AJ31" s="74">
        <f ca="1">Calculations!J37</f>
        <v>3215</v>
      </c>
      <c r="AK31" s="7"/>
      <c r="AM31" s="6"/>
      <c r="AP31" s="73" t="str">
        <f ca="1">Calculations!M37</f>
        <v/>
      </c>
      <c r="AQ31" s="74" t="str">
        <f ca="1">Calculations!N37</f>
        <v/>
      </c>
      <c r="AR31" s="7"/>
    </row>
    <row r="32" spans="3:44" x14ac:dyDescent="0.2">
      <c r="C32" s="6" cm="1">
        <f t="array" ref="C32">IF(C31=-1,-1,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34</v>
      </c>
      <c r="D32" s="7">
        <f t="shared" si="0"/>
        <v>22</v>
      </c>
      <c r="E32" s="6" cm="1">
        <f t="array" ref="E32">1*OR(row_id=income_header_row, row_id=expenses_header_row, row_id=savings_header_row)</f>
        <v>0</v>
      </c>
      <c r="F32">
        <f t="shared" si="1"/>
        <v>1</v>
      </c>
      <c r="G32" cm="1">
        <f t="array" ref="G32">1*OR(row_id=income_total_row, row_id=expenses_total_row, row_id=savings_total_row)</f>
        <v>0</v>
      </c>
      <c r="H32" s="7">
        <f t="shared" si="2"/>
        <v>0</v>
      </c>
      <c r="I32" s="6" t="str" cm="1">
        <f t="array" ref="I32">IFERROR(INDEX('Budget Planning'!$C:$C, header_row_id),"")</f>
        <v>Expenses</v>
      </c>
      <c r="J32" t="str" cm="1">
        <f t="array" ref="J32">IFERROR(INDEX('Budget Planning'!$C:$C, row_id),"")</f>
        <v>Utilities</v>
      </c>
      <c r="K32" s="54" cm="1">
        <f t="array" aca="1" ref="K3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439</v>
      </c>
      <c r="L32" s="55" cm="1">
        <f t="array" aca="1" ref="L32" ca="1">IF(OR(is_header, is_empty), "",
      INDEX('Budget Planning'!$E:$EM, row_id,
                  MATCH(IF(selected_period="Total Year", selected_year, DATE(selected_year, selected_period, 1)), 'Budget Planning'!$E$9:$EM$9, 0)  ))</f>
        <v>350</v>
      </c>
      <c r="M32" s="6" cm="1">
        <f t="array" ref="M32">IF(is_cat,
       IF(header_row_id=income_header_row, MATCH(income_min_row, $C:$C, 0),
           IF(header_row_id=expenses_header_row, MATCH(expenses_min_row, $C:$C, 0),
               IF(header_row_id=savings_header_row, MATCH(savings_min_row, $C:$C, 0),""))), "")</f>
        <v>21</v>
      </c>
      <c r="N32" s="7" cm="1">
        <f t="array" ref="N32">IF(is_cat,
       IF(header_row_id=income_header_row, MATCH(income_max_row, $C:$C, 0),
           IF(header_row_id=expenses_header_row, MATCH(expenses_max_row, $C:$C, 0),
               IF(header_row_id=savings_header_row, MATCH(savings_max_row, $C:$C, 0),""))), "")</f>
        <v>36</v>
      </c>
      <c r="O32" s="6" t="str">
        <f t="shared" si="3"/>
        <v>$K$21:$K$36</v>
      </c>
      <c r="P32">
        <f t="shared" ca="1" si="4"/>
        <v>6</v>
      </c>
      <c r="Q32" t="str">
        <f t="shared" si="5"/>
        <v>$L$21:$L$36</v>
      </c>
      <c r="R32" s="7">
        <f t="shared" ca="1" si="6"/>
        <v>4</v>
      </c>
      <c r="S32" s="6">
        <f t="shared" ca="1" si="7"/>
        <v>604</v>
      </c>
      <c r="T32" t="str">
        <f t="shared" si="8"/>
        <v>$S$21:$S$36</v>
      </c>
      <c r="U32">
        <f t="shared" ca="1" si="9"/>
        <v>6</v>
      </c>
      <c r="V32" t="str">
        <f t="shared" si="10"/>
        <v>$U$21:$U$32</v>
      </c>
      <c r="W32" s="7">
        <f t="shared" ca="1" si="11"/>
        <v>6</v>
      </c>
      <c r="X32" s="57">
        <f t="shared" ca="1" si="12"/>
        <v>28</v>
      </c>
      <c r="Y32" s="58" t="str">
        <f t="shared" ca="1" si="13"/>
        <v>Maya</v>
      </c>
      <c r="Z32" s="60">
        <f t="shared" ca="1" si="14"/>
        <v>130</v>
      </c>
      <c r="AA32" s="60">
        <f t="shared" ca="1" si="15"/>
        <v>50</v>
      </c>
      <c r="AB32" s="59">
        <f t="shared" ca="1" si="16"/>
        <v>2.6</v>
      </c>
      <c r="AC32" s="60">
        <f t="shared" ca="1" si="17"/>
        <v>0</v>
      </c>
      <c r="AD32" s="60">
        <f t="shared" ca="1" si="18"/>
        <v>80</v>
      </c>
      <c r="AF32" s="6"/>
      <c r="AI32" s="73" t="str">
        <f ca="1">Calculations!I38</f>
        <v>Groceries</v>
      </c>
      <c r="AJ32" s="74">
        <f ca="1">Calculations!J38</f>
        <v>634</v>
      </c>
      <c r="AK32" s="7"/>
      <c r="AM32" s="6"/>
      <c r="AP32" s="73" t="str">
        <f ca="1">Calculations!M38</f>
        <v/>
      </c>
      <c r="AQ32" s="74" t="str">
        <f ca="1">Calculations!N38</f>
        <v/>
      </c>
      <c r="AR32" s="7"/>
    </row>
    <row r="33" spans="3:44" x14ac:dyDescent="0.2">
      <c r="C33" s="6" cm="1">
        <f t="array" ref="C33">IF(C32=-1,-1,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35</v>
      </c>
      <c r="D33" s="7">
        <f t="shared" si="0"/>
        <v>22</v>
      </c>
      <c r="E33" s="6" cm="1">
        <f t="array" ref="E33">1*OR(row_id=income_header_row, row_id=expenses_header_row, row_id=savings_header_row)</f>
        <v>0</v>
      </c>
      <c r="F33">
        <f t="shared" si="1"/>
        <v>1</v>
      </c>
      <c r="G33" cm="1">
        <f t="array" ref="G33">1*OR(row_id=income_total_row, row_id=expenses_total_row, row_id=savings_total_row)</f>
        <v>0</v>
      </c>
      <c r="H33" s="7">
        <f t="shared" si="2"/>
        <v>0</v>
      </c>
      <c r="I33" s="6" t="str" cm="1">
        <f t="array" ref="I33">IFERROR(INDEX('Budget Planning'!$C:$C, header_row_id),"")</f>
        <v>Expenses</v>
      </c>
      <c r="J33" t="str" cm="1">
        <f t="array" ref="J33">IFERROR(INDEX('Budget Planning'!$C:$C, row_id),"")</f>
        <v>Subscriptions</v>
      </c>
      <c r="K33" s="54" cm="1">
        <f t="array" aca="1" ref="K3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424</v>
      </c>
      <c r="L33" s="55" cm="1">
        <f t="array" aca="1" ref="L33" ca="1">IF(OR(is_header, is_empty), "",
      INDEX('Budget Planning'!$E:$EM, row_id,
                  MATCH(IF(selected_period="Total Year", selected_year, DATE(selected_year, selected_period, 1)), 'Budget Planning'!$E$9:$EM$9, 0)  ))</f>
        <v>180</v>
      </c>
      <c r="M33" s="6" cm="1">
        <f t="array" ref="M33">IF(is_cat,
       IF(header_row_id=income_header_row, MATCH(income_min_row, $C:$C, 0),
           IF(header_row_id=expenses_header_row, MATCH(expenses_min_row, $C:$C, 0),
               IF(header_row_id=savings_header_row, MATCH(savings_min_row, $C:$C, 0),""))), "")</f>
        <v>21</v>
      </c>
      <c r="N33" s="7" cm="1">
        <f t="array" ref="N33">IF(is_cat,
       IF(header_row_id=income_header_row, MATCH(income_max_row, $C:$C, 0),
           IF(header_row_id=expenses_header_row, MATCH(expenses_max_row, $C:$C, 0),
               IF(header_row_id=savings_header_row, MATCH(savings_max_row, $C:$C, 0),""))), "")</f>
        <v>36</v>
      </c>
      <c r="O33" s="6" t="str">
        <f t="shared" si="3"/>
        <v>$K$21:$K$36</v>
      </c>
      <c r="P33">
        <f t="shared" ca="1" si="4"/>
        <v>7</v>
      </c>
      <c r="Q33" t="str">
        <f t="shared" si="5"/>
        <v>$L$21:$L$36</v>
      </c>
      <c r="R33" s="7">
        <f t="shared" ca="1" si="6"/>
        <v>11</v>
      </c>
      <c r="S33" s="6">
        <f t="shared" ca="1" si="7"/>
        <v>711</v>
      </c>
      <c r="T33" t="str">
        <f t="shared" si="8"/>
        <v>$S$21:$S$36</v>
      </c>
      <c r="U33">
        <f t="shared" ca="1" si="9"/>
        <v>7</v>
      </c>
      <c r="V33" t="str">
        <f t="shared" si="10"/>
        <v>$U$21:$U$33</v>
      </c>
      <c r="W33" s="7">
        <f t="shared" ca="1" si="11"/>
        <v>7</v>
      </c>
      <c r="X33" s="57">
        <f t="shared" ca="1" si="12"/>
        <v>29</v>
      </c>
      <c r="Y33" s="58" t="str">
        <f t="shared" ca="1" si="13"/>
        <v>Transport</v>
      </c>
      <c r="Z33" s="60">
        <f t="shared" ca="1" si="14"/>
        <v>10</v>
      </c>
      <c r="AA33" s="60">
        <f t="shared" ca="1" si="15"/>
        <v>50</v>
      </c>
      <c r="AB33" s="59">
        <f t="shared" ca="1" si="16"/>
        <v>0.2</v>
      </c>
      <c r="AC33" s="60">
        <f t="shared" ca="1" si="17"/>
        <v>40</v>
      </c>
      <c r="AD33" s="60">
        <f t="shared" ca="1" si="18"/>
        <v>0</v>
      </c>
      <c r="AF33" s="6"/>
      <c r="AI33" s="73" t="str">
        <f ca="1">Calculations!I39</f>
        <v>Baby</v>
      </c>
      <c r="AJ33" s="74">
        <f ca="1">Calculations!J39</f>
        <v>614</v>
      </c>
      <c r="AK33" s="7"/>
      <c r="AM33" s="6"/>
      <c r="AP33" s="73" t="str">
        <f>Calculations!M39</f>
        <v/>
      </c>
      <c r="AQ33" s="74" t="str">
        <f>Calculations!N39</f>
        <v/>
      </c>
      <c r="AR33" s="7"/>
    </row>
    <row r="34" spans="3:44" x14ac:dyDescent="0.2">
      <c r="C34" s="6" cm="1">
        <f t="array" ref="C34">IF(C33=-1,-1,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36</v>
      </c>
      <c r="D34" s="7">
        <f t="shared" si="0"/>
        <v>22</v>
      </c>
      <c r="E34" s="6" cm="1">
        <f t="array" ref="E34">1*OR(row_id=income_header_row, row_id=expenses_header_row, row_id=savings_header_row)</f>
        <v>0</v>
      </c>
      <c r="F34">
        <f t="shared" si="1"/>
        <v>1</v>
      </c>
      <c r="G34" cm="1">
        <f t="array" ref="G34">1*OR(row_id=income_total_row, row_id=expenses_total_row, row_id=savings_total_row)</f>
        <v>0</v>
      </c>
      <c r="H34" s="7">
        <f t="shared" si="2"/>
        <v>0</v>
      </c>
      <c r="I34" s="6" t="str" cm="1">
        <f t="array" ref="I34">IFERROR(INDEX('Budget Planning'!$C:$C, header_row_id),"")</f>
        <v>Expenses</v>
      </c>
      <c r="J34" t="str" cm="1">
        <f t="array" ref="J34">IFERROR(INDEX('Budget Planning'!$C:$C, row_id),"")</f>
        <v>Vacation</v>
      </c>
      <c r="K34" s="54" cm="1">
        <f t="array" aca="1" ref="K3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34" s="55" cm="1">
        <f t="array" aca="1" ref="L34" ca="1">IF(OR(is_header, is_empty), "",
      INDEX('Budget Planning'!$E:$EM, row_id,
                  MATCH(IF(selected_period="Total Year", selected_year, DATE(selected_year, selected_period, 1)), 'Budget Planning'!$E$9:$EM$9, 0)  ))</f>
        <v>0</v>
      </c>
      <c r="M34" s="6" cm="1">
        <f t="array" ref="M34">IF(is_cat,
       IF(header_row_id=income_header_row, MATCH(income_min_row, $C:$C, 0),
           IF(header_row_id=expenses_header_row, MATCH(expenses_min_row, $C:$C, 0),
               IF(header_row_id=savings_header_row, MATCH(savings_min_row, $C:$C, 0),""))), "")</f>
        <v>21</v>
      </c>
      <c r="N34" s="7" cm="1">
        <f t="array" ref="N34">IF(is_cat,
       IF(header_row_id=income_header_row, MATCH(income_max_row, $C:$C, 0),
           IF(header_row_id=expenses_header_row, MATCH(expenses_max_row, $C:$C, 0),
               IF(header_row_id=savings_header_row, MATCH(savings_max_row, $C:$C, 0),""))), "")</f>
        <v>36</v>
      </c>
      <c r="O34" s="6" t="str">
        <f t="shared" si="3"/>
        <v>$K$21:$K$36</v>
      </c>
      <c r="P34">
        <f t="shared" ca="1" si="4"/>
        <v>14</v>
      </c>
      <c r="Q34" t="str">
        <f t="shared" si="5"/>
        <v>$L$21:$L$36</v>
      </c>
      <c r="R34" s="7">
        <f t="shared" ca="1" si="6"/>
        <v>16</v>
      </c>
      <c r="S34" s="6">
        <f t="shared" ca="1" si="7"/>
        <v>1416</v>
      </c>
      <c r="T34" t="str">
        <f t="shared" si="8"/>
        <v>$S$21:$S$36</v>
      </c>
      <c r="U34">
        <f t="shared" ca="1" si="9"/>
        <v>16</v>
      </c>
      <c r="V34" t="str">
        <f t="shared" si="10"/>
        <v>$U$21:$U$34</v>
      </c>
      <c r="W34" s="7">
        <f t="shared" ca="1" si="11"/>
        <v>16</v>
      </c>
      <c r="X34" s="57">
        <f t="shared" ca="1" si="12"/>
        <v>38</v>
      </c>
      <c r="Y34" s="58" t="str">
        <f t="shared" ca="1" si="13"/>
        <v>Clothes</v>
      </c>
      <c r="Z34" s="60">
        <f t="shared" ca="1" si="14"/>
        <v>0</v>
      </c>
      <c r="AA34" s="60">
        <f t="shared" ca="1" si="15"/>
        <v>200</v>
      </c>
      <c r="AB34" s="59">
        <f t="shared" ca="1" si="16"/>
        <v>0</v>
      </c>
      <c r="AC34" s="60">
        <f t="shared" ca="1" si="17"/>
        <v>200</v>
      </c>
      <c r="AD34" s="60">
        <f t="shared" ca="1" si="18"/>
        <v>0</v>
      </c>
      <c r="AF34" s="6"/>
      <c r="AI34" s="73" t="str">
        <f ca="1">Calculations!I40</f>
        <v>Other</v>
      </c>
      <c r="AJ34" s="74">
        <f ca="1">Calculations!J40</f>
        <v>1982</v>
      </c>
      <c r="AK34" s="7"/>
      <c r="AM34" s="6"/>
      <c r="AP34" s="73" t="str">
        <f ca="1">Calculations!M40</f>
        <v/>
      </c>
      <c r="AQ34" s="74" t="str">
        <f ca="1">Calculations!N40</f>
        <v/>
      </c>
      <c r="AR34" s="7"/>
    </row>
    <row r="35" spans="3:44" x14ac:dyDescent="0.2">
      <c r="C35" s="6" cm="1">
        <f t="array" ref="C35">IF(C34=-1,-1,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37</v>
      </c>
      <c r="D35" s="7">
        <f t="shared" si="0"/>
        <v>22</v>
      </c>
      <c r="E35" s="6" cm="1">
        <f t="array" ref="E35">1*OR(row_id=income_header_row, row_id=expenses_header_row, row_id=savings_header_row)</f>
        <v>0</v>
      </c>
      <c r="F35">
        <f t="shared" si="1"/>
        <v>1</v>
      </c>
      <c r="G35" cm="1">
        <f t="array" ref="G35">1*OR(row_id=income_total_row, row_id=expenses_total_row, row_id=savings_total_row)</f>
        <v>0</v>
      </c>
      <c r="H35" s="7">
        <f t="shared" si="2"/>
        <v>0</v>
      </c>
      <c r="I35" s="6" t="str" cm="1">
        <f t="array" ref="I35">IFERROR(INDEX('Budget Planning'!$C:$C, header_row_id),"")</f>
        <v>Expenses</v>
      </c>
      <c r="J35" t="str" cm="1">
        <f t="array" ref="J35">IFERROR(INDEX('Budget Planning'!$C:$C, row_id),"")</f>
        <v>Other</v>
      </c>
      <c r="K35" s="54" cm="1">
        <f t="array" aca="1" ref="K35"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138</v>
      </c>
      <c r="L35" s="55" cm="1">
        <f t="array" aca="1" ref="L35" ca="1">IF(OR(is_header, is_empty), "",
      INDEX('Budget Planning'!$E:$EM, row_id,
                  MATCH(IF(selected_period="Total Year", selected_year, DATE(selected_year, selected_period, 1)), 'Budget Planning'!$E$9:$EM$9, 0)  ))</f>
        <v>200</v>
      </c>
      <c r="M35" s="6" cm="1">
        <f t="array" ref="M35">IF(is_cat,
       IF(header_row_id=income_header_row, MATCH(income_min_row, $C:$C, 0),
           IF(header_row_id=expenses_header_row, MATCH(expenses_min_row, $C:$C, 0),
               IF(header_row_id=savings_header_row, MATCH(savings_min_row, $C:$C, 0),""))), "")</f>
        <v>21</v>
      </c>
      <c r="N35" s="7" cm="1">
        <f t="array" ref="N35">IF(is_cat,
       IF(header_row_id=income_header_row, MATCH(income_max_row, $C:$C, 0),
           IF(header_row_id=expenses_header_row, MATCH(expenses_max_row, $C:$C, 0),
               IF(header_row_id=savings_header_row, MATCH(savings_max_row, $C:$C, 0),""))), "")</f>
        <v>36</v>
      </c>
      <c r="O35" s="6" t="str">
        <f t="shared" si="3"/>
        <v>$K$21:$K$36</v>
      </c>
      <c r="P35">
        <f t="shared" ca="1" si="4"/>
        <v>11</v>
      </c>
      <c r="Q35" t="str">
        <f t="shared" si="5"/>
        <v>$L$21:$L$36</v>
      </c>
      <c r="R35" s="7">
        <f t="shared" ca="1" si="6"/>
        <v>9</v>
      </c>
      <c r="S35" s="6">
        <f t="shared" ca="1" si="7"/>
        <v>1109</v>
      </c>
      <c r="T35" t="str">
        <f t="shared" si="8"/>
        <v>$S$21:$S$36</v>
      </c>
      <c r="U35">
        <f t="shared" ca="1" si="9"/>
        <v>11</v>
      </c>
      <c r="V35" t="str">
        <f t="shared" si="10"/>
        <v>$U$21:$U$35</v>
      </c>
      <c r="W35" s="7">
        <f t="shared" ca="1" si="11"/>
        <v>11</v>
      </c>
      <c r="X35" s="57">
        <f t="shared" ca="1" si="12"/>
        <v>33</v>
      </c>
      <c r="Y35" s="58" t="str">
        <f t="shared" ca="1" si="13"/>
        <v>Hobbies</v>
      </c>
      <c r="Z35" s="60">
        <f t="shared" ca="1" si="14"/>
        <v>0</v>
      </c>
      <c r="AA35" s="60">
        <f t="shared" ca="1" si="15"/>
        <v>100</v>
      </c>
      <c r="AB35" s="59">
        <f t="shared" ca="1" si="16"/>
        <v>0</v>
      </c>
      <c r="AC35" s="60">
        <f t="shared" ca="1" si="17"/>
        <v>100</v>
      </c>
      <c r="AD35" s="60">
        <f t="shared" ca="1" si="18"/>
        <v>0</v>
      </c>
      <c r="AF35" s="6"/>
      <c r="AI35" s="75" t="str">
        <f>Calculations!I41</f>
        <v>Total</v>
      </c>
      <c r="AJ35" s="76">
        <f ca="1">Calculations!J41</f>
        <v>14360</v>
      </c>
      <c r="AK35" s="7"/>
      <c r="AM35" s="6"/>
      <c r="AP35" s="75" t="str">
        <f>Calculations!M41</f>
        <v>Total</v>
      </c>
      <c r="AQ35" s="76">
        <f ca="1">Calculations!N41</f>
        <v>78</v>
      </c>
      <c r="AR35" s="7"/>
    </row>
    <row r="36" spans="3:44" x14ac:dyDescent="0.2">
      <c r="C36" s="6" cm="1">
        <f t="array" ref="C36">IF(C35=-1,-1,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38</v>
      </c>
      <c r="D36" s="7">
        <f t="shared" si="0"/>
        <v>22</v>
      </c>
      <c r="E36" s="6" cm="1">
        <f t="array" ref="E36">1*OR(row_id=income_header_row, row_id=expenses_header_row, row_id=savings_header_row)</f>
        <v>0</v>
      </c>
      <c r="F36">
        <f t="shared" si="1"/>
        <v>1</v>
      </c>
      <c r="G36" cm="1">
        <f t="array" ref="G36">1*OR(row_id=income_total_row, row_id=expenses_total_row, row_id=savings_total_row)</f>
        <v>0</v>
      </c>
      <c r="H36" s="7">
        <f t="shared" si="2"/>
        <v>0</v>
      </c>
      <c r="I36" s="6" t="str" cm="1">
        <f t="array" ref="I36">IFERROR(INDEX('Budget Planning'!$C:$C, header_row_id),"")</f>
        <v>Expenses</v>
      </c>
      <c r="J36" t="str" cm="1">
        <f t="array" ref="J36">IFERROR(INDEX('Budget Planning'!$C:$C, row_id),"")</f>
        <v>Transport</v>
      </c>
      <c r="K36" s="54" cm="1">
        <f t="array" aca="1" ref="K36"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10</v>
      </c>
      <c r="L36" s="55" cm="1">
        <f t="array" aca="1" ref="L36" ca="1">IF(OR(is_header, is_empty), "",
      INDEX('Budget Planning'!$E:$EM, row_id,
                  MATCH(IF(selected_period="Total Year", selected_year, DATE(selected_year, selected_period, 1)), 'Budget Planning'!$E$9:$EM$9, 0)  ))</f>
        <v>50</v>
      </c>
      <c r="M36" s="6" cm="1">
        <f t="array" ref="M36">IF(is_cat,
       IF(header_row_id=income_header_row, MATCH(income_min_row, $C:$C, 0),
           IF(header_row_id=expenses_header_row, MATCH(expenses_min_row, $C:$C, 0),
               IF(header_row_id=savings_header_row, MATCH(savings_min_row, $C:$C, 0),""))), "")</f>
        <v>21</v>
      </c>
      <c r="N36" s="7" cm="1">
        <f t="array" ref="N36">IF(is_cat,
       IF(header_row_id=income_header_row, MATCH(income_max_row, $C:$C, 0),
           IF(header_row_id=expenses_header_row, MATCH(expenses_max_row, $C:$C, 0),
               IF(header_row_id=savings_header_row, MATCH(savings_max_row, $C:$C, 0),""))), "")</f>
        <v>36</v>
      </c>
      <c r="O36" s="6" t="str">
        <f t="shared" si="3"/>
        <v>$K$21:$K$36</v>
      </c>
      <c r="P36">
        <f t="shared" ca="1" si="4"/>
        <v>13</v>
      </c>
      <c r="Q36" t="str">
        <f t="shared" si="5"/>
        <v>$L$21:$L$36</v>
      </c>
      <c r="R36" s="7">
        <f t="shared" ca="1" si="6"/>
        <v>14</v>
      </c>
      <c r="S36" s="6">
        <f t="shared" ca="1" si="7"/>
        <v>1314</v>
      </c>
      <c r="T36" t="str">
        <f t="shared" si="8"/>
        <v>$S$21:$S$36</v>
      </c>
      <c r="U36">
        <f t="shared" ca="1" si="9"/>
        <v>13</v>
      </c>
      <c r="V36" t="str">
        <f t="shared" si="10"/>
        <v>$U$21:$U$36</v>
      </c>
      <c r="W36" s="7">
        <f t="shared" ca="1" si="11"/>
        <v>13</v>
      </c>
      <c r="X36" s="57">
        <f t="shared" ca="1" si="12"/>
        <v>35</v>
      </c>
      <c r="Y36" s="58" t="str">
        <f t="shared" ca="1" si="13"/>
        <v>Vacation</v>
      </c>
      <c r="Z36" s="60">
        <f t="shared" ca="1" si="14"/>
        <v>0</v>
      </c>
      <c r="AA36" s="60">
        <f t="shared" ca="1" si="15"/>
        <v>0</v>
      </c>
      <c r="AB36" s="59" t="str">
        <f t="shared" ca="1" si="16"/>
        <v>-</v>
      </c>
      <c r="AC36" s="60">
        <f t="shared" ca="1" si="17"/>
        <v>0</v>
      </c>
      <c r="AD36" s="60">
        <f t="shared" ca="1" si="18"/>
        <v>0</v>
      </c>
      <c r="AF36" s="6"/>
      <c r="AK36" s="7"/>
      <c r="AM36" s="6"/>
      <c r="AR36" s="7"/>
    </row>
    <row r="37" spans="3:44" x14ac:dyDescent="0.2">
      <c r="C37" s="6" cm="1">
        <f t="array" ref="C37">IF(C36=-1,-1,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102</v>
      </c>
      <c r="D37" s="7">
        <f t="shared" si="0"/>
        <v>22</v>
      </c>
      <c r="E37" s="6" cm="1">
        <f t="array" ref="E37">1*OR(row_id=income_header_row, row_id=expenses_header_row, row_id=savings_header_row)</f>
        <v>0</v>
      </c>
      <c r="F37">
        <f t="shared" si="1"/>
        <v>0</v>
      </c>
      <c r="G37" cm="1">
        <f t="array" ref="G37">1*OR(row_id=income_total_row, row_id=expenses_total_row, row_id=savings_total_row)</f>
        <v>1</v>
      </c>
      <c r="H37" s="7">
        <f t="shared" si="2"/>
        <v>0</v>
      </c>
      <c r="I37" s="6" t="str" cm="1">
        <f t="array" ref="I37">IFERROR(INDEX('Budget Planning'!$C:$C, header_row_id),"")</f>
        <v>Expenses</v>
      </c>
      <c r="J37" t="str" cm="1">
        <f t="array" ref="J37">IFERROR(INDEX('Budget Planning'!$C:$C, row_id),"")</f>
        <v>Total</v>
      </c>
      <c r="K37" s="54" cm="1">
        <f t="array" aca="1" ref="K37"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14360</v>
      </c>
      <c r="L37" s="55" cm="1">
        <f t="array" aca="1" ref="L37" ca="1">IF(OR(is_header, is_empty), "",
      INDEX('Budget Planning'!$E:$EM, row_id,
                  MATCH(IF(selected_period="Total Year", selected_year, DATE(selected_year, selected_period, 1)), 'Budget Planning'!$E$9:$EM$9, 0)  ))</f>
        <v>6745</v>
      </c>
      <c r="M37" s="6" t="str" cm="1">
        <f t="array" ref="M37">IF(is_cat,
       IF(header_row_id=income_header_row, MATCH(income_min_row, $C:$C, 0),
           IF(header_row_id=expenses_header_row, MATCH(expenses_min_row, $C:$C, 0),
               IF(header_row_id=savings_header_row, MATCH(savings_min_row, $C:$C, 0),""))), "")</f>
        <v/>
      </c>
      <c r="N37" s="7" t="str" cm="1">
        <f t="array" ref="N37">IF(is_cat,
       IF(header_row_id=income_header_row, MATCH(income_max_row, $C:$C, 0),
           IF(header_row_id=expenses_header_row, MATCH(expenses_max_row, $C:$C, 0),
               IF(header_row_id=savings_header_row, MATCH(savings_max_row, $C:$C, 0),""))), "")</f>
        <v/>
      </c>
      <c r="O37" s="6" t="str">
        <f t="shared" si="3"/>
        <v/>
      </c>
      <c r="P37" t="str">
        <f t="shared" ca="1" si="4"/>
        <v/>
      </c>
      <c r="Q37" t="str">
        <f t="shared" si="5"/>
        <v/>
      </c>
      <c r="R37" s="7" t="str">
        <f t="shared" ca="1" si="6"/>
        <v/>
      </c>
      <c r="S37" s="6" t="str">
        <f t="shared" si="7"/>
        <v/>
      </c>
      <c r="T37" t="str">
        <f t="shared" si="8"/>
        <v/>
      </c>
      <c r="U37" t="str">
        <f t="shared" ca="1" si="9"/>
        <v/>
      </c>
      <c r="V37" t="str">
        <f t="shared" si="10"/>
        <v/>
      </c>
      <c r="W37" s="7" t="str">
        <f t="shared" ca="1" si="11"/>
        <v/>
      </c>
      <c r="X37" s="57">
        <f t="shared" si="12"/>
        <v>102</v>
      </c>
      <c r="Y37" s="58" t="str">
        <f t="shared" ca="1" si="13"/>
        <v>Total</v>
      </c>
      <c r="Z37" s="60">
        <f t="shared" ca="1" si="14"/>
        <v>14360</v>
      </c>
      <c r="AA37" s="60">
        <f t="shared" ca="1" si="15"/>
        <v>6745</v>
      </c>
      <c r="AB37" s="59">
        <f t="shared" ca="1" si="16"/>
        <v>2.1289844329132692</v>
      </c>
      <c r="AC37" s="60">
        <f ca="1">IF(is_empty, "", IF(is_header, "Remaining", IF(out_budget - out_tracked &gt; 0, out_budget - out_tracked, 0)))</f>
        <v>0</v>
      </c>
      <c r="AD37" s="60">
        <f t="shared" ca="1" si="18"/>
        <v>7615</v>
      </c>
      <c r="AF37" s="8"/>
      <c r="AG37" s="9"/>
      <c r="AH37" s="9"/>
      <c r="AI37" s="9"/>
      <c r="AJ37" s="9"/>
      <c r="AK37" s="10"/>
      <c r="AM37" s="8"/>
      <c r="AN37" s="9"/>
      <c r="AO37" s="9"/>
      <c r="AP37" s="9"/>
      <c r="AQ37" s="9"/>
      <c r="AR37" s="10"/>
    </row>
    <row r="38" spans="3:44" x14ac:dyDescent="0.2">
      <c r="C38" s="6" t="str" cm="1">
        <f t="array" ref="C38">IF(C37=-1,-1,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/2</v>
      </c>
      <c r="D38" s="7">
        <f t="shared" si="0"/>
        <v>-1</v>
      </c>
      <c r="E38" s="6" cm="1">
        <f t="array" ref="E38">1*OR(row_id=income_header_row, row_id=expenses_header_row, row_id=savings_header_row)</f>
        <v>0</v>
      </c>
      <c r="F38">
        <f t="shared" si="1"/>
        <v>0</v>
      </c>
      <c r="G38" cm="1">
        <f t="array" ref="G38">1*OR(row_id=income_total_row, row_id=expenses_total_row, row_id=savings_total_row)</f>
        <v>0</v>
      </c>
      <c r="H38" s="7">
        <f t="shared" si="2"/>
        <v>1</v>
      </c>
      <c r="I38" s="6" t="str" cm="1">
        <f t="array" ref="I38">IFERROR(INDEX('Budget Planning'!$C:$C, header_row_id),"")</f>
        <v/>
      </c>
      <c r="J38" t="str" cm="1">
        <f t="array" ref="J38">IFERROR(INDEX('Budget Planning'!$C:$C, row_id),"")</f>
        <v/>
      </c>
      <c r="K38" s="54" t="str" cm="1">
        <f t="array" ref="K3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8" s="55" t="str" cm="1">
        <f t="array" ref="L38">IF(OR(is_header, is_empty), "",
      INDEX('Budget Planning'!$E:$EM, row_id,
                  MATCH(IF(selected_period="Total Year", selected_year, DATE(selected_year, selected_period, 1)), 'Budget Planning'!$E$9:$EM$9, 0)  ))</f>
        <v/>
      </c>
      <c r="M38" s="6" t="str" cm="1">
        <f t="array" ref="M38">IF(is_cat,
       IF(header_row_id=income_header_row, MATCH(income_min_row, $C:$C, 0),
           IF(header_row_id=expenses_header_row, MATCH(expenses_min_row, $C:$C, 0),
               IF(header_row_id=savings_header_row, MATCH(savings_min_row, $C:$C, 0),""))), "")</f>
        <v/>
      </c>
      <c r="N38" s="7" t="str" cm="1">
        <f t="array" ref="N38">IF(is_cat,
       IF(header_row_id=income_header_row, MATCH(income_max_row, $C:$C, 0),
           IF(header_row_id=expenses_header_row, MATCH(expenses_max_row, $C:$C, 0),
               IF(header_row_id=savings_header_row, MATCH(savings_max_row, $C:$C, 0),""))), "")</f>
        <v/>
      </c>
      <c r="O38" s="6" t="str">
        <f t="shared" si="3"/>
        <v/>
      </c>
      <c r="P38" t="str">
        <f t="shared" ca="1" si="4"/>
        <v/>
      </c>
      <c r="Q38" t="str">
        <f t="shared" si="5"/>
        <v/>
      </c>
      <c r="R38" s="7" t="str">
        <f t="shared" ca="1" si="6"/>
        <v/>
      </c>
      <c r="S38" s="6" t="str">
        <f t="shared" si="7"/>
        <v/>
      </c>
      <c r="T38" t="str">
        <f t="shared" si="8"/>
        <v/>
      </c>
      <c r="U38" t="str">
        <f t="shared" ca="1" si="9"/>
        <v/>
      </c>
      <c r="V38" t="str">
        <f t="shared" si="10"/>
        <v/>
      </c>
      <c r="W38" s="7" t="str">
        <f t="shared" ca="1" si="11"/>
        <v/>
      </c>
      <c r="X38" s="57" t="str">
        <f t="shared" si="12"/>
        <v>/2</v>
      </c>
      <c r="Y38" s="58" t="str">
        <f t="shared" si="13"/>
        <v/>
      </c>
      <c r="Z38" s="60" t="str">
        <f t="shared" si="14"/>
        <v/>
      </c>
      <c r="AA38" s="60" t="str">
        <f t="shared" si="15"/>
        <v/>
      </c>
      <c r="AB38" s="59" t="str">
        <f t="shared" si="16"/>
        <v/>
      </c>
      <c r="AC38" s="60" t="str">
        <f t="shared" si="17"/>
        <v/>
      </c>
      <c r="AD38" s="60" t="str">
        <f t="shared" si="18"/>
        <v/>
      </c>
    </row>
    <row r="39" spans="3:44" x14ac:dyDescent="0.2">
      <c r="C39" s="6" cm="1">
        <f t="array" ref="C39">IF(C38=-1,-1,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104</v>
      </c>
      <c r="D39" s="7">
        <f t="shared" si="0"/>
        <v>104</v>
      </c>
      <c r="E39" s="6" cm="1">
        <f t="array" ref="E39">1*OR(row_id=income_header_row, row_id=expenses_header_row, row_id=savings_header_row)</f>
        <v>1</v>
      </c>
      <c r="F39">
        <f t="shared" si="1"/>
        <v>0</v>
      </c>
      <c r="G39" cm="1">
        <f t="array" ref="G39">1*OR(row_id=income_total_row, row_id=expenses_total_row, row_id=savings_total_row)</f>
        <v>0</v>
      </c>
      <c r="H39" s="7">
        <f t="shared" si="2"/>
        <v>0</v>
      </c>
      <c r="I39" s="6" t="str" cm="1">
        <f t="array" ref="I39">IFERROR(INDEX('Budget Planning'!$C:$C, header_row_id),"")</f>
        <v>Savings</v>
      </c>
      <c r="J39" t="str" cm="1">
        <f t="array" ref="J39">IFERROR(INDEX('Budget Planning'!$C:$C, row_id),"")</f>
        <v>Savings</v>
      </c>
      <c r="K39" s="54" t="str" cm="1">
        <f t="array" ref="K3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39" s="55" t="str" cm="1">
        <f t="array" ref="L39">IF(OR(is_header, is_empty), "",
      INDEX('Budget Planning'!$E:$EM, row_id,
                  MATCH(IF(selected_period="Total Year", selected_year, DATE(selected_year, selected_period, 1)), 'Budget Planning'!$E$9:$EM$9, 0)  ))</f>
        <v/>
      </c>
      <c r="M39" s="6" t="str" cm="1">
        <f t="array" ref="M39">IF(is_cat,
       IF(header_row_id=income_header_row, MATCH(income_min_row, $C:$C, 0),
           IF(header_row_id=expenses_header_row, MATCH(expenses_min_row, $C:$C, 0),
               IF(header_row_id=savings_header_row, MATCH(savings_min_row, $C:$C, 0),""))), "")</f>
        <v/>
      </c>
      <c r="N39" s="7" t="str" cm="1">
        <f t="array" ref="N39">IF(is_cat,
       IF(header_row_id=income_header_row, MATCH(income_max_row, $C:$C, 0),
           IF(header_row_id=expenses_header_row, MATCH(expenses_max_row, $C:$C, 0),
               IF(header_row_id=savings_header_row, MATCH(savings_max_row, $C:$C, 0),""))), "")</f>
        <v/>
      </c>
      <c r="O39" s="6" t="str">
        <f t="shared" si="3"/>
        <v/>
      </c>
      <c r="P39" t="str">
        <f t="shared" ca="1" si="4"/>
        <v/>
      </c>
      <c r="Q39" t="str">
        <f t="shared" si="5"/>
        <v/>
      </c>
      <c r="R39" s="7" t="str">
        <f t="shared" ca="1" si="6"/>
        <v/>
      </c>
      <c r="S39" s="6" t="str">
        <f t="shared" si="7"/>
        <v/>
      </c>
      <c r="T39" t="str">
        <f t="shared" si="8"/>
        <v/>
      </c>
      <c r="U39" t="str">
        <f t="shared" ca="1" si="9"/>
        <v/>
      </c>
      <c r="V39" t="str">
        <f t="shared" si="10"/>
        <v/>
      </c>
      <c r="W39" s="7" t="str">
        <f t="shared" ca="1" si="11"/>
        <v/>
      </c>
      <c r="X39" s="57">
        <f t="shared" si="12"/>
        <v>104</v>
      </c>
      <c r="Y39" s="58" t="str">
        <f t="shared" ca="1" si="13"/>
        <v>Savings</v>
      </c>
      <c r="Z39" s="60" t="str">
        <f t="shared" si="14"/>
        <v>Tracked</v>
      </c>
      <c r="AA39" s="60" t="str">
        <f t="shared" si="15"/>
        <v>Budget</v>
      </c>
      <c r="AB39" s="59" t="str">
        <f t="shared" si="16"/>
        <v>% Compl.</v>
      </c>
      <c r="AC39" s="60" t="str">
        <f t="shared" si="17"/>
        <v>Remaining</v>
      </c>
      <c r="AD39" s="60" t="str">
        <f t="shared" si="18"/>
        <v>Excess</v>
      </c>
    </row>
    <row r="40" spans="3:44" x14ac:dyDescent="0.2">
      <c r="C40" s="6" cm="1">
        <f t="array" ref="C40">IF(C39=-1,-1,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105</v>
      </c>
      <c r="D40" s="7">
        <f t="shared" si="0"/>
        <v>104</v>
      </c>
      <c r="E40" s="6" cm="1">
        <f t="array" ref="E40">1*OR(row_id=income_header_row, row_id=expenses_header_row, row_id=savings_header_row)</f>
        <v>0</v>
      </c>
      <c r="F40">
        <f t="shared" si="1"/>
        <v>1</v>
      </c>
      <c r="G40" cm="1">
        <f t="array" ref="G40">1*OR(row_id=income_total_row, row_id=expenses_total_row, row_id=savings_total_row)</f>
        <v>0</v>
      </c>
      <c r="H40" s="7">
        <f t="shared" si="2"/>
        <v>0</v>
      </c>
      <c r="I40" s="6" t="str" cm="1">
        <f t="array" ref="I40">IFERROR(INDEX('Budget Planning'!$C:$C, header_row_id),"")</f>
        <v>Savings</v>
      </c>
      <c r="J40" t="str" cm="1">
        <f t="array" ref="J40">IFERROR(INDEX('Budget Planning'!$C:$C, row_id),"")</f>
        <v>Metlife</v>
      </c>
      <c r="K40" s="54" cm="1">
        <f t="array" aca="1" ref="K40"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78</v>
      </c>
      <c r="L40" s="55" cm="1">
        <f t="array" aca="1" ref="L40" ca="1">IF(OR(is_header, is_empty), "",
      INDEX('Budget Planning'!$E:$EM, row_id,
                  MATCH(IF(selected_period="Total Year", selected_year, DATE(selected_year, selected_period, 1)), 'Budget Planning'!$E$9:$EM$9, 0)  ))</f>
        <v>78</v>
      </c>
      <c r="M40" s="6" cm="1">
        <f t="array" ref="M40">IF(is_cat,
       IF(header_row_id=income_header_row, MATCH(income_min_row, $C:$C, 0),
           IF(header_row_id=expenses_header_row, MATCH(expenses_min_row, $C:$C, 0),
               IF(header_row_id=savings_header_row, MATCH(savings_min_row, $C:$C, 0),""))), "")</f>
        <v>40</v>
      </c>
      <c r="N40" s="7" cm="1">
        <f t="array" ref="N40">IF(is_cat,
       IF(header_row_id=income_header_row, MATCH(income_max_row, $C:$C, 0),
           IF(header_row_id=expenses_header_row, MATCH(expenses_max_row, $C:$C, 0),
               IF(header_row_id=savings_header_row, MATCH(savings_max_row, $C:$C, 0),""))), "")</f>
        <v>43</v>
      </c>
      <c r="O40" s="6" t="str">
        <f t="shared" si="3"/>
        <v>$K$40:$K$43</v>
      </c>
      <c r="P40">
        <f t="shared" ca="1" si="4"/>
        <v>1</v>
      </c>
      <c r="Q40" t="str">
        <f t="shared" si="5"/>
        <v>$L$40:$L$43</v>
      </c>
      <c r="R40" s="7">
        <f t="shared" ca="1" si="6"/>
        <v>3</v>
      </c>
      <c r="S40" s="6">
        <f t="shared" ca="1" si="7"/>
        <v>103</v>
      </c>
      <c r="T40" t="str">
        <f t="shared" si="8"/>
        <v>$S$40:$S$43</v>
      </c>
      <c r="U40">
        <f t="shared" ca="1" si="9"/>
        <v>1</v>
      </c>
      <c r="V40" t="str">
        <f t="shared" si="10"/>
        <v>$U$40:$U$40</v>
      </c>
      <c r="W40" s="7">
        <f t="shared" ca="1" si="11"/>
        <v>1</v>
      </c>
      <c r="X40" s="57">
        <f t="shared" ca="1" si="12"/>
        <v>105</v>
      </c>
      <c r="Y40" s="58" t="str">
        <f t="shared" ca="1" si="13"/>
        <v>Metlife</v>
      </c>
      <c r="Z40" s="60">
        <f t="shared" ca="1" si="14"/>
        <v>78</v>
      </c>
      <c r="AA40" s="60">
        <f t="shared" ca="1" si="15"/>
        <v>78</v>
      </c>
      <c r="AB40" s="59">
        <f t="shared" ca="1" si="16"/>
        <v>1</v>
      </c>
      <c r="AC40" s="60">
        <f t="shared" ca="1" si="17"/>
        <v>0</v>
      </c>
      <c r="AD40" s="60">
        <f t="shared" ca="1" si="18"/>
        <v>0</v>
      </c>
    </row>
    <row r="41" spans="3:44" x14ac:dyDescent="0.2">
      <c r="C41" s="6" cm="1">
        <f t="array" ref="C41">IF(C40=-1,-1,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106</v>
      </c>
      <c r="D41" s="7">
        <f t="shared" si="0"/>
        <v>104</v>
      </c>
      <c r="E41" s="6" cm="1">
        <f t="array" ref="E41">1*OR(row_id=income_header_row, row_id=expenses_header_row, row_id=savings_header_row)</f>
        <v>0</v>
      </c>
      <c r="F41">
        <f t="shared" si="1"/>
        <v>1</v>
      </c>
      <c r="G41" cm="1">
        <f t="array" ref="G41">1*OR(row_id=income_total_row, row_id=expenses_total_row, row_id=savings_total_row)</f>
        <v>0</v>
      </c>
      <c r="H41" s="7">
        <f t="shared" si="2"/>
        <v>0</v>
      </c>
      <c r="I41" s="6" t="str" cm="1">
        <f t="array" ref="I41">IFERROR(INDEX('Budget Planning'!$C:$C, header_row_id),"")</f>
        <v>Savings</v>
      </c>
      <c r="J41" t="str" cm="1">
        <f t="array" ref="J41">IFERROR(INDEX('Budget Planning'!$C:$C, row_id),"")</f>
        <v>Avi Savings</v>
      </c>
      <c r="K41" s="54" cm="1">
        <f t="array" aca="1" ref="K41"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41" s="55" cm="1">
        <f t="array" aca="1" ref="L41" ca="1">IF(OR(is_header, is_empty), "",
      INDEX('Budget Planning'!$E:$EM, row_id,
                  MATCH(IF(selected_period="Total Year", selected_year, DATE(selected_year, selected_period, 1)), 'Budget Planning'!$E$9:$EM$9, 0)  ))</f>
        <v>200</v>
      </c>
      <c r="M41" s="6" cm="1">
        <f t="array" ref="M41">IF(is_cat,
       IF(header_row_id=income_header_row, MATCH(income_min_row, $C:$C, 0),
           IF(header_row_id=expenses_header_row, MATCH(expenses_min_row, $C:$C, 0),
               IF(header_row_id=savings_header_row, MATCH(savings_min_row, $C:$C, 0),""))), "")</f>
        <v>40</v>
      </c>
      <c r="N41" s="7" cm="1">
        <f t="array" ref="N41">IF(is_cat,
       IF(header_row_id=income_header_row, MATCH(income_max_row, $C:$C, 0),
           IF(header_row_id=expenses_header_row, MATCH(expenses_max_row, $C:$C, 0),
               IF(header_row_id=savings_header_row, MATCH(savings_max_row, $C:$C, 0),""))), "")</f>
        <v>43</v>
      </c>
      <c r="O41" s="6" t="str">
        <f t="shared" si="3"/>
        <v>$K$40:$K$43</v>
      </c>
      <c r="P41">
        <f t="shared" ca="1" si="4"/>
        <v>2</v>
      </c>
      <c r="Q41" t="str">
        <f t="shared" si="5"/>
        <v>$L$40:$L$43</v>
      </c>
      <c r="R41" s="7">
        <f t="shared" ca="1" si="6"/>
        <v>2</v>
      </c>
      <c r="S41" s="6">
        <f t="shared" ca="1" si="7"/>
        <v>202</v>
      </c>
      <c r="T41" t="str">
        <f t="shared" si="8"/>
        <v>$S$40:$S$43</v>
      </c>
      <c r="U41">
        <f t="shared" ca="1" si="9"/>
        <v>3</v>
      </c>
      <c r="V41" t="str">
        <f t="shared" si="10"/>
        <v>$U$40:$U$41</v>
      </c>
      <c r="W41" s="7">
        <f t="shared" ca="1" si="11"/>
        <v>3</v>
      </c>
      <c r="X41" s="57">
        <f t="shared" ca="1" si="12"/>
        <v>107</v>
      </c>
      <c r="Y41" s="58" t="str">
        <f t="shared" ca="1" si="13"/>
        <v>Savings</v>
      </c>
      <c r="Z41" s="60">
        <f t="shared" ca="1" si="14"/>
        <v>0</v>
      </c>
      <c r="AA41" s="60">
        <f t="shared" ca="1" si="15"/>
        <v>927</v>
      </c>
      <c r="AB41" s="59">
        <f t="shared" ca="1" si="16"/>
        <v>0</v>
      </c>
      <c r="AC41" s="60">
        <f t="shared" ca="1" si="17"/>
        <v>927</v>
      </c>
      <c r="AD41" s="60">
        <f t="shared" ca="1" si="18"/>
        <v>0</v>
      </c>
    </row>
    <row r="42" spans="3:44" x14ac:dyDescent="0.2">
      <c r="C42" s="6" cm="1">
        <f t="array" ref="C42">IF(C41=-1,-1,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107</v>
      </c>
      <c r="D42" s="7">
        <f t="shared" si="0"/>
        <v>104</v>
      </c>
      <c r="E42" s="6" cm="1">
        <f t="array" ref="E42">1*OR(row_id=income_header_row, row_id=expenses_header_row, row_id=savings_header_row)</f>
        <v>0</v>
      </c>
      <c r="F42">
        <f t="shared" si="1"/>
        <v>1</v>
      </c>
      <c r="G42" cm="1">
        <f t="array" ref="G42">1*OR(row_id=income_total_row, row_id=expenses_total_row, row_id=savings_total_row)</f>
        <v>0</v>
      </c>
      <c r="H42" s="7">
        <f t="shared" si="2"/>
        <v>0</v>
      </c>
      <c r="I42" s="6" t="str" cm="1">
        <f t="array" ref="I42">IFERROR(INDEX('Budget Planning'!$C:$C, header_row_id),"")</f>
        <v>Savings</v>
      </c>
      <c r="J42" t="str" cm="1">
        <f t="array" ref="J42">IFERROR(INDEX('Budget Planning'!$C:$C, row_id),"")</f>
        <v>Emergency Fund</v>
      </c>
      <c r="K42" s="54" cm="1">
        <f t="array" aca="1" ref="K42"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42" s="55" cm="1">
        <f t="array" aca="1" ref="L42" ca="1">IF(OR(is_header, is_empty), "",
      INDEX('Budget Planning'!$E:$EM, row_id,
                  MATCH(IF(selected_period="Total Year", selected_year, DATE(selected_year, selected_period, 1)), 'Budget Planning'!$E$9:$EM$9, 0)  ))</f>
        <v>0</v>
      </c>
      <c r="M42" s="6" cm="1">
        <f t="array" ref="M42">IF(is_cat,
       IF(header_row_id=income_header_row, MATCH(income_min_row, $C:$C, 0),
           IF(header_row_id=expenses_header_row, MATCH(expenses_min_row, $C:$C, 0),
               IF(header_row_id=savings_header_row, MATCH(savings_min_row, $C:$C, 0),""))), "")</f>
        <v>40</v>
      </c>
      <c r="N42" s="7" cm="1">
        <f t="array" ref="N42">IF(is_cat,
       IF(header_row_id=income_header_row, MATCH(income_max_row, $C:$C, 0),
           IF(header_row_id=expenses_header_row, MATCH(expenses_max_row, $C:$C, 0),
               IF(header_row_id=savings_header_row, MATCH(savings_max_row, $C:$C, 0),""))), "")</f>
        <v>43</v>
      </c>
      <c r="O42" s="6" t="str">
        <f t="shared" si="3"/>
        <v>$K$40:$K$43</v>
      </c>
      <c r="P42">
        <f t="shared" ca="1" si="4"/>
        <v>2</v>
      </c>
      <c r="Q42" t="str">
        <f t="shared" si="5"/>
        <v>$L$40:$L$43</v>
      </c>
      <c r="R42" s="7">
        <f t="shared" ca="1" si="6"/>
        <v>4</v>
      </c>
      <c r="S42" s="6">
        <f t="shared" ca="1" si="7"/>
        <v>204</v>
      </c>
      <c r="T42" t="str">
        <f t="shared" si="8"/>
        <v>$S$40:$S$43</v>
      </c>
      <c r="U42">
        <f t="shared" ca="1" si="9"/>
        <v>4</v>
      </c>
      <c r="V42" t="str">
        <f t="shared" si="10"/>
        <v>$U$40:$U$42</v>
      </c>
      <c r="W42" s="7">
        <f t="shared" ca="1" si="11"/>
        <v>4</v>
      </c>
      <c r="X42" s="57">
        <f t="shared" ca="1" si="12"/>
        <v>108</v>
      </c>
      <c r="Y42" s="58" t="str">
        <f t="shared" ca="1" si="13"/>
        <v>Avi Savings</v>
      </c>
      <c r="Z42" s="60">
        <f t="shared" ca="1" si="14"/>
        <v>0</v>
      </c>
      <c r="AA42" s="60">
        <f t="shared" ca="1" si="15"/>
        <v>200</v>
      </c>
      <c r="AB42" s="59">
        <f t="shared" ca="1" si="16"/>
        <v>0</v>
      </c>
      <c r="AC42" s="60">
        <f t="shared" ca="1" si="17"/>
        <v>200</v>
      </c>
      <c r="AD42" s="60">
        <f t="shared" ca="1" si="18"/>
        <v>0</v>
      </c>
    </row>
    <row r="43" spans="3:44" x14ac:dyDescent="0.2">
      <c r="C43" s="6" cm="1">
        <f t="array" ref="C43">IF(C42=-1,-1,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108</v>
      </c>
      <c r="D43" s="7">
        <f t="shared" si="0"/>
        <v>104</v>
      </c>
      <c r="E43" s="6" cm="1">
        <f t="array" ref="E43">1*OR(row_id=income_header_row, row_id=expenses_header_row, row_id=savings_header_row)</f>
        <v>0</v>
      </c>
      <c r="F43">
        <f t="shared" si="1"/>
        <v>1</v>
      </c>
      <c r="G43" cm="1">
        <f t="array" ref="G43">1*OR(row_id=income_total_row, row_id=expenses_total_row, row_id=savings_total_row)</f>
        <v>0</v>
      </c>
      <c r="H43" s="7">
        <f t="shared" si="2"/>
        <v>0</v>
      </c>
      <c r="I43" s="6" t="str" cm="1">
        <f t="array" ref="I43">IFERROR(INDEX('Budget Planning'!$C:$C, header_row_id),"")</f>
        <v>Savings</v>
      </c>
      <c r="J43" t="str" cm="1">
        <f t="array" ref="J43">IFERROR(INDEX('Budget Planning'!$C:$C, row_id),"")</f>
        <v>Savings</v>
      </c>
      <c r="K43" s="54" cm="1">
        <f t="array" aca="1" ref="K43"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0</v>
      </c>
      <c r="L43" s="55" cm="1">
        <f t="array" aca="1" ref="L43" ca="1">IF(OR(is_header, is_empty), "",
      INDEX('Budget Planning'!$E:$EM, row_id,
                  MATCH(IF(selected_period="Total Year", selected_year, DATE(selected_year, selected_period, 1)), 'Budget Planning'!$E$9:$EM$9, 0)  ))</f>
        <v>927</v>
      </c>
      <c r="M43" s="6" cm="1">
        <f t="array" ref="M43">IF(is_cat,
       IF(header_row_id=income_header_row, MATCH(income_min_row, $C:$C, 0),
           IF(header_row_id=expenses_header_row, MATCH(expenses_min_row, $C:$C, 0),
               IF(header_row_id=savings_header_row, MATCH(savings_min_row, $C:$C, 0),""))), "")</f>
        <v>40</v>
      </c>
      <c r="N43" s="7" cm="1">
        <f t="array" ref="N43">IF(is_cat,
       IF(header_row_id=income_header_row, MATCH(income_max_row, $C:$C, 0),
           IF(header_row_id=expenses_header_row, MATCH(expenses_max_row, $C:$C, 0),
               IF(header_row_id=savings_header_row, MATCH(savings_max_row, $C:$C, 0),""))), "")</f>
        <v>43</v>
      </c>
      <c r="O43" s="6" t="str">
        <f t="shared" si="3"/>
        <v>$K$40:$K$43</v>
      </c>
      <c r="P43">
        <f t="shared" ca="1" si="4"/>
        <v>2</v>
      </c>
      <c r="Q43" t="str">
        <f t="shared" si="5"/>
        <v>$L$40:$L$43</v>
      </c>
      <c r="R43" s="7">
        <f t="shared" ca="1" si="6"/>
        <v>1</v>
      </c>
      <c r="S43" s="6">
        <f t="shared" ca="1" si="7"/>
        <v>201</v>
      </c>
      <c r="T43" t="str">
        <f t="shared" si="8"/>
        <v>$S$40:$S$43</v>
      </c>
      <c r="U43">
        <f t="shared" ca="1" si="9"/>
        <v>2</v>
      </c>
      <c r="V43" t="str">
        <f t="shared" si="10"/>
        <v>$U$40:$U$43</v>
      </c>
      <c r="W43" s="7">
        <f t="shared" ca="1" si="11"/>
        <v>2</v>
      </c>
      <c r="X43" s="57">
        <f t="shared" ca="1" si="12"/>
        <v>106</v>
      </c>
      <c r="Y43" s="58" t="str">
        <f t="shared" ca="1" si="13"/>
        <v>Emergency Fund</v>
      </c>
      <c r="Z43" s="60">
        <f t="shared" ca="1" si="14"/>
        <v>0</v>
      </c>
      <c r="AA43" s="60">
        <f t="shared" ca="1" si="15"/>
        <v>0</v>
      </c>
      <c r="AB43" s="59" t="str">
        <f t="shared" ca="1" si="16"/>
        <v>-</v>
      </c>
      <c r="AC43" s="60">
        <f t="shared" ca="1" si="17"/>
        <v>0</v>
      </c>
      <c r="AD43" s="60">
        <f t="shared" ca="1" si="18"/>
        <v>0</v>
      </c>
    </row>
    <row r="44" spans="3:44" x14ac:dyDescent="0.2">
      <c r="C44" s="6" cm="1">
        <f t="array" ref="C44">IF(C43=-1,-1,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115</v>
      </c>
      <c r="D44" s="7">
        <f t="shared" si="0"/>
        <v>104</v>
      </c>
      <c r="E44" s="6" cm="1">
        <f t="array" ref="E44">1*OR(row_id=income_header_row, row_id=expenses_header_row, row_id=savings_header_row)</f>
        <v>0</v>
      </c>
      <c r="F44">
        <f t="shared" si="1"/>
        <v>0</v>
      </c>
      <c r="G44" cm="1">
        <f t="array" ref="G44">1*OR(row_id=income_total_row, row_id=expenses_total_row, row_id=savings_total_row)</f>
        <v>1</v>
      </c>
      <c r="H44" s="7">
        <f t="shared" si="2"/>
        <v>0</v>
      </c>
      <c r="I44" s="6" t="str" cm="1">
        <f t="array" ref="I44">IFERROR(INDEX('Budget Planning'!$C:$C, header_row_id),"")</f>
        <v>Savings</v>
      </c>
      <c r="J44" t="str" cm="1">
        <f t="array" ref="J44">IFERROR(INDEX('Budget Planning'!$C:$C, row_id),"")</f>
        <v>Total</v>
      </c>
      <c r="K44" s="54" cm="1">
        <f t="array" aca="1" ref="K44" ca="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78</v>
      </c>
      <c r="L44" s="55" cm="1">
        <f t="array" aca="1" ref="L44" ca="1">IF(OR(is_header, is_empty), "",
      INDEX('Budget Planning'!$E:$EM, row_id,
                  MATCH(IF(selected_period="Total Year", selected_year, DATE(selected_year, selected_period, 1)), 'Budget Planning'!$E$9:$EM$9, 0)  ))</f>
        <v>1205</v>
      </c>
      <c r="M44" s="6" t="str" cm="1">
        <f t="array" ref="M44">IF(is_cat,
       IF(header_row_id=income_header_row, MATCH(income_min_row, $C:$C, 0),
           IF(header_row_id=expenses_header_row, MATCH(expenses_min_row, $C:$C, 0),
               IF(header_row_id=savings_header_row, MATCH(savings_min_row, $C:$C, 0),""))), "")</f>
        <v/>
      </c>
      <c r="N44" s="7" t="str" cm="1">
        <f t="array" ref="N44">IF(is_cat,
       IF(header_row_id=income_header_row, MATCH(income_max_row, $C:$C, 0),
           IF(header_row_id=expenses_header_row, MATCH(expenses_max_row, $C:$C, 0),
               IF(header_row_id=savings_header_row, MATCH(savings_max_row, $C:$C, 0),""))), "")</f>
        <v/>
      </c>
      <c r="O44" s="6" t="str">
        <f t="shared" si="3"/>
        <v/>
      </c>
      <c r="P44" t="str">
        <f t="shared" ca="1" si="4"/>
        <v/>
      </c>
      <c r="Q44" t="str">
        <f t="shared" si="5"/>
        <v/>
      </c>
      <c r="R44" s="7" t="str">
        <f t="shared" ca="1" si="6"/>
        <v/>
      </c>
      <c r="S44" s="6" t="str">
        <f t="shared" si="7"/>
        <v/>
      </c>
      <c r="T44" t="str">
        <f t="shared" si="8"/>
        <v/>
      </c>
      <c r="U44" t="str">
        <f t="shared" ca="1" si="9"/>
        <v/>
      </c>
      <c r="V44" t="str">
        <f t="shared" si="10"/>
        <v/>
      </c>
      <c r="W44" s="7" t="str">
        <f t="shared" ca="1" si="11"/>
        <v/>
      </c>
      <c r="X44" s="57">
        <f t="shared" si="12"/>
        <v>115</v>
      </c>
      <c r="Y44" s="58" t="str">
        <f t="shared" ca="1" si="13"/>
        <v>Total</v>
      </c>
      <c r="Z44" s="60">
        <f t="shared" ca="1" si="14"/>
        <v>78</v>
      </c>
      <c r="AA44" s="60">
        <f t="shared" ca="1" si="15"/>
        <v>1205</v>
      </c>
      <c r="AB44" s="59">
        <f t="shared" ca="1" si="16"/>
        <v>6.4730290456431541E-2</v>
      </c>
      <c r="AC44" s="60">
        <f t="shared" ca="1" si="17"/>
        <v>1127</v>
      </c>
      <c r="AD44" s="60">
        <f t="shared" ca="1" si="18"/>
        <v>0</v>
      </c>
    </row>
    <row r="45" spans="3:44" x14ac:dyDescent="0.2">
      <c r="C45" s="6" cm="1">
        <f t="array" ref="C45">IF(C44=-1,-1,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7">
        <f t="shared" si="0"/>
        <v>-1</v>
      </c>
      <c r="E45" s="6" cm="1">
        <f t="array" ref="E45">1*OR(row_id=income_header_row, row_id=expenses_header_row, row_id=savings_header_row)</f>
        <v>0</v>
      </c>
      <c r="F45">
        <f t="shared" si="1"/>
        <v>0</v>
      </c>
      <c r="G45" cm="1">
        <f t="array" ref="G45">1*OR(row_id=income_total_row, row_id=expenses_total_row, row_id=savings_total_row)</f>
        <v>0</v>
      </c>
      <c r="H45" s="7">
        <f t="shared" si="2"/>
        <v>1</v>
      </c>
      <c r="I45" s="6" t="str" cm="1">
        <f t="array" ref="I45">IFERROR(INDEX('Budget Planning'!$C:$C, header_row_id),"")</f>
        <v/>
      </c>
      <c r="J45" t="str" cm="1">
        <f t="array" ref="J45">IFERROR(INDEX('Budget Planning'!$C:$C, row_id),"")</f>
        <v/>
      </c>
      <c r="K45" s="54" t="str" cm="1">
        <f t="array" ref="K4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5" s="55" t="str" cm="1">
        <f t="array" ref="L45">IF(OR(is_header, is_empty), "",
      INDEX('Budget Planning'!$E:$EM, row_id,
                  MATCH(IF(selected_period="Total Year", selected_year, DATE(selected_year, selected_period, 1)), 'Budget Planning'!$E$9:$EM$9, 0)  ))</f>
        <v/>
      </c>
      <c r="M45" s="6" t="str" cm="1">
        <f t="array" ref="M45">IF(is_cat,
       IF(header_row_id=income_header_row, MATCH(income_min_row, $C:$C, 0),
           IF(header_row_id=expenses_header_row, MATCH(expenses_min_row, $C:$C, 0),
               IF(header_row_id=savings_header_row, MATCH(savings_min_row, $C:$C, 0),""))), "")</f>
        <v/>
      </c>
      <c r="N45" s="7" t="str" cm="1">
        <f t="array" ref="N45">IF(is_cat,
       IF(header_row_id=income_header_row, MATCH(income_max_row, $C:$C, 0),
           IF(header_row_id=expenses_header_row, MATCH(expenses_max_row, $C:$C, 0),
               IF(header_row_id=savings_header_row, MATCH(savings_max_row, $C:$C, 0),""))), "")</f>
        <v/>
      </c>
      <c r="O45" s="6" t="str">
        <f t="shared" si="3"/>
        <v/>
      </c>
      <c r="P45" t="str">
        <f t="shared" ca="1" si="4"/>
        <v/>
      </c>
      <c r="Q45" t="str">
        <f t="shared" si="5"/>
        <v/>
      </c>
      <c r="R45" s="7" t="str">
        <f t="shared" ca="1" si="6"/>
        <v/>
      </c>
      <c r="S45" s="6" t="str">
        <f t="shared" ref="S45:S76" si="19">IF(is_cat, _xlfn.NUMBERVALUE( tracked_rank &amp; IF(LEN(budget_rank)=1, "0", "") &amp; budget_rank), "")</f>
        <v/>
      </c>
      <c r="T45" t="str">
        <f t="shared" si="8"/>
        <v/>
      </c>
      <c r="U45" t="str">
        <f t="shared" ca="1" si="9"/>
        <v/>
      </c>
      <c r="V45" t="str">
        <f t="shared" si="10"/>
        <v/>
      </c>
      <c r="W45" s="7" t="str">
        <f t="shared" ca="1" si="11"/>
        <v/>
      </c>
      <c r="X45" s="57">
        <f t="shared" si="12"/>
        <v>-1</v>
      </c>
      <c r="Y45" s="58" t="str">
        <f t="shared" si="13"/>
        <v/>
      </c>
      <c r="Z45" s="60" t="str">
        <f t="shared" si="14"/>
        <v/>
      </c>
      <c r="AA45" s="60" t="str">
        <f t="shared" si="15"/>
        <v/>
      </c>
      <c r="AB45" s="59" t="str">
        <f t="shared" si="16"/>
        <v/>
      </c>
      <c r="AC45" s="60" t="str">
        <f t="shared" si="17"/>
        <v/>
      </c>
      <c r="AD45" s="60" t="str">
        <f t="shared" si="18"/>
        <v/>
      </c>
    </row>
    <row r="46" spans="3:44" x14ac:dyDescent="0.2">
      <c r="C46" s="6" cm="1">
        <f t="array" ref="C46">IF(C45=-1,-1,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7">
        <f t="shared" si="0"/>
        <v>-1</v>
      </c>
      <c r="E46" s="6" cm="1">
        <f t="array" ref="E46">1*OR(row_id=income_header_row, row_id=expenses_header_row, row_id=savings_header_row)</f>
        <v>0</v>
      </c>
      <c r="F46">
        <f t="shared" si="1"/>
        <v>0</v>
      </c>
      <c r="G46" cm="1">
        <f t="array" ref="G46">1*OR(row_id=income_total_row, row_id=expenses_total_row, row_id=savings_total_row)</f>
        <v>0</v>
      </c>
      <c r="H46" s="7">
        <f t="shared" si="2"/>
        <v>1</v>
      </c>
      <c r="I46" s="6" t="str" cm="1">
        <f t="array" ref="I46">IFERROR(INDEX('Budget Planning'!$C:$C, header_row_id),"")</f>
        <v/>
      </c>
      <c r="J46" t="str" cm="1">
        <f t="array" ref="J46">IFERROR(INDEX('Budget Planning'!$C:$C, row_id),"")</f>
        <v/>
      </c>
      <c r="K46" s="54" t="str" cm="1">
        <f t="array" ref="K4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6" s="55" t="str" cm="1">
        <f t="array" ref="L46">IF(OR(is_header, is_empty), "",
      INDEX('Budget Planning'!$E:$EM, row_id,
                  MATCH(IF(selected_period="Total Year", selected_year, DATE(selected_year, selected_period, 1)), 'Budget Planning'!$E$9:$EM$9, 0)  ))</f>
        <v/>
      </c>
      <c r="M46" s="6" t="str" cm="1">
        <f t="array" ref="M46">IF(is_cat,
       IF(header_row_id=income_header_row, MATCH(income_min_row, $C:$C, 0),
           IF(header_row_id=expenses_header_row, MATCH(expenses_min_row, $C:$C, 0),
               IF(header_row_id=savings_header_row, MATCH(savings_min_row, $C:$C, 0),""))), "")</f>
        <v/>
      </c>
      <c r="N46" s="7" t="str" cm="1">
        <f t="array" ref="N46">IF(is_cat,
       IF(header_row_id=income_header_row, MATCH(income_max_row, $C:$C, 0),
           IF(header_row_id=expenses_header_row, MATCH(expenses_max_row, $C:$C, 0),
               IF(header_row_id=savings_header_row, MATCH(savings_max_row, $C:$C, 0),""))), "")</f>
        <v/>
      </c>
      <c r="O46" s="6" t="str">
        <f t="shared" si="3"/>
        <v/>
      </c>
      <c r="P46" t="str">
        <f t="shared" ca="1" si="4"/>
        <v/>
      </c>
      <c r="Q46" t="str">
        <f t="shared" si="5"/>
        <v/>
      </c>
      <c r="R46" s="7" t="str">
        <f t="shared" ca="1" si="6"/>
        <v/>
      </c>
      <c r="S46" s="6" t="str">
        <f t="shared" si="19"/>
        <v/>
      </c>
      <c r="T46" t="str">
        <f t="shared" si="8"/>
        <v/>
      </c>
      <c r="U46" t="str">
        <f t="shared" ca="1" si="9"/>
        <v/>
      </c>
      <c r="V46" t="str">
        <f t="shared" si="10"/>
        <v/>
      </c>
      <c r="W46" s="7" t="str">
        <f t="shared" ca="1" si="11"/>
        <v/>
      </c>
      <c r="X46" s="57">
        <f t="shared" si="12"/>
        <v>-1</v>
      </c>
      <c r="Y46" s="58" t="str">
        <f t="shared" si="13"/>
        <v/>
      </c>
      <c r="Z46" s="60" t="str">
        <f t="shared" si="14"/>
        <v/>
      </c>
      <c r="AA46" s="60" t="str">
        <f t="shared" si="15"/>
        <v/>
      </c>
      <c r="AB46" s="59" t="str">
        <f t="shared" si="16"/>
        <v/>
      </c>
      <c r="AC46" s="60" t="str">
        <f t="shared" si="17"/>
        <v/>
      </c>
      <c r="AD46" s="60" t="str">
        <f t="shared" si="18"/>
        <v/>
      </c>
    </row>
    <row r="47" spans="3:44" x14ac:dyDescent="0.2">
      <c r="C47" s="6" cm="1">
        <f t="array" ref="C47">IF(C46=-1,-1,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7">
        <f t="shared" si="0"/>
        <v>-1</v>
      </c>
      <c r="E47" s="6" cm="1">
        <f t="array" ref="E47">1*OR(row_id=income_header_row, row_id=expenses_header_row, row_id=savings_header_row)</f>
        <v>0</v>
      </c>
      <c r="F47">
        <f t="shared" si="1"/>
        <v>0</v>
      </c>
      <c r="G47" cm="1">
        <f t="array" ref="G47">1*OR(row_id=income_total_row, row_id=expenses_total_row, row_id=savings_total_row)</f>
        <v>0</v>
      </c>
      <c r="H47" s="7">
        <f t="shared" si="2"/>
        <v>1</v>
      </c>
      <c r="I47" s="6" t="str" cm="1">
        <f t="array" ref="I47">IFERROR(INDEX('Budget Planning'!$C:$C, header_row_id),"")</f>
        <v/>
      </c>
      <c r="J47" t="str" cm="1">
        <f t="array" ref="J47">IFERROR(INDEX('Budget Planning'!$C:$C, row_id),"")</f>
        <v/>
      </c>
      <c r="K47" s="54" t="str" cm="1">
        <f t="array" ref="K4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7" s="55" t="str" cm="1">
        <f t="array" ref="L47">IF(OR(is_header, is_empty), "",
      INDEX('Budget Planning'!$E:$EM, row_id,
                  MATCH(IF(selected_period="Total Year", selected_year, DATE(selected_year, selected_period, 1)), 'Budget Planning'!$E$9:$EM$9, 0)  ))</f>
        <v/>
      </c>
      <c r="M47" s="6" t="str" cm="1">
        <f t="array" ref="M47">IF(is_cat,
       IF(header_row_id=income_header_row, MATCH(income_min_row, $C:$C, 0),
           IF(header_row_id=expenses_header_row, MATCH(expenses_min_row, $C:$C, 0),
               IF(header_row_id=savings_header_row, MATCH(savings_min_row, $C:$C, 0),""))), "")</f>
        <v/>
      </c>
      <c r="N47" s="7" t="str" cm="1">
        <f t="array" ref="N47">IF(is_cat,
       IF(header_row_id=income_header_row, MATCH(income_max_row, $C:$C, 0),
           IF(header_row_id=expenses_header_row, MATCH(expenses_max_row, $C:$C, 0),
               IF(header_row_id=savings_header_row, MATCH(savings_max_row, $C:$C, 0),""))), "")</f>
        <v/>
      </c>
      <c r="O47" s="6" t="str">
        <f t="shared" si="3"/>
        <v/>
      </c>
      <c r="P47" t="str">
        <f t="shared" ca="1" si="4"/>
        <v/>
      </c>
      <c r="Q47" t="str">
        <f t="shared" si="5"/>
        <v/>
      </c>
      <c r="R47" s="7" t="str">
        <f t="shared" ca="1" si="6"/>
        <v/>
      </c>
      <c r="S47" s="6" t="str">
        <f t="shared" si="19"/>
        <v/>
      </c>
      <c r="T47" t="str">
        <f t="shared" si="8"/>
        <v/>
      </c>
      <c r="U47" t="str">
        <f t="shared" ca="1" si="9"/>
        <v/>
      </c>
      <c r="V47" t="str">
        <f t="shared" si="10"/>
        <v/>
      </c>
      <c r="W47" s="7" t="str">
        <f t="shared" ca="1" si="11"/>
        <v/>
      </c>
      <c r="X47" s="57">
        <f t="shared" si="12"/>
        <v>-1</v>
      </c>
      <c r="Y47" s="58" t="str">
        <f t="shared" si="13"/>
        <v/>
      </c>
      <c r="Z47" s="60" t="str">
        <f t="shared" si="14"/>
        <v/>
      </c>
      <c r="AA47" s="60" t="str">
        <f t="shared" si="15"/>
        <v/>
      </c>
      <c r="AB47" s="59" t="str">
        <f t="shared" si="16"/>
        <v/>
      </c>
      <c r="AC47" s="60" t="str">
        <f t="shared" si="17"/>
        <v/>
      </c>
      <c r="AD47" s="60" t="str">
        <f t="shared" si="18"/>
        <v/>
      </c>
    </row>
    <row r="48" spans="3:44" x14ac:dyDescent="0.2">
      <c r="C48" s="6" cm="1">
        <f t="array" ref="C48">IF(C47=-1,-1,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7">
        <f t="shared" si="0"/>
        <v>-1</v>
      </c>
      <c r="E48" s="6" cm="1">
        <f t="array" ref="E48">1*OR(row_id=income_header_row, row_id=expenses_header_row, row_id=savings_header_row)</f>
        <v>0</v>
      </c>
      <c r="F48">
        <f t="shared" si="1"/>
        <v>0</v>
      </c>
      <c r="G48" cm="1">
        <f t="array" ref="G48">1*OR(row_id=income_total_row, row_id=expenses_total_row, row_id=savings_total_row)</f>
        <v>0</v>
      </c>
      <c r="H48" s="7">
        <f t="shared" si="2"/>
        <v>1</v>
      </c>
      <c r="I48" s="6" t="str" cm="1">
        <f t="array" ref="I48">IFERROR(INDEX('Budget Planning'!$C:$C, header_row_id),"")</f>
        <v/>
      </c>
      <c r="J48" t="str" cm="1">
        <f t="array" ref="J48">IFERROR(INDEX('Budget Planning'!$C:$C, row_id),"")</f>
        <v/>
      </c>
      <c r="K48" s="54" t="str" cm="1">
        <f t="array" ref="K4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8" s="55" t="str" cm="1">
        <f t="array" ref="L48">IF(OR(is_header, is_empty), "",
      INDEX('Budget Planning'!$E:$EM, row_id,
                  MATCH(IF(selected_period="Total Year", selected_year, DATE(selected_year, selected_period, 1)), 'Budget Planning'!$E$9:$EM$9, 0)  ))</f>
        <v/>
      </c>
      <c r="M48" s="6" t="str" cm="1">
        <f t="array" ref="M48">IF(is_cat,
       IF(header_row_id=income_header_row, MATCH(income_min_row, $C:$C, 0),
           IF(header_row_id=expenses_header_row, MATCH(expenses_min_row, $C:$C, 0),
               IF(header_row_id=savings_header_row, MATCH(savings_min_row, $C:$C, 0),""))), "")</f>
        <v/>
      </c>
      <c r="N48" s="7" t="str" cm="1">
        <f t="array" ref="N48">IF(is_cat,
       IF(header_row_id=income_header_row, MATCH(income_max_row, $C:$C, 0),
           IF(header_row_id=expenses_header_row, MATCH(expenses_max_row, $C:$C, 0),
               IF(header_row_id=savings_header_row, MATCH(savings_max_row, $C:$C, 0),""))), "")</f>
        <v/>
      </c>
      <c r="O48" s="6" t="str">
        <f t="shared" si="3"/>
        <v/>
      </c>
      <c r="P48" t="str">
        <f t="shared" ca="1" si="4"/>
        <v/>
      </c>
      <c r="Q48" t="str">
        <f t="shared" si="5"/>
        <v/>
      </c>
      <c r="R48" s="7" t="str">
        <f t="shared" ca="1" si="6"/>
        <v/>
      </c>
      <c r="S48" s="6" t="str">
        <f t="shared" si="19"/>
        <v/>
      </c>
      <c r="T48" t="str">
        <f t="shared" si="8"/>
        <v/>
      </c>
      <c r="U48" t="str">
        <f t="shared" ca="1" si="9"/>
        <v/>
      </c>
      <c r="V48" t="str">
        <f t="shared" si="10"/>
        <v/>
      </c>
      <c r="W48" s="7" t="str">
        <f t="shared" ca="1" si="11"/>
        <v/>
      </c>
      <c r="X48" s="57">
        <f t="shared" si="12"/>
        <v>-1</v>
      </c>
      <c r="Y48" s="58" t="str">
        <f t="shared" si="13"/>
        <v/>
      </c>
      <c r="Z48" s="60" t="str">
        <f t="shared" si="14"/>
        <v/>
      </c>
      <c r="AA48" s="60" t="str">
        <f t="shared" si="15"/>
        <v/>
      </c>
      <c r="AB48" s="59" t="str">
        <f t="shared" si="16"/>
        <v/>
      </c>
      <c r="AC48" s="60" t="str">
        <f t="shared" si="17"/>
        <v/>
      </c>
      <c r="AD48" s="60" t="str">
        <f t="shared" si="18"/>
        <v/>
      </c>
    </row>
    <row r="49" spans="3:30" x14ac:dyDescent="0.2">
      <c r="C49" s="6" cm="1">
        <f t="array" ref="C49">IF(C48=-1,-1,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7">
        <f t="shared" si="0"/>
        <v>-1</v>
      </c>
      <c r="E49" s="6" cm="1">
        <f t="array" ref="E49">1*OR(row_id=income_header_row, row_id=expenses_header_row, row_id=savings_header_row)</f>
        <v>0</v>
      </c>
      <c r="F49">
        <f t="shared" si="1"/>
        <v>0</v>
      </c>
      <c r="G49" cm="1">
        <f t="array" ref="G49">1*OR(row_id=income_total_row, row_id=expenses_total_row, row_id=savings_total_row)</f>
        <v>0</v>
      </c>
      <c r="H49" s="7">
        <f t="shared" si="2"/>
        <v>1</v>
      </c>
      <c r="I49" s="6" t="str" cm="1">
        <f t="array" ref="I49">IFERROR(INDEX('Budget Planning'!$C:$C, header_row_id),"")</f>
        <v/>
      </c>
      <c r="J49" t="str" cm="1">
        <f t="array" ref="J49">IFERROR(INDEX('Budget Planning'!$C:$C, row_id),"")</f>
        <v/>
      </c>
      <c r="K49" s="54" t="str" cm="1">
        <f t="array" ref="K4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49" s="55" t="str" cm="1">
        <f t="array" ref="L49">IF(OR(is_header, is_empty), "",
      INDEX('Budget Planning'!$E:$EM, row_id,
                  MATCH(IF(selected_period="Total Year", selected_year, DATE(selected_year, selected_period, 1)), 'Budget Planning'!$E$9:$EM$9, 0)  ))</f>
        <v/>
      </c>
      <c r="M49" s="6" t="str" cm="1">
        <f t="array" ref="M49">IF(is_cat,
       IF(header_row_id=income_header_row, MATCH(income_min_row, $C:$C, 0),
           IF(header_row_id=expenses_header_row, MATCH(expenses_min_row, $C:$C, 0),
               IF(header_row_id=savings_header_row, MATCH(savings_min_row, $C:$C, 0),""))), "")</f>
        <v/>
      </c>
      <c r="N49" s="7" t="str" cm="1">
        <f t="array" ref="N49">IF(is_cat,
       IF(header_row_id=income_header_row, MATCH(income_max_row, $C:$C, 0),
           IF(header_row_id=expenses_header_row, MATCH(expenses_max_row, $C:$C, 0),
               IF(header_row_id=savings_header_row, MATCH(savings_max_row, $C:$C, 0),""))), "")</f>
        <v/>
      </c>
      <c r="O49" s="6" t="str">
        <f t="shared" si="3"/>
        <v/>
      </c>
      <c r="P49" t="str">
        <f t="shared" ca="1" si="4"/>
        <v/>
      </c>
      <c r="Q49" t="str">
        <f t="shared" si="5"/>
        <v/>
      </c>
      <c r="R49" s="7" t="str">
        <f t="shared" ca="1" si="6"/>
        <v/>
      </c>
      <c r="S49" s="6" t="str">
        <f t="shared" si="19"/>
        <v/>
      </c>
      <c r="T49" t="str">
        <f t="shared" si="8"/>
        <v/>
      </c>
      <c r="U49" t="str">
        <f t="shared" ca="1" si="9"/>
        <v/>
      </c>
      <c r="V49" t="str">
        <f t="shared" si="10"/>
        <v/>
      </c>
      <c r="W49" s="7" t="str">
        <f t="shared" ca="1" si="11"/>
        <v/>
      </c>
      <c r="X49" s="57">
        <f t="shared" si="12"/>
        <v>-1</v>
      </c>
      <c r="Y49" s="58" t="str">
        <f t="shared" si="13"/>
        <v/>
      </c>
      <c r="Z49" s="60" t="str">
        <f t="shared" si="14"/>
        <v/>
      </c>
      <c r="AA49" s="60" t="str">
        <f t="shared" si="15"/>
        <v/>
      </c>
      <c r="AB49" s="59" t="str">
        <f t="shared" si="16"/>
        <v/>
      </c>
      <c r="AC49" s="60" t="str">
        <f t="shared" si="17"/>
        <v/>
      </c>
      <c r="AD49" s="60" t="str">
        <f t="shared" si="18"/>
        <v/>
      </c>
    </row>
    <row r="50" spans="3:30" x14ac:dyDescent="0.2">
      <c r="C50" s="6" cm="1">
        <f t="array" ref="C50">IF(C49=-1,-1,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7">
        <f t="shared" si="0"/>
        <v>-1</v>
      </c>
      <c r="E50" s="6" cm="1">
        <f t="array" ref="E50">1*OR(row_id=income_header_row, row_id=expenses_header_row, row_id=savings_header_row)</f>
        <v>0</v>
      </c>
      <c r="F50">
        <f t="shared" si="1"/>
        <v>0</v>
      </c>
      <c r="G50" cm="1">
        <f t="array" ref="G50">1*OR(row_id=income_total_row, row_id=expenses_total_row, row_id=savings_total_row)</f>
        <v>0</v>
      </c>
      <c r="H50" s="7">
        <f t="shared" si="2"/>
        <v>1</v>
      </c>
      <c r="I50" s="6" t="str" cm="1">
        <f t="array" ref="I50">IFERROR(INDEX('Budget Planning'!$C:$C, header_row_id),"")</f>
        <v/>
      </c>
      <c r="J50" t="str" cm="1">
        <f t="array" ref="J50">IFERROR(INDEX('Budget Planning'!$C:$C, row_id),"")</f>
        <v/>
      </c>
      <c r="K50" s="54" t="str" cm="1">
        <f t="array" ref="K5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0" s="55" t="str" cm="1">
        <f t="array" ref="L50">IF(OR(is_header, is_empty), "",
      INDEX('Budget Planning'!$E:$EM, row_id,
                  MATCH(IF(selected_period="Total Year", selected_year, DATE(selected_year, selected_period, 1)), 'Budget Planning'!$E$9:$EM$9, 0)  ))</f>
        <v/>
      </c>
      <c r="M50" s="6" t="str" cm="1">
        <f t="array" ref="M50">IF(is_cat,
       IF(header_row_id=income_header_row, MATCH(income_min_row, $C:$C, 0),
           IF(header_row_id=expenses_header_row, MATCH(expenses_min_row, $C:$C, 0),
               IF(header_row_id=savings_header_row, MATCH(savings_min_row, $C:$C, 0),""))), "")</f>
        <v/>
      </c>
      <c r="N50" s="7" t="str" cm="1">
        <f t="array" ref="N50">IF(is_cat,
       IF(header_row_id=income_header_row, MATCH(income_max_row, $C:$C, 0),
           IF(header_row_id=expenses_header_row, MATCH(expenses_max_row, $C:$C, 0),
               IF(header_row_id=savings_header_row, MATCH(savings_max_row, $C:$C, 0),""))), "")</f>
        <v/>
      </c>
      <c r="O50" s="6" t="str">
        <f t="shared" si="3"/>
        <v/>
      </c>
      <c r="P50" t="str">
        <f t="shared" ca="1" si="4"/>
        <v/>
      </c>
      <c r="Q50" t="str">
        <f t="shared" si="5"/>
        <v/>
      </c>
      <c r="R50" s="7" t="str">
        <f t="shared" ca="1" si="6"/>
        <v/>
      </c>
      <c r="S50" s="6" t="str">
        <f t="shared" si="19"/>
        <v/>
      </c>
      <c r="T50" t="str">
        <f t="shared" si="8"/>
        <v/>
      </c>
      <c r="U50" t="str">
        <f t="shared" ca="1" si="9"/>
        <v/>
      </c>
      <c r="V50" t="str">
        <f t="shared" si="10"/>
        <v/>
      </c>
      <c r="W50" s="7" t="str">
        <f t="shared" ca="1" si="11"/>
        <v/>
      </c>
      <c r="X50" s="57">
        <f t="shared" si="12"/>
        <v>-1</v>
      </c>
      <c r="Y50" s="58" t="str">
        <f t="shared" si="13"/>
        <v/>
      </c>
      <c r="Z50" s="60" t="str">
        <f t="shared" si="14"/>
        <v/>
      </c>
      <c r="AA50" s="60" t="str">
        <f t="shared" si="15"/>
        <v/>
      </c>
      <c r="AB50" s="59" t="str">
        <f t="shared" si="16"/>
        <v/>
      </c>
      <c r="AC50" s="60" t="str">
        <f t="shared" si="17"/>
        <v/>
      </c>
      <c r="AD50" s="60" t="str">
        <f t="shared" si="18"/>
        <v/>
      </c>
    </row>
    <row r="51" spans="3:30" x14ac:dyDescent="0.2">
      <c r="C51" s="6" cm="1">
        <f t="array" ref="C51">IF(C50=-1,-1,
      IF(C50&lt;income_max_row, C50+1,
          IF(C50=income_max_row, income_total_row,
              IF(C50=income_total_row, "/1",
                  IF(C50="/1", expenses_header_row,
                      IF(C50&lt;expenses_max_row, C50+1,
                          IF(C50=expenses_max_row, expenses_total_row,
                              IF(C50=expenses_total_row, "/2",
                                  IF(C50="/2", savings_header_row,
                                      IF(C50&lt;savings_max_row, C50+1,
                                          IF(C50=savings_max_row, savings_total_row, -1)))))))))))</f>
        <v>-1</v>
      </c>
      <c r="D51" s="7">
        <f t="shared" si="0"/>
        <v>-1</v>
      </c>
      <c r="E51" s="6" cm="1">
        <f t="array" ref="E51">1*OR(row_id=income_header_row, row_id=expenses_header_row, row_id=savings_header_row)</f>
        <v>0</v>
      </c>
      <c r="F51">
        <f t="shared" si="1"/>
        <v>0</v>
      </c>
      <c r="G51" cm="1">
        <f t="array" ref="G51">1*OR(row_id=income_total_row, row_id=expenses_total_row, row_id=savings_total_row)</f>
        <v>0</v>
      </c>
      <c r="H51" s="7">
        <f t="shared" si="2"/>
        <v>1</v>
      </c>
      <c r="I51" s="6" t="str" cm="1">
        <f t="array" ref="I51">IFERROR(INDEX('Budget Planning'!$C:$C, header_row_id),"")</f>
        <v/>
      </c>
      <c r="J51" t="str" cm="1">
        <f t="array" ref="J51">IFERROR(INDEX('Budget Planning'!$C:$C, row_id),"")</f>
        <v/>
      </c>
      <c r="K51" s="54" t="str" cm="1">
        <f t="array" ref="K5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1" s="55" t="str" cm="1">
        <f t="array" ref="L51">IF(OR(is_header, is_empty), "",
      INDEX('Budget Planning'!$E:$EM, row_id,
                  MATCH(IF(selected_period="Total Year", selected_year, DATE(selected_year, selected_period, 1)), 'Budget Planning'!$E$9:$EM$9, 0)  ))</f>
        <v/>
      </c>
      <c r="M51" s="6" t="str" cm="1">
        <f t="array" ref="M51">IF(is_cat,
       IF(header_row_id=income_header_row, MATCH(income_min_row, $C:$C, 0),
           IF(header_row_id=expenses_header_row, MATCH(expenses_min_row, $C:$C, 0),
               IF(header_row_id=savings_header_row, MATCH(savings_min_row, $C:$C, 0),""))), "")</f>
        <v/>
      </c>
      <c r="N51" s="7" t="str" cm="1">
        <f t="array" ref="N51">IF(is_cat,
       IF(header_row_id=income_header_row, MATCH(income_max_row, $C:$C, 0),
           IF(header_row_id=expenses_header_row, MATCH(expenses_max_row, $C:$C, 0),
               IF(header_row_id=savings_header_row, MATCH(savings_max_row, $C:$C, 0),""))), "")</f>
        <v/>
      </c>
      <c r="O51" s="6" t="str">
        <f t="shared" si="3"/>
        <v/>
      </c>
      <c r="P51" t="str">
        <f t="shared" ca="1" si="4"/>
        <v/>
      </c>
      <c r="Q51" t="str">
        <f t="shared" si="5"/>
        <v/>
      </c>
      <c r="R51" s="7" t="str">
        <f t="shared" ca="1" si="6"/>
        <v/>
      </c>
      <c r="S51" s="6" t="str">
        <f t="shared" si="19"/>
        <v/>
      </c>
      <c r="T51" t="str">
        <f t="shared" si="8"/>
        <v/>
      </c>
      <c r="U51" t="str">
        <f t="shared" ca="1" si="9"/>
        <v/>
      </c>
      <c r="V51" t="str">
        <f t="shared" si="10"/>
        <v/>
      </c>
      <c r="W51" s="7" t="str">
        <f t="shared" ca="1" si="11"/>
        <v/>
      </c>
      <c r="X51" s="57">
        <f t="shared" si="12"/>
        <v>-1</v>
      </c>
      <c r="Y51" s="58" t="str">
        <f t="shared" si="13"/>
        <v/>
      </c>
      <c r="Z51" s="60" t="str">
        <f t="shared" si="14"/>
        <v/>
      </c>
      <c r="AA51" s="60" t="str">
        <f t="shared" si="15"/>
        <v/>
      </c>
      <c r="AB51" s="59" t="str">
        <f t="shared" si="16"/>
        <v/>
      </c>
      <c r="AC51" s="60" t="str">
        <f t="shared" si="17"/>
        <v/>
      </c>
      <c r="AD51" s="60" t="str">
        <f t="shared" si="18"/>
        <v/>
      </c>
    </row>
    <row r="52" spans="3:30" x14ac:dyDescent="0.2">
      <c r="C52" s="6" cm="1">
        <f t="array" ref="C52">IF(C51=-1,-1,
      IF(C51&lt;income_max_row, C51+1,
          IF(C51=income_max_row, income_total_row,
              IF(C51=income_total_row, "/1",
                  IF(C51="/1", expenses_header_row,
                      IF(C51&lt;expenses_max_row, C51+1,
                          IF(C51=expenses_max_row, expenses_total_row,
                              IF(C51=expenses_total_row, "/2",
                                  IF(C51="/2", savings_header_row,
                                      IF(C51&lt;savings_max_row, C51+1,
                                          IF(C51=savings_max_row, savings_total_row, -1)))))))))))</f>
        <v>-1</v>
      </c>
      <c r="D52" s="7">
        <f t="shared" si="0"/>
        <v>-1</v>
      </c>
      <c r="E52" s="6" cm="1">
        <f t="array" ref="E52">1*OR(row_id=income_header_row, row_id=expenses_header_row, row_id=savings_header_row)</f>
        <v>0</v>
      </c>
      <c r="F52">
        <f t="shared" si="1"/>
        <v>0</v>
      </c>
      <c r="G52" cm="1">
        <f t="array" ref="G52">1*OR(row_id=income_total_row, row_id=expenses_total_row, row_id=savings_total_row)</f>
        <v>0</v>
      </c>
      <c r="H52" s="7">
        <f t="shared" si="2"/>
        <v>1</v>
      </c>
      <c r="I52" s="6" t="str" cm="1">
        <f t="array" ref="I52">IFERROR(INDEX('Budget Planning'!$C:$C, header_row_id),"")</f>
        <v/>
      </c>
      <c r="J52" t="str" cm="1">
        <f t="array" ref="J52">IFERROR(INDEX('Budget Planning'!$C:$C, row_id),"")</f>
        <v/>
      </c>
      <c r="K52" s="54" t="str" cm="1">
        <f t="array" ref="K5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2" s="55" t="str" cm="1">
        <f t="array" ref="L52">IF(OR(is_header, is_empty), "",
      INDEX('Budget Planning'!$E:$EM, row_id,
                  MATCH(IF(selected_period="Total Year", selected_year, DATE(selected_year, selected_period, 1)), 'Budget Planning'!$E$9:$EM$9, 0)  ))</f>
        <v/>
      </c>
      <c r="M52" s="6" t="str" cm="1">
        <f t="array" ref="M52">IF(is_cat,
       IF(header_row_id=income_header_row, MATCH(income_min_row, $C:$C, 0),
           IF(header_row_id=expenses_header_row, MATCH(expenses_min_row, $C:$C, 0),
               IF(header_row_id=savings_header_row, MATCH(savings_min_row, $C:$C, 0),""))), "")</f>
        <v/>
      </c>
      <c r="N52" s="7" t="str" cm="1">
        <f t="array" ref="N52">IF(is_cat,
       IF(header_row_id=income_header_row, MATCH(income_max_row, $C:$C, 0),
           IF(header_row_id=expenses_header_row, MATCH(expenses_max_row, $C:$C, 0),
               IF(header_row_id=savings_header_row, MATCH(savings_max_row, $C:$C, 0),""))), "")</f>
        <v/>
      </c>
      <c r="O52" s="6" t="str">
        <f t="shared" si="3"/>
        <v/>
      </c>
      <c r="P52" t="str">
        <f t="shared" ca="1" si="4"/>
        <v/>
      </c>
      <c r="Q52" t="str">
        <f t="shared" si="5"/>
        <v/>
      </c>
      <c r="R52" s="7" t="str">
        <f t="shared" ca="1" si="6"/>
        <v/>
      </c>
      <c r="S52" s="6" t="str">
        <f t="shared" si="19"/>
        <v/>
      </c>
      <c r="T52" t="str">
        <f t="shared" si="8"/>
        <v/>
      </c>
      <c r="U52" t="str">
        <f t="shared" ca="1" si="9"/>
        <v/>
      </c>
      <c r="V52" t="str">
        <f t="shared" si="10"/>
        <v/>
      </c>
      <c r="W52" s="7" t="str">
        <f t="shared" ca="1" si="11"/>
        <v/>
      </c>
      <c r="X52" s="57">
        <f t="shared" si="12"/>
        <v>-1</v>
      </c>
      <c r="Y52" s="58" t="str">
        <f t="shared" si="13"/>
        <v/>
      </c>
      <c r="Z52" s="60" t="str">
        <f t="shared" si="14"/>
        <v/>
      </c>
      <c r="AA52" s="60" t="str">
        <f t="shared" si="15"/>
        <v/>
      </c>
      <c r="AB52" s="59" t="str">
        <f t="shared" si="16"/>
        <v/>
      </c>
      <c r="AC52" s="60" t="str">
        <f t="shared" si="17"/>
        <v/>
      </c>
      <c r="AD52" s="60" t="str">
        <f t="shared" si="18"/>
        <v/>
      </c>
    </row>
    <row r="53" spans="3:30" x14ac:dyDescent="0.2">
      <c r="C53" s="6" cm="1">
        <f t="array" ref="C53">IF(C52=-1,-1,
      IF(C52&lt;income_max_row, C52+1,
          IF(C52=income_max_row, income_total_row,
              IF(C52=income_total_row, "/1",
                  IF(C52="/1", expenses_header_row,
                      IF(C52&lt;expenses_max_row, C52+1,
                          IF(C52=expenses_max_row, expenses_total_row,
                              IF(C52=expenses_total_row, "/2",
                                  IF(C52="/2", savings_header_row,
                                      IF(C52&lt;savings_max_row, C52+1,
                                          IF(C52=savings_max_row, savings_total_row, -1)))))))))))</f>
        <v>-1</v>
      </c>
      <c r="D53" s="7">
        <f t="shared" si="0"/>
        <v>-1</v>
      </c>
      <c r="E53" s="6" cm="1">
        <f t="array" ref="E53">1*OR(row_id=income_header_row, row_id=expenses_header_row, row_id=savings_header_row)</f>
        <v>0</v>
      </c>
      <c r="F53">
        <f t="shared" si="1"/>
        <v>0</v>
      </c>
      <c r="G53" cm="1">
        <f t="array" ref="G53">1*OR(row_id=income_total_row, row_id=expenses_total_row, row_id=savings_total_row)</f>
        <v>0</v>
      </c>
      <c r="H53" s="7">
        <f t="shared" si="2"/>
        <v>1</v>
      </c>
      <c r="I53" s="6" t="str" cm="1">
        <f t="array" ref="I53">IFERROR(INDEX('Budget Planning'!$C:$C, header_row_id),"")</f>
        <v/>
      </c>
      <c r="J53" t="str" cm="1">
        <f t="array" ref="J53">IFERROR(INDEX('Budget Planning'!$C:$C, row_id),"")</f>
        <v/>
      </c>
      <c r="K53" s="54" t="str" cm="1">
        <f t="array" ref="K5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3" s="55" t="str" cm="1">
        <f t="array" ref="L53">IF(OR(is_header, is_empty), "",
      INDEX('Budget Planning'!$E:$EM, row_id,
                  MATCH(IF(selected_period="Total Year", selected_year, DATE(selected_year, selected_period, 1)), 'Budget Planning'!$E$9:$EM$9, 0)  ))</f>
        <v/>
      </c>
      <c r="M53" s="6" t="str" cm="1">
        <f t="array" ref="M53">IF(is_cat,
       IF(header_row_id=income_header_row, MATCH(income_min_row, $C:$C, 0),
           IF(header_row_id=expenses_header_row, MATCH(expenses_min_row, $C:$C, 0),
               IF(header_row_id=savings_header_row, MATCH(savings_min_row, $C:$C, 0),""))), "")</f>
        <v/>
      </c>
      <c r="N53" s="7" t="str" cm="1">
        <f t="array" ref="N53">IF(is_cat,
       IF(header_row_id=income_header_row, MATCH(income_max_row, $C:$C, 0),
           IF(header_row_id=expenses_header_row, MATCH(expenses_max_row, $C:$C, 0),
               IF(header_row_id=savings_header_row, MATCH(savings_max_row, $C:$C, 0),""))), "")</f>
        <v/>
      </c>
      <c r="O53" s="6" t="str">
        <f t="shared" si="3"/>
        <v/>
      </c>
      <c r="P53" t="str">
        <f t="shared" ca="1" si="4"/>
        <v/>
      </c>
      <c r="Q53" t="str">
        <f t="shared" si="5"/>
        <v/>
      </c>
      <c r="R53" s="7" t="str">
        <f t="shared" ca="1" si="6"/>
        <v/>
      </c>
      <c r="S53" s="6" t="str">
        <f t="shared" si="19"/>
        <v/>
      </c>
      <c r="T53" t="str">
        <f t="shared" si="8"/>
        <v/>
      </c>
      <c r="U53" t="str">
        <f t="shared" ca="1" si="9"/>
        <v/>
      </c>
      <c r="V53" t="str">
        <f t="shared" si="10"/>
        <v/>
      </c>
      <c r="W53" s="7" t="str">
        <f t="shared" ca="1" si="11"/>
        <v/>
      </c>
      <c r="X53" s="57">
        <f t="shared" si="12"/>
        <v>-1</v>
      </c>
      <c r="Y53" s="58" t="str">
        <f t="shared" si="13"/>
        <v/>
      </c>
      <c r="Z53" s="60" t="str">
        <f t="shared" si="14"/>
        <v/>
      </c>
      <c r="AA53" s="60" t="str">
        <f t="shared" si="15"/>
        <v/>
      </c>
      <c r="AB53" s="59" t="str">
        <f t="shared" si="16"/>
        <v/>
      </c>
      <c r="AC53" s="60" t="str">
        <f t="shared" si="17"/>
        <v/>
      </c>
      <c r="AD53" s="60" t="str">
        <f t="shared" si="18"/>
        <v/>
      </c>
    </row>
    <row r="54" spans="3:30" x14ac:dyDescent="0.2">
      <c r="C54" s="6" cm="1">
        <f t="array" ref="C54">IF(C53=-1,-1,
      IF(C53&lt;income_max_row, C53+1,
          IF(C53=income_max_row, income_total_row,
              IF(C53=income_total_row, "/1",
                  IF(C53="/1", expenses_header_row,
                      IF(C53&lt;expenses_max_row, C53+1,
                          IF(C53=expenses_max_row, expenses_total_row,
                              IF(C53=expenses_total_row, "/2",
                                  IF(C53="/2", savings_header_row,
                                      IF(C53&lt;savings_max_row, C53+1,
                                          IF(C53=savings_max_row, savings_total_row, -1)))))))))))</f>
        <v>-1</v>
      </c>
      <c r="D54" s="7">
        <f t="shared" si="0"/>
        <v>-1</v>
      </c>
      <c r="E54" s="6" cm="1">
        <f t="array" ref="E54">1*OR(row_id=income_header_row, row_id=expenses_header_row, row_id=savings_header_row)</f>
        <v>0</v>
      </c>
      <c r="F54">
        <f t="shared" si="1"/>
        <v>0</v>
      </c>
      <c r="G54" cm="1">
        <f t="array" ref="G54">1*OR(row_id=income_total_row, row_id=expenses_total_row, row_id=savings_total_row)</f>
        <v>0</v>
      </c>
      <c r="H54" s="7">
        <f t="shared" si="2"/>
        <v>1</v>
      </c>
      <c r="I54" s="6" t="str" cm="1">
        <f t="array" ref="I54">IFERROR(INDEX('Budget Planning'!$C:$C, header_row_id),"")</f>
        <v/>
      </c>
      <c r="J54" t="str" cm="1">
        <f t="array" ref="J54">IFERROR(INDEX('Budget Planning'!$C:$C, row_id),"")</f>
        <v/>
      </c>
      <c r="K54" s="54" t="str" cm="1">
        <f t="array" ref="K5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4" s="55" t="str" cm="1">
        <f t="array" ref="L54">IF(OR(is_header, is_empty), "",
      INDEX('Budget Planning'!$E:$EM, row_id,
                  MATCH(IF(selected_period="Total Year", selected_year, DATE(selected_year, selected_period, 1)), 'Budget Planning'!$E$9:$EM$9, 0)  ))</f>
        <v/>
      </c>
      <c r="M54" s="6" t="str" cm="1">
        <f t="array" ref="M54">IF(is_cat,
       IF(header_row_id=income_header_row, MATCH(income_min_row, $C:$C, 0),
           IF(header_row_id=expenses_header_row, MATCH(expenses_min_row, $C:$C, 0),
               IF(header_row_id=savings_header_row, MATCH(savings_min_row, $C:$C, 0),""))), "")</f>
        <v/>
      </c>
      <c r="N54" s="7" t="str" cm="1">
        <f t="array" ref="N54">IF(is_cat,
       IF(header_row_id=income_header_row, MATCH(income_max_row, $C:$C, 0),
           IF(header_row_id=expenses_header_row, MATCH(expenses_max_row, $C:$C, 0),
               IF(header_row_id=savings_header_row, MATCH(savings_max_row, $C:$C, 0),""))), "")</f>
        <v/>
      </c>
      <c r="O54" s="6" t="str">
        <f t="shared" si="3"/>
        <v/>
      </c>
      <c r="P54" t="str">
        <f t="shared" ca="1" si="4"/>
        <v/>
      </c>
      <c r="Q54" t="str">
        <f t="shared" si="5"/>
        <v/>
      </c>
      <c r="R54" s="7" t="str">
        <f t="shared" ca="1" si="6"/>
        <v/>
      </c>
      <c r="S54" s="6" t="str">
        <f t="shared" si="19"/>
        <v/>
      </c>
      <c r="T54" t="str">
        <f t="shared" si="8"/>
        <v/>
      </c>
      <c r="U54" t="str">
        <f t="shared" ca="1" si="9"/>
        <v/>
      </c>
      <c r="V54" t="str">
        <f t="shared" si="10"/>
        <v/>
      </c>
      <c r="W54" s="7" t="str">
        <f t="shared" ca="1" si="11"/>
        <v/>
      </c>
      <c r="X54" s="57">
        <f t="shared" si="12"/>
        <v>-1</v>
      </c>
      <c r="Y54" s="58" t="str">
        <f t="shared" si="13"/>
        <v/>
      </c>
      <c r="Z54" s="60" t="str">
        <f t="shared" si="14"/>
        <v/>
      </c>
      <c r="AA54" s="60" t="str">
        <f t="shared" si="15"/>
        <v/>
      </c>
      <c r="AB54" s="59" t="str">
        <f t="shared" si="16"/>
        <v/>
      </c>
      <c r="AC54" s="60" t="str">
        <f t="shared" si="17"/>
        <v/>
      </c>
      <c r="AD54" s="60" t="str">
        <f t="shared" si="18"/>
        <v/>
      </c>
    </row>
    <row r="55" spans="3:30" x14ac:dyDescent="0.2">
      <c r="C55" s="6" cm="1">
        <f t="array" ref="C55">IF(C54=-1,-1,
      IF(C54&lt;income_max_row, C54+1,
          IF(C54=income_max_row, income_total_row,
              IF(C54=income_total_row, "/1",
                  IF(C54="/1", expenses_header_row,
                      IF(C54&lt;expenses_max_row, C54+1,
                          IF(C54=expenses_max_row, expenses_total_row,
                              IF(C54=expenses_total_row, "/2",
                                  IF(C54="/2", savings_header_row,
                                      IF(C54&lt;savings_max_row, C54+1,
                                          IF(C54=savings_max_row, savings_total_row, -1)))))))))))</f>
        <v>-1</v>
      </c>
      <c r="D55" s="7">
        <f t="shared" si="0"/>
        <v>-1</v>
      </c>
      <c r="E55" s="6" cm="1">
        <f t="array" ref="E55">1*OR(row_id=income_header_row, row_id=expenses_header_row, row_id=savings_header_row)</f>
        <v>0</v>
      </c>
      <c r="F55">
        <f t="shared" si="1"/>
        <v>0</v>
      </c>
      <c r="G55" cm="1">
        <f t="array" ref="G55">1*OR(row_id=income_total_row, row_id=expenses_total_row, row_id=savings_total_row)</f>
        <v>0</v>
      </c>
      <c r="H55" s="7">
        <f t="shared" si="2"/>
        <v>1</v>
      </c>
      <c r="I55" s="6" t="str" cm="1">
        <f t="array" ref="I55">IFERROR(INDEX('Budget Planning'!$C:$C, header_row_id),"")</f>
        <v/>
      </c>
      <c r="J55" t="str" cm="1">
        <f t="array" ref="J55">IFERROR(INDEX('Budget Planning'!$C:$C, row_id),"")</f>
        <v/>
      </c>
      <c r="K55" s="54" t="str" cm="1">
        <f t="array" ref="K5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5" s="55" t="str" cm="1">
        <f t="array" ref="L55">IF(OR(is_header, is_empty), "",
      INDEX('Budget Planning'!$E:$EM, row_id,
                  MATCH(IF(selected_period="Total Year", selected_year, DATE(selected_year, selected_period, 1)), 'Budget Planning'!$E$9:$EM$9, 0)  ))</f>
        <v/>
      </c>
      <c r="M55" s="6" t="str" cm="1">
        <f t="array" ref="M55">IF(is_cat,
       IF(header_row_id=income_header_row, MATCH(income_min_row, $C:$C, 0),
           IF(header_row_id=expenses_header_row, MATCH(expenses_min_row, $C:$C, 0),
               IF(header_row_id=savings_header_row, MATCH(savings_min_row, $C:$C, 0),""))), "")</f>
        <v/>
      </c>
      <c r="N55" s="7" t="str" cm="1">
        <f t="array" ref="N55">IF(is_cat,
       IF(header_row_id=income_header_row, MATCH(income_max_row, $C:$C, 0),
           IF(header_row_id=expenses_header_row, MATCH(expenses_max_row, $C:$C, 0),
               IF(header_row_id=savings_header_row, MATCH(savings_max_row, $C:$C, 0),""))), "")</f>
        <v/>
      </c>
      <c r="O55" s="6" t="str">
        <f t="shared" si="3"/>
        <v/>
      </c>
      <c r="P55" t="str">
        <f t="shared" ca="1" si="4"/>
        <v/>
      </c>
      <c r="Q55" t="str">
        <f t="shared" si="5"/>
        <v/>
      </c>
      <c r="R55" s="7" t="str">
        <f t="shared" ca="1" si="6"/>
        <v/>
      </c>
      <c r="S55" s="6" t="str">
        <f t="shared" si="19"/>
        <v/>
      </c>
      <c r="T55" t="str">
        <f t="shared" si="8"/>
        <v/>
      </c>
      <c r="U55" t="str">
        <f t="shared" ca="1" si="9"/>
        <v/>
      </c>
      <c r="V55" t="str">
        <f t="shared" si="10"/>
        <v/>
      </c>
      <c r="W55" s="7" t="str">
        <f t="shared" ca="1" si="11"/>
        <v/>
      </c>
      <c r="X55" s="57">
        <f t="shared" si="12"/>
        <v>-1</v>
      </c>
      <c r="Y55" s="58" t="str">
        <f t="shared" si="13"/>
        <v/>
      </c>
      <c r="Z55" s="60" t="str">
        <f t="shared" si="14"/>
        <v/>
      </c>
      <c r="AA55" s="60" t="str">
        <f t="shared" si="15"/>
        <v/>
      </c>
      <c r="AB55" s="59" t="str">
        <f t="shared" si="16"/>
        <v/>
      </c>
      <c r="AC55" s="60" t="str">
        <f t="shared" si="17"/>
        <v/>
      </c>
      <c r="AD55" s="60" t="str">
        <f t="shared" si="18"/>
        <v/>
      </c>
    </row>
    <row r="56" spans="3:30" x14ac:dyDescent="0.2">
      <c r="C56" s="6" cm="1">
        <f t="array" ref="C56">IF(C55=-1,-1,
      IF(C55&lt;income_max_row, C55+1,
          IF(C55=income_max_row, income_total_row,
              IF(C55=income_total_row, "/1",
                  IF(C55="/1", expenses_header_row,
                      IF(C55&lt;expenses_max_row, C55+1,
                          IF(C55=expenses_max_row, expenses_total_row,
                              IF(C55=expenses_total_row, "/2",
                                  IF(C55="/2", savings_header_row,
                                      IF(C55&lt;savings_max_row, C55+1,
                                          IF(C55=savings_max_row, savings_total_row, -1)))))))))))</f>
        <v>-1</v>
      </c>
      <c r="D56" s="7">
        <f t="shared" si="0"/>
        <v>-1</v>
      </c>
      <c r="E56" s="6" cm="1">
        <f t="array" ref="E56">1*OR(row_id=income_header_row, row_id=expenses_header_row, row_id=savings_header_row)</f>
        <v>0</v>
      </c>
      <c r="F56">
        <f t="shared" si="1"/>
        <v>0</v>
      </c>
      <c r="G56" cm="1">
        <f t="array" ref="G56">1*OR(row_id=income_total_row, row_id=expenses_total_row, row_id=savings_total_row)</f>
        <v>0</v>
      </c>
      <c r="H56" s="7">
        <f t="shared" si="2"/>
        <v>1</v>
      </c>
      <c r="I56" s="6" t="str" cm="1">
        <f t="array" ref="I56">IFERROR(INDEX('Budget Planning'!$C:$C, header_row_id),"")</f>
        <v/>
      </c>
      <c r="J56" t="str" cm="1">
        <f t="array" ref="J56">IFERROR(INDEX('Budget Planning'!$C:$C, row_id),"")</f>
        <v/>
      </c>
      <c r="K56" s="54" t="str" cm="1">
        <f t="array" ref="K5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6" s="55" t="str" cm="1">
        <f t="array" ref="L56">IF(OR(is_header, is_empty), "",
      INDEX('Budget Planning'!$E:$EM, row_id,
                  MATCH(IF(selected_period="Total Year", selected_year, DATE(selected_year, selected_period, 1)), 'Budget Planning'!$E$9:$EM$9, 0)  ))</f>
        <v/>
      </c>
      <c r="M56" s="6" t="str" cm="1">
        <f t="array" ref="M56">IF(is_cat,
       IF(header_row_id=income_header_row, MATCH(income_min_row, $C:$C, 0),
           IF(header_row_id=expenses_header_row, MATCH(expenses_min_row, $C:$C, 0),
               IF(header_row_id=savings_header_row, MATCH(savings_min_row, $C:$C, 0),""))), "")</f>
        <v/>
      </c>
      <c r="N56" s="7" t="str" cm="1">
        <f t="array" ref="N56">IF(is_cat,
       IF(header_row_id=income_header_row, MATCH(income_max_row, $C:$C, 0),
           IF(header_row_id=expenses_header_row, MATCH(expenses_max_row, $C:$C, 0),
               IF(header_row_id=savings_header_row, MATCH(savings_max_row, $C:$C, 0),""))), "")</f>
        <v/>
      </c>
      <c r="O56" s="6" t="str">
        <f t="shared" si="3"/>
        <v/>
      </c>
      <c r="P56" t="str">
        <f t="shared" ca="1" si="4"/>
        <v/>
      </c>
      <c r="Q56" t="str">
        <f t="shared" si="5"/>
        <v/>
      </c>
      <c r="R56" s="7" t="str">
        <f t="shared" ca="1" si="6"/>
        <v/>
      </c>
      <c r="S56" s="6" t="str">
        <f t="shared" si="19"/>
        <v/>
      </c>
      <c r="T56" t="str">
        <f t="shared" si="8"/>
        <v/>
      </c>
      <c r="U56" t="str">
        <f t="shared" ca="1" si="9"/>
        <v/>
      </c>
      <c r="V56" t="str">
        <f t="shared" si="10"/>
        <v/>
      </c>
      <c r="W56" s="7" t="str">
        <f t="shared" ca="1" si="11"/>
        <v/>
      </c>
      <c r="X56" s="57">
        <f t="shared" si="12"/>
        <v>-1</v>
      </c>
      <c r="Y56" s="58" t="str">
        <f t="shared" si="13"/>
        <v/>
      </c>
      <c r="Z56" s="60" t="str">
        <f t="shared" si="14"/>
        <v/>
      </c>
      <c r="AA56" s="60" t="str">
        <f t="shared" si="15"/>
        <v/>
      </c>
      <c r="AB56" s="59" t="str">
        <f t="shared" si="16"/>
        <v/>
      </c>
      <c r="AC56" s="60" t="str">
        <f t="shared" si="17"/>
        <v/>
      </c>
      <c r="AD56" s="60" t="str">
        <f t="shared" si="18"/>
        <v/>
      </c>
    </row>
    <row r="57" spans="3:30" x14ac:dyDescent="0.2">
      <c r="C57" s="6" cm="1">
        <f t="array" ref="C57">IF(C56=-1,-1,
      IF(C56&lt;income_max_row, C56+1,
          IF(C56=income_max_row, income_total_row,
              IF(C56=income_total_row, "/1",
                  IF(C56="/1", expenses_header_row,
                      IF(C56&lt;expenses_max_row, C56+1,
                          IF(C56=expenses_max_row, expenses_total_row,
                              IF(C56=expenses_total_row, "/2",
                                  IF(C56="/2", savings_header_row,
                                      IF(C56&lt;savings_max_row, C56+1,
                                          IF(C56=savings_max_row, savings_total_row, -1)))))))))))</f>
        <v>-1</v>
      </c>
      <c r="D57" s="7">
        <f t="shared" si="0"/>
        <v>-1</v>
      </c>
      <c r="E57" s="6" cm="1">
        <f t="array" ref="E57">1*OR(row_id=income_header_row, row_id=expenses_header_row, row_id=savings_header_row)</f>
        <v>0</v>
      </c>
      <c r="F57">
        <f t="shared" si="1"/>
        <v>0</v>
      </c>
      <c r="G57" cm="1">
        <f t="array" ref="G57">1*OR(row_id=income_total_row, row_id=expenses_total_row, row_id=savings_total_row)</f>
        <v>0</v>
      </c>
      <c r="H57" s="7">
        <f t="shared" si="2"/>
        <v>1</v>
      </c>
      <c r="I57" s="6" t="str" cm="1">
        <f t="array" ref="I57">IFERROR(INDEX('Budget Planning'!$C:$C, header_row_id),"")</f>
        <v/>
      </c>
      <c r="J57" t="str" cm="1">
        <f t="array" ref="J57">IFERROR(INDEX('Budget Planning'!$C:$C, row_id),"")</f>
        <v/>
      </c>
      <c r="K57" s="54" t="str" cm="1">
        <f t="array" ref="K5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7" s="55" t="str" cm="1">
        <f t="array" ref="L57">IF(OR(is_header, is_empty), "",
      INDEX('Budget Planning'!$E:$EM, row_id,
                  MATCH(IF(selected_period="Total Year", selected_year, DATE(selected_year, selected_period, 1)), 'Budget Planning'!$E$9:$EM$9, 0)  ))</f>
        <v/>
      </c>
      <c r="M57" s="6" t="str" cm="1">
        <f t="array" ref="M57">IF(is_cat,
       IF(header_row_id=income_header_row, MATCH(income_min_row, $C:$C, 0),
           IF(header_row_id=expenses_header_row, MATCH(expenses_min_row, $C:$C, 0),
               IF(header_row_id=savings_header_row, MATCH(savings_min_row, $C:$C, 0),""))), "")</f>
        <v/>
      </c>
      <c r="N57" s="7" t="str" cm="1">
        <f t="array" ref="N57">IF(is_cat,
       IF(header_row_id=income_header_row, MATCH(income_max_row, $C:$C, 0),
           IF(header_row_id=expenses_header_row, MATCH(expenses_max_row, $C:$C, 0),
               IF(header_row_id=savings_header_row, MATCH(savings_max_row, $C:$C, 0),""))), "")</f>
        <v/>
      </c>
      <c r="O57" s="6" t="str">
        <f t="shared" si="3"/>
        <v/>
      </c>
      <c r="P57" t="str">
        <f t="shared" ca="1" si="4"/>
        <v/>
      </c>
      <c r="Q57" t="str">
        <f t="shared" si="5"/>
        <v/>
      </c>
      <c r="R57" s="7" t="str">
        <f t="shared" ca="1" si="6"/>
        <v/>
      </c>
      <c r="S57" s="6" t="str">
        <f t="shared" si="19"/>
        <v/>
      </c>
      <c r="T57" t="str">
        <f t="shared" si="8"/>
        <v/>
      </c>
      <c r="U57" t="str">
        <f t="shared" ca="1" si="9"/>
        <v/>
      </c>
      <c r="V57" t="str">
        <f t="shared" si="10"/>
        <v/>
      </c>
      <c r="W57" s="7" t="str">
        <f t="shared" ca="1" si="11"/>
        <v/>
      </c>
      <c r="X57" s="57">
        <f t="shared" si="12"/>
        <v>-1</v>
      </c>
      <c r="Y57" s="58" t="str">
        <f t="shared" si="13"/>
        <v/>
      </c>
      <c r="Z57" s="60" t="str">
        <f t="shared" si="14"/>
        <v/>
      </c>
      <c r="AA57" s="60" t="str">
        <f t="shared" si="15"/>
        <v/>
      </c>
      <c r="AB57" s="59" t="str">
        <f t="shared" si="16"/>
        <v/>
      </c>
      <c r="AC57" s="60" t="str">
        <f t="shared" si="17"/>
        <v/>
      </c>
      <c r="AD57" s="60" t="str">
        <f t="shared" si="18"/>
        <v/>
      </c>
    </row>
    <row r="58" spans="3:30" x14ac:dyDescent="0.2">
      <c r="C58" s="6" cm="1">
        <f t="array" ref="C58">IF(C57=-1,-1,
      IF(C57&lt;income_max_row, C57+1,
          IF(C57=income_max_row, income_total_row,
              IF(C57=income_total_row, "/1",
                  IF(C57="/1", expenses_header_row,
                      IF(C57&lt;expenses_max_row, C57+1,
                          IF(C57=expenses_max_row, expenses_total_row,
                              IF(C57=expenses_total_row, "/2",
                                  IF(C57="/2", savings_header_row,
                                      IF(C57&lt;savings_max_row, C57+1,
                                          IF(C57=savings_max_row, savings_total_row, -1)))))))))))</f>
        <v>-1</v>
      </c>
      <c r="D58" s="7">
        <f t="shared" si="0"/>
        <v>-1</v>
      </c>
      <c r="E58" s="6" cm="1">
        <f t="array" ref="E58">1*OR(row_id=income_header_row, row_id=expenses_header_row, row_id=savings_header_row)</f>
        <v>0</v>
      </c>
      <c r="F58">
        <f t="shared" si="1"/>
        <v>0</v>
      </c>
      <c r="G58" cm="1">
        <f t="array" ref="G58">1*OR(row_id=income_total_row, row_id=expenses_total_row, row_id=savings_total_row)</f>
        <v>0</v>
      </c>
      <c r="H58" s="7">
        <f t="shared" si="2"/>
        <v>1</v>
      </c>
      <c r="I58" s="6" t="str" cm="1">
        <f t="array" ref="I58">IFERROR(INDEX('Budget Planning'!$C:$C, header_row_id),"")</f>
        <v/>
      </c>
      <c r="J58" t="str" cm="1">
        <f t="array" ref="J58">IFERROR(INDEX('Budget Planning'!$C:$C, row_id),"")</f>
        <v/>
      </c>
      <c r="K58" s="54" t="str" cm="1">
        <f t="array" ref="K5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8" s="55" t="str" cm="1">
        <f t="array" ref="L58">IF(OR(is_header, is_empty), "",
      INDEX('Budget Planning'!$E:$EM, row_id,
                  MATCH(IF(selected_period="Total Year", selected_year, DATE(selected_year, selected_period, 1)), 'Budget Planning'!$E$9:$EM$9, 0)  ))</f>
        <v/>
      </c>
      <c r="M58" s="6" t="str" cm="1">
        <f t="array" ref="M58">IF(is_cat,
       IF(header_row_id=income_header_row, MATCH(income_min_row, $C:$C, 0),
           IF(header_row_id=expenses_header_row, MATCH(expenses_min_row, $C:$C, 0),
               IF(header_row_id=savings_header_row, MATCH(savings_min_row, $C:$C, 0),""))), "")</f>
        <v/>
      </c>
      <c r="N58" s="7" t="str" cm="1">
        <f t="array" ref="N58">IF(is_cat,
       IF(header_row_id=income_header_row, MATCH(income_max_row, $C:$C, 0),
           IF(header_row_id=expenses_header_row, MATCH(expenses_max_row, $C:$C, 0),
               IF(header_row_id=savings_header_row, MATCH(savings_max_row, $C:$C, 0),""))), "")</f>
        <v/>
      </c>
      <c r="O58" s="6" t="str">
        <f t="shared" si="3"/>
        <v/>
      </c>
      <c r="P58" t="str">
        <f t="shared" ca="1" si="4"/>
        <v/>
      </c>
      <c r="Q58" t="str">
        <f t="shared" si="5"/>
        <v/>
      </c>
      <c r="R58" s="7" t="str">
        <f t="shared" ca="1" si="6"/>
        <v/>
      </c>
      <c r="S58" s="6" t="str">
        <f t="shared" si="19"/>
        <v/>
      </c>
      <c r="T58" t="str">
        <f t="shared" si="8"/>
        <v/>
      </c>
      <c r="U58" t="str">
        <f t="shared" ca="1" si="9"/>
        <v/>
      </c>
      <c r="V58" t="str">
        <f t="shared" si="10"/>
        <v/>
      </c>
      <c r="W58" s="7" t="str">
        <f t="shared" ca="1" si="11"/>
        <v/>
      </c>
      <c r="X58" s="57">
        <f t="shared" si="12"/>
        <v>-1</v>
      </c>
      <c r="Y58" s="58" t="str">
        <f t="shared" si="13"/>
        <v/>
      </c>
      <c r="Z58" s="60" t="str">
        <f t="shared" si="14"/>
        <v/>
      </c>
      <c r="AA58" s="60" t="str">
        <f t="shared" si="15"/>
        <v/>
      </c>
      <c r="AB58" s="59" t="str">
        <f t="shared" si="16"/>
        <v/>
      </c>
      <c r="AC58" s="60" t="str">
        <f t="shared" si="17"/>
        <v/>
      </c>
      <c r="AD58" s="60" t="str">
        <f t="shared" si="18"/>
        <v/>
      </c>
    </row>
    <row r="59" spans="3:30" x14ac:dyDescent="0.2">
      <c r="C59" s="6" cm="1">
        <f t="array" ref="C59">IF(C58=-1,-1,
      IF(C58&lt;income_max_row, C58+1,
          IF(C58=income_max_row, income_total_row,
              IF(C58=income_total_row, "/1",
                  IF(C58="/1", expenses_header_row,
                      IF(C58&lt;expenses_max_row, C58+1,
                          IF(C58=expenses_max_row, expenses_total_row,
                              IF(C58=expenses_total_row, "/2",
                                  IF(C58="/2", savings_header_row,
                                      IF(C58&lt;savings_max_row, C58+1,
                                          IF(C58=savings_max_row, savings_total_row, -1)))))))))))</f>
        <v>-1</v>
      </c>
      <c r="D59" s="7">
        <f t="shared" si="0"/>
        <v>-1</v>
      </c>
      <c r="E59" s="6" cm="1">
        <f t="array" ref="E59">1*OR(row_id=income_header_row, row_id=expenses_header_row, row_id=savings_header_row)</f>
        <v>0</v>
      </c>
      <c r="F59">
        <f t="shared" si="1"/>
        <v>0</v>
      </c>
      <c r="G59" cm="1">
        <f t="array" ref="G59">1*OR(row_id=income_total_row, row_id=expenses_total_row, row_id=savings_total_row)</f>
        <v>0</v>
      </c>
      <c r="H59" s="7">
        <f t="shared" si="2"/>
        <v>1</v>
      </c>
      <c r="I59" s="6" t="str" cm="1">
        <f t="array" ref="I59">IFERROR(INDEX('Budget Planning'!$C:$C, header_row_id),"")</f>
        <v/>
      </c>
      <c r="J59" t="str" cm="1">
        <f t="array" ref="J59">IFERROR(INDEX('Budget Planning'!$C:$C, row_id),"")</f>
        <v/>
      </c>
      <c r="K59" s="54" t="str" cm="1">
        <f t="array" ref="K5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59" s="55" t="str" cm="1">
        <f t="array" ref="L59">IF(OR(is_header, is_empty), "",
      INDEX('Budget Planning'!$E:$EM, row_id,
                  MATCH(IF(selected_period="Total Year", selected_year, DATE(selected_year, selected_period, 1)), 'Budget Planning'!$E$9:$EM$9, 0)  ))</f>
        <v/>
      </c>
      <c r="M59" s="6" t="str" cm="1">
        <f t="array" ref="M59">IF(is_cat,
       IF(header_row_id=income_header_row, MATCH(income_min_row, $C:$C, 0),
           IF(header_row_id=expenses_header_row, MATCH(expenses_min_row, $C:$C, 0),
               IF(header_row_id=savings_header_row, MATCH(savings_min_row, $C:$C, 0),""))), "")</f>
        <v/>
      </c>
      <c r="N59" s="7" t="str" cm="1">
        <f t="array" ref="N59">IF(is_cat,
       IF(header_row_id=income_header_row, MATCH(income_max_row, $C:$C, 0),
           IF(header_row_id=expenses_header_row, MATCH(expenses_max_row, $C:$C, 0),
               IF(header_row_id=savings_header_row, MATCH(savings_max_row, $C:$C, 0),""))), "")</f>
        <v/>
      </c>
      <c r="O59" s="6" t="str">
        <f t="shared" si="3"/>
        <v/>
      </c>
      <c r="P59" t="str">
        <f t="shared" ca="1" si="4"/>
        <v/>
      </c>
      <c r="Q59" t="str">
        <f t="shared" si="5"/>
        <v/>
      </c>
      <c r="R59" s="7" t="str">
        <f t="shared" ca="1" si="6"/>
        <v/>
      </c>
      <c r="S59" s="6" t="str">
        <f t="shared" si="19"/>
        <v/>
      </c>
      <c r="T59" t="str">
        <f t="shared" si="8"/>
        <v/>
      </c>
      <c r="U59" t="str">
        <f t="shared" ca="1" si="9"/>
        <v/>
      </c>
      <c r="V59" t="str">
        <f t="shared" si="10"/>
        <v/>
      </c>
      <c r="W59" s="7" t="str">
        <f t="shared" ca="1" si="11"/>
        <v/>
      </c>
      <c r="X59" s="57">
        <f t="shared" si="12"/>
        <v>-1</v>
      </c>
      <c r="Y59" s="58" t="str">
        <f t="shared" si="13"/>
        <v/>
      </c>
      <c r="Z59" s="60" t="str">
        <f t="shared" si="14"/>
        <v/>
      </c>
      <c r="AA59" s="60" t="str">
        <f t="shared" si="15"/>
        <v/>
      </c>
      <c r="AB59" s="59" t="str">
        <f t="shared" si="16"/>
        <v/>
      </c>
      <c r="AC59" s="60" t="str">
        <f t="shared" si="17"/>
        <v/>
      </c>
      <c r="AD59" s="60" t="str">
        <f t="shared" si="18"/>
        <v/>
      </c>
    </row>
    <row r="60" spans="3:30" x14ac:dyDescent="0.2">
      <c r="C60" s="6" cm="1">
        <f t="array" ref="C60">IF(C59=-1,-1,
      IF(C59&lt;income_max_row, C59+1,
          IF(C59=income_max_row, income_total_row,
              IF(C59=income_total_row, "/1",
                  IF(C59="/1", expenses_header_row,
                      IF(C59&lt;expenses_max_row, C59+1,
                          IF(C59=expenses_max_row, expenses_total_row,
                              IF(C59=expenses_total_row, "/2",
                                  IF(C59="/2", savings_header_row,
                                      IF(C59&lt;savings_max_row, C59+1,
                                          IF(C59=savings_max_row, savings_total_row, -1)))))))))))</f>
        <v>-1</v>
      </c>
      <c r="D60" s="7">
        <f t="shared" si="0"/>
        <v>-1</v>
      </c>
      <c r="E60" s="6" cm="1">
        <f t="array" ref="E60">1*OR(row_id=income_header_row, row_id=expenses_header_row, row_id=savings_header_row)</f>
        <v>0</v>
      </c>
      <c r="F60">
        <f t="shared" si="1"/>
        <v>0</v>
      </c>
      <c r="G60" cm="1">
        <f t="array" ref="G60">1*OR(row_id=income_total_row, row_id=expenses_total_row, row_id=savings_total_row)</f>
        <v>0</v>
      </c>
      <c r="H60" s="7">
        <f t="shared" si="2"/>
        <v>1</v>
      </c>
      <c r="I60" s="6" t="str" cm="1">
        <f t="array" ref="I60">IFERROR(INDEX('Budget Planning'!$C:$C, header_row_id),"")</f>
        <v/>
      </c>
      <c r="J60" t="str" cm="1">
        <f t="array" ref="J60">IFERROR(INDEX('Budget Planning'!$C:$C, row_id),"")</f>
        <v/>
      </c>
      <c r="K60" s="54" t="str" cm="1">
        <f t="array" ref="K6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0" s="55" t="str" cm="1">
        <f t="array" ref="L60">IF(OR(is_header, is_empty), "",
      INDEX('Budget Planning'!$E:$EM, row_id,
                  MATCH(IF(selected_period="Total Year", selected_year, DATE(selected_year, selected_period, 1)), 'Budget Planning'!$E$9:$EM$9, 0)  ))</f>
        <v/>
      </c>
      <c r="M60" s="6" t="str" cm="1">
        <f t="array" ref="M60">IF(is_cat,
       IF(header_row_id=income_header_row, MATCH(income_min_row, $C:$C, 0),
           IF(header_row_id=expenses_header_row, MATCH(expenses_min_row, $C:$C, 0),
               IF(header_row_id=savings_header_row, MATCH(savings_min_row, $C:$C, 0),""))), "")</f>
        <v/>
      </c>
      <c r="N60" s="7" t="str" cm="1">
        <f t="array" ref="N60">IF(is_cat,
       IF(header_row_id=income_header_row, MATCH(income_max_row, $C:$C, 0),
           IF(header_row_id=expenses_header_row, MATCH(expenses_max_row, $C:$C, 0),
               IF(header_row_id=savings_header_row, MATCH(savings_max_row, $C:$C, 0),""))), "")</f>
        <v/>
      </c>
      <c r="O60" s="6" t="str">
        <f t="shared" si="3"/>
        <v/>
      </c>
      <c r="P60" t="str">
        <f t="shared" ca="1" si="4"/>
        <v/>
      </c>
      <c r="Q60" t="str">
        <f t="shared" si="5"/>
        <v/>
      </c>
      <c r="R60" s="7" t="str">
        <f t="shared" ca="1" si="6"/>
        <v/>
      </c>
      <c r="S60" s="6" t="str">
        <f t="shared" si="19"/>
        <v/>
      </c>
      <c r="T60" t="str">
        <f t="shared" si="8"/>
        <v/>
      </c>
      <c r="U60" t="str">
        <f t="shared" ca="1" si="9"/>
        <v/>
      </c>
      <c r="V60" t="str">
        <f t="shared" si="10"/>
        <v/>
      </c>
      <c r="W60" s="7" t="str">
        <f t="shared" ca="1" si="11"/>
        <v/>
      </c>
      <c r="X60" s="57">
        <f t="shared" si="12"/>
        <v>-1</v>
      </c>
      <c r="Y60" s="58" t="str">
        <f t="shared" si="13"/>
        <v/>
      </c>
      <c r="Z60" s="60" t="str">
        <f t="shared" si="14"/>
        <v/>
      </c>
      <c r="AA60" s="60" t="str">
        <f t="shared" si="15"/>
        <v/>
      </c>
      <c r="AB60" s="59" t="str">
        <f t="shared" si="16"/>
        <v/>
      </c>
      <c r="AC60" s="60" t="str">
        <f t="shared" si="17"/>
        <v/>
      </c>
      <c r="AD60" s="60" t="str">
        <f t="shared" si="18"/>
        <v/>
      </c>
    </row>
    <row r="61" spans="3:30" x14ac:dyDescent="0.2">
      <c r="C61" s="6" cm="1">
        <f t="array" ref="C61">IF(C60=-1,-1,
      IF(C60&lt;income_max_row, C60+1,
          IF(C60=income_max_row, income_total_row,
              IF(C60=income_total_row, "/1",
                  IF(C60="/1", expenses_header_row,
                      IF(C60&lt;expenses_max_row, C60+1,
                          IF(C60=expenses_max_row, expenses_total_row,
                              IF(C60=expenses_total_row, "/2",
                                  IF(C60="/2", savings_header_row,
                                      IF(C60&lt;savings_max_row, C60+1,
                                          IF(C60=savings_max_row, savings_total_row, -1)))))))))))</f>
        <v>-1</v>
      </c>
      <c r="D61" s="7">
        <f t="shared" si="0"/>
        <v>-1</v>
      </c>
      <c r="E61" s="6" cm="1">
        <f t="array" ref="E61">1*OR(row_id=income_header_row, row_id=expenses_header_row, row_id=savings_header_row)</f>
        <v>0</v>
      </c>
      <c r="F61">
        <f t="shared" si="1"/>
        <v>0</v>
      </c>
      <c r="G61" cm="1">
        <f t="array" ref="G61">1*OR(row_id=income_total_row, row_id=expenses_total_row, row_id=savings_total_row)</f>
        <v>0</v>
      </c>
      <c r="H61" s="7">
        <f t="shared" si="2"/>
        <v>1</v>
      </c>
      <c r="I61" s="6" t="str" cm="1">
        <f t="array" ref="I61">IFERROR(INDEX('Budget Planning'!$C:$C, header_row_id),"")</f>
        <v/>
      </c>
      <c r="J61" t="str" cm="1">
        <f t="array" ref="J61">IFERROR(INDEX('Budget Planning'!$C:$C, row_id),"")</f>
        <v/>
      </c>
      <c r="K61" s="54" t="str" cm="1">
        <f t="array" ref="K6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1" s="55" t="str" cm="1">
        <f t="array" ref="L61">IF(OR(is_header, is_empty), "",
      INDEX('Budget Planning'!$E:$EM, row_id,
                  MATCH(IF(selected_period="Total Year", selected_year, DATE(selected_year, selected_period, 1)), 'Budget Planning'!$E$9:$EM$9, 0)  ))</f>
        <v/>
      </c>
      <c r="M61" s="6" t="str" cm="1">
        <f t="array" ref="M61">IF(is_cat,
       IF(header_row_id=income_header_row, MATCH(income_min_row, $C:$C, 0),
           IF(header_row_id=expenses_header_row, MATCH(expenses_min_row, $C:$C, 0),
               IF(header_row_id=savings_header_row, MATCH(savings_min_row, $C:$C, 0),""))), "")</f>
        <v/>
      </c>
      <c r="N61" s="7" t="str" cm="1">
        <f t="array" ref="N61">IF(is_cat,
       IF(header_row_id=income_header_row, MATCH(income_max_row, $C:$C, 0),
           IF(header_row_id=expenses_header_row, MATCH(expenses_max_row, $C:$C, 0),
               IF(header_row_id=savings_header_row, MATCH(savings_max_row, $C:$C, 0),""))), "")</f>
        <v/>
      </c>
      <c r="O61" s="6" t="str">
        <f t="shared" si="3"/>
        <v/>
      </c>
      <c r="P61" t="str">
        <f t="shared" ca="1" si="4"/>
        <v/>
      </c>
      <c r="Q61" t="str">
        <f t="shared" si="5"/>
        <v/>
      </c>
      <c r="R61" s="7" t="str">
        <f t="shared" ca="1" si="6"/>
        <v/>
      </c>
      <c r="S61" s="6" t="str">
        <f t="shared" si="19"/>
        <v/>
      </c>
      <c r="T61" t="str">
        <f t="shared" si="8"/>
        <v/>
      </c>
      <c r="U61" t="str">
        <f t="shared" ca="1" si="9"/>
        <v/>
      </c>
      <c r="V61" t="str">
        <f t="shared" si="10"/>
        <v/>
      </c>
      <c r="W61" s="7" t="str">
        <f t="shared" ca="1" si="11"/>
        <v/>
      </c>
      <c r="X61" s="57">
        <f t="shared" si="12"/>
        <v>-1</v>
      </c>
      <c r="Y61" s="58" t="str">
        <f t="shared" si="13"/>
        <v/>
      </c>
      <c r="Z61" s="60" t="str">
        <f t="shared" si="14"/>
        <v/>
      </c>
      <c r="AA61" s="60" t="str">
        <f t="shared" si="15"/>
        <v/>
      </c>
      <c r="AB61" s="59" t="str">
        <f t="shared" si="16"/>
        <v/>
      </c>
      <c r="AC61" s="60" t="str">
        <f t="shared" si="17"/>
        <v/>
      </c>
      <c r="AD61" s="60" t="str">
        <f t="shared" si="18"/>
        <v/>
      </c>
    </row>
    <row r="62" spans="3:30" x14ac:dyDescent="0.2">
      <c r="C62" s="6" cm="1">
        <f t="array" ref="C62">IF(C61=-1,-1,
      IF(C61&lt;income_max_row, C61+1,
          IF(C61=income_max_row, income_total_row,
              IF(C61=income_total_row, "/1",
                  IF(C61="/1", expenses_header_row,
                      IF(C61&lt;expenses_max_row, C61+1,
                          IF(C61=expenses_max_row, expenses_total_row,
                              IF(C61=expenses_total_row, "/2",
                                  IF(C61="/2", savings_header_row,
                                      IF(C61&lt;savings_max_row, C61+1,
                                          IF(C61=savings_max_row, savings_total_row, -1)))))))))))</f>
        <v>-1</v>
      </c>
      <c r="D62" s="7">
        <f t="shared" si="0"/>
        <v>-1</v>
      </c>
      <c r="E62" s="6" cm="1">
        <f t="array" ref="E62">1*OR(row_id=income_header_row, row_id=expenses_header_row, row_id=savings_header_row)</f>
        <v>0</v>
      </c>
      <c r="F62">
        <f t="shared" si="1"/>
        <v>0</v>
      </c>
      <c r="G62" cm="1">
        <f t="array" ref="G62">1*OR(row_id=income_total_row, row_id=expenses_total_row, row_id=savings_total_row)</f>
        <v>0</v>
      </c>
      <c r="H62" s="7">
        <f t="shared" si="2"/>
        <v>1</v>
      </c>
      <c r="I62" s="6" t="str" cm="1">
        <f t="array" ref="I62">IFERROR(INDEX('Budget Planning'!$C:$C, header_row_id),"")</f>
        <v/>
      </c>
      <c r="J62" t="str" cm="1">
        <f t="array" ref="J62">IFERROR(INDEX('Budget Planning'!$C:$C, row_id),"")</f>
        <v/>
      </c>
      <c r="K62" s="54" t="str" cm="1">
        <f t="array" ref="K6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2" s="55" t="str" cm="1">
        <f t="array" ref="L62">IF(OR(is_header, is_empty), "",
      INDEX('Budget Planning'!$E:$EM, row_id,
                  MATCH(IF(selected_period="Total Year", selected_year, DATE(selected_year, selected_period, 1)), 'Budget Planning'!$E$9:$EM$9, 0)  ))</f>
        <v/>
      </c>
      <c r="M62" s="6" t="str" cm="1">
        <f t="array" ref="M62">IF(is_cat,
       IF(header_row_id=income_header_row, MATCH(income_min_row, $C:$C, 0),
           IF(header_row_id=expenses_header_row, MATCH(expenses_min_row, $C:$C, 0),
               IF(header_row_id=savings_header_row, MATCH(savings_min_row, $C:$C, 0),""))), "")</f>
        <v/>
      </c>
      <c r="N62" s="7" t="str" cm="1">
        <f t="array" ref="N62">IF(is_cat,
       IF(header_row_id=income_header_row, MATCH(income_max_row, $C:$C, 0),
           IF(header_row_id=expenses_header_row, MATCH(expenses_max_row, $C:$C, 0),
               IF(header_row_id=savings_header_row, MATCH(savings_max_row, $C:$C, 0),""))), "")</f>
        <v/>
      </c>
      <c r="O62" s="6" t="str">
        <f t="shared" si="3"/>
        <v/>
      </c>
      <c r="P62" t="str">
        <f t="shared" ca="1" si="4"/>
        <v/>
      </c>
      <c r="Q62" t="str">
        <f t="shared" si="5"/>
        <v/>
      </c>
      <c r="R62" s="7" t="str">
        <f t="shared" ca="1" si="6"/>
        <v/>
      </c>
      <c r="S62" s="6" t="str">
        <f t="shared" si="19"/>
        <v/>
      </c>
      <c r="T62" t="str">
        <f t="shared" si="8"/>
        <v/>
      </c>
      <c r="U62" t="str">
        <f t="shared" ca="1" si="9"/>
        <v/>
      </c>
      <c r="V62" t="str">
        <f t="shared" si="10"/>
        <v/>
      </c>
      <c r="W62" s="7" t="str">
        <f t="shared" ca="1" si="11"/>
        <v/>
      </c>
      <c r="X62" s="57">
        <f t="shared" si="12"/>
        <v>-1</v>
      </c>
      <c r="Y62" s="58" t="str">
        <f t="shared" si="13"/>
        <v/>
      </c>
      <c r="Z62" s="60" t="str">
        <f t="shared" si="14"/>
        <v/>
      </c>
      <c r="AA62" s="60" t="str">
        <f t="shared" si="15"/>
        <v/>
      </c>
      <c r="AB62" s="59" t="str">
        <f t="shared" si="16"/>
        <v/>
      </c>
      <c r="AC62" s="60" t="str">
        <f t="shared" si="17"/>
        <v/>
      </c>
      <c r="AD62" s="60" t="str">
        <f t="shared" si="18"/>
        <v/>
      </c>
    </row>
    <row r="63" spans="3:30" x14ac:dyDescent="0.2">
      <c r="C63" s="6" cm="1">
        <f t="array" ref="C63">IF(C62=-1,-1,
      IF(C62&lt;income_max_row, C62+1,
          IF(C62=income_max_row, income_total_row,
              IF(C62=income_total_row, "/1",
                  IF(C62="/1", expenses_header_row,
                      IF(C62&lt;expenses_max_row, C62+1,
                          IF(C62=expenses_max_row, expenses_total_row,
                              IF(C62=expenses_total_row, "/2",
                                  IF(C62="/2", savings_header_row,
                                      IF(C62&lt;savings_max_row, C62+1,
                                          IF(C62=savings_max_row, savings_total_row, -1)))))))))))</f>
        <v>-1</v>
      </c>
      <c r="D63" s="7">
        <f t="shared" si="0"/>
        <v>-1</v>
      </c>
      <c r="E63" s="6" cm="1">
        <f t="array" ref="E63">1*OR(row_id=income_header_row, row_id=expenses_header_row, row_id=savings_header_row)</f>
        <v>0</v>
      </c>
      <c r="F63">
        <f t="shared" si="1"/>
        <v>0</v>
      </c>
      <c r="G63" cm="1">
        <f t="array" ref="G63">1*OR(row_id=income_total_row, row_id=expenses_total_row, row_id=savings_total_row)</f>
        <v>0</v>
      </c>
      <c r="H63" s="7">
        <f t="shared" si="2"/>
        <v>1</v>
      </c>
      <c r="I63" s="6" t="str" cm="1">
        <f t="array" ref="I63">IFERROR(INDEX('Budget Planning'!$C:$C, header_row_id),"")</f>
        <v/>
      </c>
      <c r="J63" t="str" cm="1">
        <f t="array" ref="J63">IFERROR(INDEX('Budget Planning'!$C:$C, row_id),"")</f>
        <v/>
      </c>
      <c r="K63" s="54" t="str" cm="1">
        <f t="array" ref="K6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3" s="55" t="str" cm="1">
        <f t="array" ref="L63">IF(OR(is_header, is_empty), "",
      INDEX('Budget Planning'!$E:$EM, row_id,
                  MATCH(IF(selected_period="Total Year", selected_year, DATE(selected_year, selected_period, 1)), 'Budget Planning'!$E$9:$EM$9, 0)  ))</f>
        <v/>
      </c>
      <c r="M63" s="6" t="str" cm="1">
        <f t="array" ref="M63">IF(is_cat,
       IF(header_row_id=income_header_row, MATCH(income_min_row, $C:$C, 0),
           IF(header_row_id=expenses_header_row, MATCH(expenses_min_row, $C:$C, 0),
               IF(header_row_id=savings_header_row, MATCH(savings_min_row, $C:$C, 0),""))), "")</f>
        <v/>
      </c>
      <c r="N63" s="7" t="str" cm="1">
        <f t="array" ref="N63">IF(is_cat,
       IF(header_row_id=income_header_row, MATCH(income_max_row, $C:$C, 0),
           IF(header_row_id=expenses_header_row, MATCH(expenses_max_row, $C:$C, 0),
               IF(header_row_id=savings_header_row, MATCH(savings_max_row, $C:$C, 0),""))), "")</f>
        <v/>
      </c>
      <c r="O63" s="6" t="str">
        <f t="shared" si="3"/>
        <v/>
      </c>
      <c r="P63" t="str">
        <f t="shared" ca="1" si="4"/>
        <v/>
      </c>
      <c r="Q63" t="str">
        <f t="shared" si="5"/>
        <v/>
      </c>
      <c r="R63" s="7" t="str">
        <f t="shared" ca="1" si="6"/>
        <v/>
      </c>
      <c r="S63" s="6" t="str">
        <f t="shared" si="19"/>
        <v/>
      </c>
      <c r="T63" t="str">
        <f t="shared" si="8"/>
        <v/>
      </c>
      <c r="U63" t="str">
        <f t="shared" ca="1" si="9"/>
        <v/>
      </c>
      <c r="V63" t="str">
        <f t="shared" si="10"/>
        <v/>
      </c>
      <c r="W63" s="7" t="str">
        <f t="shared" ca="1" si="11"/>
        <v/>
      </c>
      <c r="X63" s="57">
        <f t="shared" si="12"/>
        <v>-1</v>
      </c>
      <c r="Y63" s="58" t="str">
        <f t="shared" si="13"/>
        <v/>
      </c>
      <c r="Z63" s="60" t="str">
        <f t="shared" si="14"/>
        <v/>
      </c>
      <c r="AA63" s="60" t="str">
        <f t="shared" si="15"/>
        <v/>
      </c>
      <c r="AB63" s="59" t="str">
        <f t="shared" si="16"/>
        <v/>
      </c>
      <c r="AC63" s="60" t="str">
        <f t="shared" si="17"/>
        <v/>
      </c>
      <c r="AD63" s="60" t="str">
        <f t="shared" si="18"/>
        <v/>
      </c>
    </row>
    <row r="64" spans="3:30" x14ac:dyDescent="0.2">
      <c r="C64" s="6" cm="1">
        <f t="array" ref="C64">IF(C63=-1,-1,
      IF(C63&lt;income_max_row, C63+1,
          IF(C63=income_max_row, income_total_row,
              IF(C63=income_total_row, "/1",
                  IF(C63="/1", expenses_header_row,
                      IF(C63&lt;expenses_max_row, C63+1,
                          IF(C63=expenses_max_row, expenses_total_row,
                              IF(C63=expenses_total_row, "/2",
                                  IF(C63="/2", savings_header_row,
                                      IF(C63&lt;savings_max_row, C63+1,
                                          IF(C63=savings_max_row, savings_total_row, -1)))))))))))</f>
        <v>-1</v>
      </c>
      <c r="D64" s="7">
        <f t="shared" si="0"/>
        <v>-1</v>
      </c>
      <c r="E64" s="6" cm="1">
        <f t="array" ref="E64">1*OR(row_id=income_header_row, row_id=expenses_header_row, row_id=savings_header_row)</f>
        <v>0</v>
      </c>
      <c r="F64">
        <f t="shared" si="1"/>
        <v>0</v>
      </c>
      <c r="G64" cm="1">
        <f t="array" ref="G64">1*OR(row_id=income_total_row, row_id=expenses_total_row, row_id=savings_total_row)</f>
        <v>0</v>
      </c>
      <c r="H64" s="7">
        <f t="shared" si="2"/>
        <v>1</v>
      </c>
      <c r="I64" s="6" t="str" cm="1">
        <f t="array" ref="I64">IFERROR(INDEX('Budget Planning'!$C:$C, header_row_id),"")</f>
        <v/>
      </c>
      <c r="J64" t="str" cm="1">
        <f t="array" ref="J64">IFERROR(INDEX('Budget Planning'!$C:$C, row_id),"")</f>
        <v/>
      </c>
      <c r="K64" s="54" t="str" cm="1">
        <f t="array" ref="K6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4" s="55" t="str" cm="1">
        <f t="array" ref="L64">IF(OR(is_header, is_empty), "",
      INDEX('Budget Planning'!$E:$EM, row_id,
                  MATCH(IF(selected_period="Total Year", selected_year, DATE(selected_year, selected_period, 1)), 'Budget Planning'!$E$9:$EM$9, 0)  ))</f>
        <v/>
      </c>
      <c r="M64" s="6" t="str" cm="1">
        <f t="array" ref="M64">IF(is_cat,
       IF(header_row_id=income_header_row, MATCH(income_min_row, $C:$C, 0),
           IF(header_row_id=expenses_header_row, MATCH(expenses_min_row, $C:$C, 0),
               IF(header_row_id=savings_header_row, MATCH(savings_min_row, $C:$C, 0),""))), "")</f>
        <v/>
      </c>
      <c r="N64" s="7" t="str" cm="1">
        <f t="array" ref="N64">IF(is_cat,
       IF(header_row_id=income_header_row, MATCH(income_max_row, $C:$C, 0),
           IF(header_row_id=expenses_header_row, MATCH(expenses_max_row, $C:$C, 0),
               IF(header_row_id=savings_header_row, MATCH(savings_max_row, $C:$C, 0),""))), "")</f>
        <v/>
      </c>
      <c r="O64" s="6" t="str">
        <f t="shared" si="3"/>
        <v/>
      </c>
      <c r="P64" t="str">
        <f t="shared" ca="1" si="4"/>
        <v/>
      </c>
      <c r="Q64" t="str">
        <f t="shared" si="5"/>
        <v/>
      </c>
      <c r="R64" s="7" t="str">
        <f t="shared" ca="1" si="6"/>
        <v/>
      </c>
      <c r="S64" s="6" t="str">
        <f t="shared" si="19"/>
        <v/>
      </c>
      <c r="T64" t="str">
        <f t="shared" si="8"/>
        <v/>
      </c>
      <c r="U64" t="str">
        <f t="shared" ca="1" si="9"/>
        <v/>
      </c>
      <c r="V64" t="str">
        <f t="shared" si="10"/>
        <v/>
      </c>
      <c r="W64" s="7" t="str">
        <f t="shared" ca="1" si="11"/>
        <v/>
      </c>
      <c r="X64" s="57">
        <f t="shared" si="12"/>
        <v>-1</v>
      </c>
      <c r="Y64" s="58" t="str">
        <f t="shared" si="13"/>
        <v/>
      </c>
      <c r="Z64" s="60" t="str">
        <f t="shared" si="14"/>
        <v/>
      </c>
      <c r="AA64" s="60" t="str">
        <f t="shared" si="15"/>
        <v/>
      </c>
      <c r="AB64" s="59" t="str">
        <f t="shared" si="16"/>
        <v/>
      </c>
      <c r="AC64" s="60" t="str">
        <f t="shared" si="17"/>
        <v/>
      </c>
      <c r="AD64" s="60" t="str">
        <f t="shared" si="18"/>
        <v/>
      </c>
    </row>
    <row r="65" spans="3:30" x14ac:dyDescent="0.2">
      <c r="C65" s="6" cm="1">
        <f t="array" ref="C65">IF(C64=-1,-1,
      IF(C64&lt;income_max_row, C64+1,
          IF(C64=income_max_row, income_total_row,
              IF(C64=income_total_row, "/1",
                  IF(C64="/1", expenses_header_row,
                      IF(C64&lt;expenses_max_row, C64+1,
                          IF(C64=expenses_max_row, expenses_total_row,
                              IF(C64=expenses_total_row, "/2",
                                  IF(C64="/2", savings_header_row,
                                      IF(C64&lt;savings_max_row, C64+1,
                                          IF(C64=savings_max_row, savings_total_row, -1)))))))))))</f>
        <v>-1</v>
      </c>
      <c r="D65" s="7">
        <f t="shared" si="0"/>
        <v>-1</v>
      </c>
      <c r="E65" s="6" cm="1">
        <f t="array" ref="E65">1*OR(row_id=income_header_row, row_id=expenses_header_row, row_id=savings_header_row)</f>
        <v>0</v>
      </c>
      <c r="F65">
        <f t="shared" si="1"/>
        <v>0</v>
      </c>
      <c r="G65" cm="1">
        <f t="array" ref="G65">1*OR(row_id=income_total_row, row_id=expenses_total_row, row_id=savings_total_row)</f>
        <v>0</v>
      </c>
      <c r="H65" s="7">
        <f t="shared" si="2"/>
        <v>1</v>
      </c>
      <c r="I65" s="6" t="str" cm="1">
        <f t="array" ref="I65">IFERROR(INDEX('Budget Planning'!$C:$C, header_row_id),"")</f>
        <v/>
      </c>
      <c r="J65" t="str" cm="1">
        <f t="array" ref="J65">IFERROR(INDEX('Budget Planning'!$C:$C, row_id),"")</f>
        <v/>
      </c>
      <c r="K65" s="54" t="str" cm="1">
        <f t="array" ref="K6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5" s="55" t="str" cm="1">
        <f t="array" ref="L65">IF(OR(is_header, is_empty), "",
      INDEX('Budget Planning'!$E:$EM, row_id,
                  MATCH(IF(selected_period="Total Year", selected_year, DATE(selected_year, selected_period, 1)), 'Budget Planning'!$E$9:$EM$9, 0)  ))</f>
        <v/>
      </c>
      <c r="M65" s="6" t="str" cm="1">
        <f t="array" ref="M65">IF(is_cat,
       IF(header_row_id=income_header_row, MATCH(income_min_row, $C:$C, 0),
           IF(header_row_id=expenses_header_row, MATCH(expenses_min_row, $C:$C, 0),
               IF(header_row_id=savings_header_row, MATCH(savings_min_row, $C:$C, 0),""))), "")</f>
        <v/>
      </c>
      <c r="N65" s="7" t="str" cm="1">
        <f t="array" ref="N65">IF(is_cat,
       IF(header_row_id=income_header_row, MATCH(income_max_row, $C:$C, 0),
           IF(header_row_id=expenses_header_row, MATCH(expenses_max_row, $C:$C, 0),
               IF(header_row_id=savings_header_row, MATCH(savings_max_row, $C:$C, 0),""))), "")</f>
        <v/>
      </c>
      <c r="O65" s="6" t="str">
        <f t="shared" si="3"/>
        <v/>
      </c>
      <c r="P65" t="str">
        <f t="shared" ca="1" si="4"/>
        <v/>
      </c>
      <c r="Q65" t="str">
        <f t="shared" si="5"/>
        <v/>
      </c>
      <c r="R65" s="7" t="str">
        <f t="shared" ca="1" si="6"/>
        <v/>
      </c>
      <c r="S65" s="6" t="str">
        <f t="shared" si="19"/>
        <v/>
      </c>
      <c r="T65" t="str">
        <f t="shared" si="8"/>
        <v/>
      </c>
      <c r="U65" t="str">
        <f t="shared" ca="1" si="9"/>
        <v/>
      </c>
      <c r="V65" t="str">
        <f t="shared" si="10"/>
        <v/>
      </c>
      <c r="W65" s="7" t="str">
        <f t="shared" ca="1" si="11"/>
        <v/>
      </c>
      <c r="X65" s="57">
        <f t="shared" si="12"/>
        <v>-1</v>
      </c>
      <c r="Y65" s="58" t="str">
        <f t="shared" si="13"/>
        <v/>
      </c>
      <c r="Z65" s="60" t="str">
        <f t="shared" si="14"/>
        <v/>
      </c>
      <c r="AA65" s="60" t="str">
        <f t="shared" si="15"/>
        <v/>
      </c>
      <c r="AB65" s="59" t="str">
        <f t="shared" si="16"/>
        <v/>
      </c>
      <c r="AC65" s="60" t="str">
        <f t="shared" si="17"/>
        <v/>
      </c>
      <c r="AD65" s="60" t="str">
        <f t="shared" si="18"/>
        <v/>
      </c>
    </row>
    <row r="66" spans="3:30" x14ac:dyDescent="0.2">
      <c r="C66" s="6" cm="1">
        <f t="array" ref="C66">IF(C65=-1,-1,
      IF(C65&lt;income_max_row, C65+1,
          IF(C65=income_max_row, income_total_row,
              IF(C65=income_total_row, "/1",
                  IF(C65="/1", expenses_header_row,
                      IF(C65&lt;expenses_max_row, C65+1,
                          IF(C65=expenses_max_row, expenses_total_row,
                              IF(C65=expenses_total_row, "/2",
                                  IF(C65="/2", savings_header_row,
                                      IF(C65&lt;savings_max_row, C65+1,
                                          IF(C65=savings_max_row, savings_total_row, -1)))))))))))</f>
        <v>-1</v>
      </c>
      <c r="D66" s="7">
        <f t="shared" si="0"/>
        <v>-1</v>
      </c>
      <c r="E66" s="6" cm="1">
        <f t="array" ref="E66">1*OR(row_id=income_header_row, row_id=expenses_header_row, row_id=savings_header_row)</f>
        <v>0</v>
      </c>
      <c r="F66">
        <f t="shared" si="1"/>
        <v>0</v>
      </c>
      <c r="G66" cm="1">
        <f t="array" ref="G66">1*OR(row_id=income_total_row, row_id=expenses_total_row, row_id=savings_total_row)</f>
        <v>0</v>
      </c>
      <c r="H66" s="7">
        <f t="shared" si="2"/>
        <v>1</v>
      </c>
      <c r="I66" s="6" t="str" cm="1">
        <f t="array" ref="I66">IFERROR(INDEX('Budget Planning'!$C:$C, header_row_id),"")</f>
        <v/>
      </c>
      <c r="J66" t="str" cm="1">
        <f t="array" ref="J66">IFERROR(INDEX('Budget Planning'!$C:$C, row_id),"")</f>
        <v/>
      </c>
      <c r="K66" s="54" t="str" cm="1">
        <f t="array" ref="K6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6" s="55" t="str" cm="1">
        <f t="array" ref="L66">IF(OR(is_header, is_empty), "",
      INDEX('Budget Planning'!$E:$EM, row_id,
                  MATCH(IF(selected_period="Total Year", selected_year, DATE(selected_year, selected_period, 1)), 'Budget Planning'!$E$9:$EM$9, 0)  ))</f>
        <v/>
      </c>
      <c r="M66" s="6" t="str" cm="1">
        <f t="array" ref="M66">IF(is_cat,
       IF(header_row_id=income_header_row, MATCH(income_min_row, $C:$C, 0),
           IF(header_row_id=expenses_header_row, MATCH(expenses_min_row, $C:$C, 0),
               IF(header_row_id=savings_header_row, MATCH(savings_min_row, $C:$C, 0),""))), "")</f>
        <v/>
      </c>
      <c r="N66" s="7" t="str" cm="1">
        <f t="array" ref="N66">IF(is_cat,
       IF(header_row_id=income_header_row, MATCH(income_max_row, $C:$C, 0),
           IF(header_row_id=expenses_header_row, MATCH(expenses_max_row, $C:$C, 0),
               IF(header_row_id=savings_header_row, MATCH(savings_max_row, $C:$C, 0),""))), "")</f>
        <v/>
      </c>
      <c r="O66" s="6" t="str">
        <f t="shared" si="3"/>
        <v/>
      </c>
      <c r="P66" t="str">
        <f t="shared" ca="1" si="4"/>
        <v/>
      </c>
      <c r="Q66" t="str">
        <f t="shared" si="5"/>
        <v/>
      </c>
      <c r="R66" s="7" t="str">
        <f t="shared" ca="1" si="6"/>
        <v/>
      </c>
      <c r="S66" s="6" t="str">
        <f t="shared" si="19"/>
        <v/>
      </c>
      <c r="T66" t="str">
        <f t="shared" si="8"/>
        <v/>
      </c>
      <c r="U66" t="str">
        <f t="shared" ca="1" si="9"/>
        <v/>
      </c>
      <c r="V66" t="str">
        <f t="shared" si="10"/>
        <v/>
      </c>
      <c r="W66" s="7" t="str">
        <f t="shared" ca="1" si="11"/>
        <v/>
      </c>
      <c r="X66" s="57">
        <f t="shared" si="12"/>
        <v>-1</v>
      </c>
      <c r="Y66" s="58" t="str">
        <f t="shared" si="13"/>
        <v/>
      </c>
      <c r="Z66" s="60" t="str">
        <f t="shared" si="14"/>
        <v/>
      </c>
      <c r="AA66" s="60" t="str">
        <f t="shared" si="15"/>
        <v/>
      </c>
      <c r="AB66" s="59" t="str">
        <f t="shared" si="16"/>
        <v/>
      </c>
      <c r="AC66" s="60" t="str">
        <f t="shared" si="17"/>
        <v/>
      </c>
      <c r="AD66" s="60" t="str">
        <f t="shared" si="18"/>
        <v/>
      </c>
    </row>
    <row r="67" spans="3:30" x14ac:dyDescent="0.2">
      <c r="C67" s="6" cm="1">
        <f t="array" ref="C67">IF(C66=-1,-1,
      IF(C66&lt;income_max_row, C66+1,
          IF(C66=income_max_row, income_total_row,
              IF(C66=income_total_row, "/1",
                  IF(C66="/1", expenses_header_row,
                      IF(C66&lt;expenses_max_row, C66+1,
                          IF(C66=expenses_max_row, expenses_total_row,
                              IF(C66=expenses_total_row, "/2",
                                  IF(C66="/2", savings_header_row,
                                      IF(C66&lt;savings_max_row, C66+1,
                                          IF(C66=savings_max_row, savings_total_row, -1)))))))))))</f>
        <v>-1</v>
      </c>
      <c r="D67" s="7">
        <f t="shared" si="0"/>
        <v>-1</v>
      </c>
      <c r="E67" s="6" cm="1">
        <f t="array" ref="E67">1*OR(row_id=income_header_row, row_id=expenses_header_row, row_id=savings_header_row)</f>
        <v>0</v>
      </c>
      <c r="F67">
        <f t="shared" si="1"/>
        <v>0</v>
      </c>
      <c r="G67" cm="1">
        <f t="array" ref="G67">1*OR(row_id=income_total_row, row_id=expenses_total_row, row_id=savings_total_row)</f>
        <v>0</v>
      </c>
      <c r="H67" s="7">
        <f t="shared" si="2"/>
        <v>1</v>
      </c>
      <c r="I67" s="6" t="str" cm="1">
        <f t="array" ref="I67">IFERROR(INDEX('Budget Planning'!$C:$C, header_row_id),"")</f>
        <v/>
      </c>
      <c r="J67" t="str" cm="1">
        <f t="array" ref="J67">IFERROR(INDEX('Budget Planning'!$C:$C, row_id),"")</f>
        <v/>
      </c>
      <c r="K67" s="54" t="str" cm="1">
        <f t="array" ref="K6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7" s="55" t="str" cm="1">
        <f t="array" ref="L67">IF(OR(is_header, is_empty), "",
      INDEX('Budget Planning'!$E:$EM, row_id,
                  MATCH(IF(selected_period="Total Year", selected_year, DATE(selected_year, selected_period, 1)), 'Budget Planning'!$E$9:$EM$9, 0)  ))</f>
        <v/>
      </c>
      <c r="M67" s="6" t="str" cm="1">
        <f t="array" ref="M67">IF(is_cat,
       IF(header_row_id=income_header_row, MATCH(income_min_row, $C:$C, 0),
           IF(header_row_id=expenses_header_row, MATCH(expenses_min_row, $C:$C, 0),
               IF(header_row_id=savings_header_row, MATCH(savings_min_row, $C:$C, 0),""))), "")</f>
        <v/>
      </c>
      <c r="N67" s="7" t="str" cm="1">
        <f t="array" ref="N67">IF(is_cat,
       IF(header_row_id=income_header_row, MATCH(income_max_row, $C:$C, 0),
           IF(header_row_id=expenses_header_row, MATCH(expenses_max_row, $C:$C, 0),
               IF(header_row_id=savings_header_row, MATCH(savings_max_row, $C:$C, 0),""))), "")</f>
        <v/>
      </c>
      <c r="O67" s="6" t="str">
        <f t="shared" si="3"/>
        <v/>
      </c>
      <c r="P67" t="str">
        <f t="shared" ca="1" si="4"/>
        <v/>
      </c>
      <c r="Q67" t="str">
        <f t="shared" si="5"/>
        <v/>
      </c>
      <c r="R67" s="7" t="str">
        <f t="shared" ca="1" si="6"/>
        <v/>
      </c>
      <c r="S67" s="6" t="str">
        <f t="shared" si="19"/>
        <v/>
      </c>
      <c r="T67" t="str">
        <f t="shared" si="8"/>
        <v/>
      </c>
      <c r="U67" t="str">
        <f t="shared" ca="1" si="9"/>
        <v/>
      </c>
      <c r="V67" t="str">
        <f t="shared" si="10"/>
        <v/>
      </c>
      <c r="W67" s="7" t="str">
        <f t="shared" ca="1" si="11"/>
        <v/>
      </c>
      <c r="X67" s="57">
        <f t="shared" si="12"/>
        <v>-1</v>
      </c>
      <c r="Y67" s="58" t="str">
        <f t="shared" si="13"/>
        <v/>
      </c>
      <c r="Z67" s="60" t="str">
        <f t="shared" si="14"/>
        <v/>
      </c>
      <c r="AA67" s="60" t="str">
        <f t="shared" si="15"/>
        <v/>
      </c>
      <c r="AB67" s="59" t="str">
        <f t="shared" si="16"/>
        <v/>
      </c>
      <c r="AC67" s="60" t="str">
        <f t="shared" si="17"/>
        <v/>
      </c>
      <c r="AD67" s="60" t="str">
        <f t="shared" si="18"/>
        <v/>
      </c>
    </row>
    <row r="68" spans="3:30" x14ac:dyDescent="0.2">
      <c r="C68" s="6" cm="1">
        <f t="array" ref="C68">IF(C67=-1,-1,
      IF(C67&lt;income_max_row, C67+1,
          IF(C67=income_max_row, income_total_row,
              IF(C67=income_total_row, "/1",
                  IF(C67="/1", expenses_header_row,
                      IF(C67&lt;expenses_max_row, C67+1,
                          IF(C67=expenses_max_row, expenses_total_row,
                              IF(C67=expenses_total_row, "/2",
                                  IF(C67="/2", savings_header_row,
                                      IF(C67&lt;savings_max_row, C67+1,
                                          IF(C67=savings_max_row, savings_total_row, -1)))))))))))</f>
        <v>-1</v>
      </c>
      <c r="D68" s="7">
        <f t="shared" si="0"/>
        <v>-1</v>
      </c>
      <c r="E68" s="6" cm="1">
        <f t="array" ref="E68">1*OR(row_id=income_header_row, row_id=expenses_header_row, row_id=savings_header_row)</f>
        <v>0</v>
      </c>
      <c r="F68">
        <f t="shared" si="1"/>
        <v>0</v>
      </c>
      <c r="G68" cm="1">
        <f t="array" ref="G68">1*OR(row_id=income_total_row, row_id=expenses_total_row, row_id=savings_total_row)</f>
        <v>0</v>
      </c>
      <c r="H68" s="7">
        <f t="shared" si="2"/>
        <v>1</v>
      </c>
      <c r="I68" s="6" t="str" cm="1">
        <f t="array" ref="I68">IFERROR(INDEX('Budget Planning'!$C:$C, header_row_id),"")</f>
        <v/>
      </c>
      <c r="J68" t="str" cm="1">
        <f t="array" ref="J68">IFERROR(INDEX('Budget Planning'!$C:$C, row_id),"")</f>
        <v/>
      </c>
      <c r="K68" s="54" t="str" cm="1">
        <f t="array" ref="K6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8" s="55" t="str" cm="1">
        <f t="array" ref="L68">IF(OR(is_header, is_empty), "",
      INDEX('Budget Planning'!$E:$EM, row_id,
                  MATCH(IF(selected_period="Total Year", selected_year, DATE(selected_year, selected_period, 1)), 'Budget Planning'!$E$9:$EM$9, 0)  ))</f>
        <v/>
      </c>
      <c r="M68" s="6" t="str" cm="1">
        <f t="array" ref="M68">IF(is_cat,
       IF(header_row_id=income_header_row, MATCH(income_min_row, $C:$C, 0),
           IF(header_row_id=expenses_header_row, MATCH(expenses_min_row, $C:$C, 0),
               IF(header_row_id=savings_header_row, MATCH(savings_min_row, $C:$C, 0),""))), "")</f>
        <v/>
      </c>
      <c r="N68" s="7" t="str" cm="1">
        <f t="array" ref="N68">IF(is_cat,
       IF(header_row_id=income_header_row, MATCH(income_max_row, $C:$C, 0),
           IF(header_row_id=expenses_header_row, MATCH(expenses_max_row, $C:$C, 0),
               IF(header_row_id=savings_header_row, MATCH(savings_max_row, $C:$C, 0),""))), "")</f>
        <v/>
      </c>
      <c r="O68" s="6" t="str">
        <f t="shared" si="3"/>
        <v/>
      </c>
      <c r="P68" t="str">
        <f t="shared" ca="1" si="4"/>
        <v/>
      </c>
      <c r="Q68" t="str">
        <f t="shared" si="5"/>
        <v/>
      </c>
      <c r="R68" s="7" t="str">
        <f t="shared" ca="1" si="6"/>
        <v/>
      </c>
      <c r="S68" s="6" t="str">
        <f t="shared" si="19"/>
        <v/>
      </c>
      <c r="T68" t="str">
        <f t="shared" si="8"/>
        <v/>
      </c>
      <c r="U68" t="str">
        <f t="shared" ca="1" si="9"/>
        <v/>
      </c>
      <c r="V68" t="str">
        <f t="shared" si="10"/>
        <v/>
      </c>
      <c r="W68" s="7" t="str">
        <f t="shared" ca="1" si="11"/>
        <v/>
      </c>
      <c r="X68" s="57">
        <f t="shared" si="12"/>
        <v>-1</v>
      </c>
      <c r="Y68" s="58" t="str">
        <f t="shared" si="13"/>
        <v/>
      </c>
      <c r="Z68" s="60" t="str">
        <f t="shared" si="14"/>
        <v/>
      </c>
      <c r="AA68" s="60" t="str">
        <f t="shared" si="15"/>
        <v/>
      </c>
      <c r="AB68" s="59" t="str">
        <f t="shared" si="16"/>
        <v/>
      </c>
      <c r="AC68" s="60" t="str">
        <f t="shared" si="17"/>
        <v/>
      </c>
      <c r="AD68" s="60" t="str">
        <f t="shared" si="18"/>
        <v/>
      </c>
    </row>
    <row r="69" spans="3:30" x14ac:dyDescent="0.2">
      <c r="C69" s="6" cm="1">
        <f t="array" ref="C69">IF(C68=-1,-1,
      IF(C68&lt;income_max_row, C68+1,
          IF(C68=income_max_row, income_total_row,
              IF(C68=income_total_row, "/1",
                  IF(C68="/1", expenses_header_row,
                      IF(C68&lt;expenses_max_row, C68+1,
                          IF(C68=expenses_max_row, expenses_total_row,
                              IF(C68=expenses_total_row, "/2",
                                  IF(C68="/2", savings_header_row,
                                      IF(C68&lt;savings_max_row, C68+1,
                                          IF(C68=savings_max_row, savings_total_row, -1)))))))))))</f>
        <v>-1</v>
      </c>
      <c r="D69" s="7">
        <f t="shared" si="0"/>
        <v>-1</v>
      </c>
      <c r="E69" s="6" cm="1">
        <f t="array" ref="E69">1*OR(row_id=income_header_row, row_id=expenses_header_row, row_id=savings_header_row)</f>
        <v>0</v>
      </c>
      <c r="F69">
        <f t="shared" si="1"/>
        <v>0</v>
      </c>
      <c r="G69" cm="1">
        <f t="array" ref="G69">1*OR(row_id=income_total_row, row_id=expenses_total_row, row_id=savings_total_row)</f>
        <v>0</v>
      </c>
      <c r="H69" s="7">
        <f t="shared" si="2"/>
        <v>1</v>
      </c>
      <c r="I69" s="6" t="str" cm="1">
        <f t="array" ref="I69">IFERROR(INDEX('Budget Planning'!$C:$C, header_row_id),"")</f>
        <v/>
      </c>
      <c r="J69" t="str" cm="1">
        <f t="array" ref="J69">IFERROR(INDEX('Budget Planning'!$C:$C, row_id),"")</f>
        <v/>
      </c>
      <c r="K69" s="54" t="str" cm="1">
        <f t="array" ref="K6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69" s="55" t="str" cm="1">
        <f t="array" ref="L69">IF(OR(is_header, is_empty), "",
      INDEX('Budget Planning'!$E:$EM, row_id,
                  MATCH(IF(selected_period="Total Year", selected_year, DATE(selected_year, selected_period, 1)), 'Budget Planning'!$E$9:$EM$9, 0)  ))</f>
        <v/>
      </c>
      <c r="M69" s="6" t="str" cm="1">
        <f t="array" ref="M69">IF(is_cat,
       IF(header_row_id=income_header_row, MATCH(income_min_row, $C:$C, 0),
           IF(header_row_id=expenses_header_row, MATCH(expenses_min_row, $C:$C, 0),
               IF(header_row_id=savings_header_row, MATCH(savings_min_row, $C:$C, 0),""))), "")</f>
        <v/>
      </c>
      <c r="N69" s="7" t="str" cm="1">
        <f t="array" ref="N69">IF(is_cat,
       IF(header_row_id=income_header_row, MATCH(income_max_row, $C:$C, 0),
           IF(header_row_id=expenses_header_row, MATCH(expenses_max_row, $C:$C, 0),
               IF(header_row_id=savings_header_row, MATCH(savings_max_row, $C:$C, 0),""))), "")</f>
        <v/>
      </c>
      <c r="O69" s="6" t="str">
        <f t="shared" si="3"/>
        <v/>
      </c>
      <c r="P69" t="str">
        <f t="shared" ca="1" si="4"/>
        <v/>
      </c>
      <c r="Q69" t="str">
        <f t="shared" si="5"/>
        <v/>
      </c>
      <c r="R69" s="7" t="str">
        <f t="shared" ca="1" si="6"/>
        <v/>
      </c>
      <c r="S69" s="6" t="str">
        <f t="shared" si="19"/>
        <v/>
      </c>
      <c r="T69" t="str">
        <f t="shared" si="8"/>
        <v/>
      </c>
      <c r="U69" t="str">
        <f t="shared" ca="1" si="9"/>
        <v/>
      </c>
      <c r="V69" t="str">
        <f t="shared" si="10"/>
        <v/>
      </c>
      <c r="W69" s="7" t="str">
        <f t="shared" ca="1" si="11"/>
        <v/>
      </c>
      <c r="X69" s="57">
        <f t="shared" si="12"/>
        <v>-1</v>
      </c>
      <c r="Y69" s="58" t="str">
        <f t="shared" si="13"/>
        <v/>
      </c>
      <c r="Z69" s="60" t="str">
        <f t="shared" si="14"/>
        <v/>
      </c>
      <c r="AA69" s="60" t="str">
        <f t="shared" si="15"/>
        <v/>
      </c>
      <c r="AB69" s="59" t="str">
        <f t="shared" si="16"/>
        <v/>
      </c>
      <c r="AC69" s="60" t="str">
        <f t="shared" si="17"/>
        <v/>
      </c>
      <c r="AD69" s="60" t="str">
        <f t="shared" si="18"/>
        <v/>
      </c>
    </row>
    <row r="70" spans="3:30" x14ac:dyDescent="0.2">
      <c r="C70" s="6" cm="1">
        <f t="array" ref="C70">IF(C69=-1,-1,
      IF(C69&lt;income_max_row, C69+1,
          IF(C69=income_max_row, income_total_row,
              IF(C69=income_total_row, "/1",
                  IF(C69="/1", expenses_header_row,
                      IF(C69&lt;expenses_max_row, C69+1,
                          IF(C69=expenses_max_row, expenses_total_row,
                              IF(C69=expenses_total_row, "/2",
                                  IF(C69="/2", savings_header_row,
                                      IF(C69&lt;savings_max_row, C69+1,
                                          IF(C69=savings_max_row, savings_total_row, -1)))))))))))</f>
        <v>-1</v>
      </c>
      <c r="D70" s="7">
        <f t="shared" si="0"/>
        <v>-1</v>
      </c>
      <c r="E70" s="6" cm="1">
        <f t="array" ref="E70">1*OR(row_id=income_header_row, row_id=expenses_header_row, row_id=savings_header_row)</f>
        <v>0</v>
      </c>
      <c r="F70">
        <f t="shared" si="1"/>
        <v>0</v>
      </c>
      <c r="G70" cm="1">
        <f t="array" ref="G70">1*OR(row_id=income_total_row, row_id=expenses_total_row, row_id=savings_total_row)</f>
        <v>0</v>
      </c>
      <c r="H70" s="7">
        <f t="shared" si="2"/>
        <v>1</v>
      </c>
      <c r="I70" s="6" t="str" cm="1">
        <f t="array" ref="I70">IFERROR(INDEX('Budget Planning'!$C:$C, header_row_id),"")</f>
        <v/>
      </c>
      <c r="J70" t="str" cm="1">
        <f t="array" ref="J70">IFERROR(INDEX('Budget Planning'!$C:$C, row_id),"")</f>
        <v/>
      </c>
      <c r="K70" s="54" t="str" cm="1">
        <f t="array" ref="K7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0" s="55" t="str" cm="1">
        <f t="array" ref="L70">IF(OR(is_header, is_empty), "",
      INDEX('Budget Planning'!$E:$EM, row_id,
                  MATCH(IF(selected_period="Total Year", selected_year, DATE(selected_year, selected_period, 1)), 'Budget Planning'!$E$9:$EM$9, 0)  ))</f>
        <v/>
      </c>
      <c r="M70" s="6" t="str" cm="1">
        <f t="array" ref="M70">IF(is_cat,
       IF(header_row_id=income_header_row, MATCH(income_min_row, $C:$C, 0),
           IF(header_row_id=expenses_header_row, MATCH(expenses_min_row, $C:$C, 0),
               IF(header_row_id=savings_header_row, MATCH(savings_min_row, $C:$C, 0),""))), "")</f>
        <v/>
      </c>
      <c r="N70" s="7" t="str" cm="1">
        <f t="array" ref="N70">IF(is_cat,
       IF(header_row_id=income_header_row, MATCH(income_max_row, $C:$C, 0),
           IF(header_row_id=expenses_header_row, MATCH(expenses_max_row, $C:$C, 0),
               IF(header_row_id=savings_header_row, MATCH(savings_max_row, $C:$C, 0),""))), "")</f>
        <v/>
      </c>
      <c r="O70" s="6" t="str">
        <f t="shared" si="3"/>
        <v/>
      </c>
      <c r="P70" t="str">
        <f t="shared" ca="1" si="4"/>
        <v/>
      </c>
      <c r="Q70" t="str">
        <f t="shared" si="5"/>
        <v/>
      </c>
      <c r="R70" s="7" t="str">
        <f t="shared" ca="1" si="6"/>
        <v/>
      </c>
      <c r="S70" s="6" t="str">
        <f t="shared" si="19"/>
        <v/>
      </c>
      <c r="T70" t="str">
        <f t="shared" si="8"/>
        <v/>
      </c>
      <c r="U70" t="str">
        <f t="shared" ca="1" si="9"/>
        <v/>
      </c>
      <c r="V70" t="str">
        <f t="shared" si="10"/>
        <v/>
      </c>
      <c r="W70" s="7" t="str">
        <f t="shared" ca="1" si="11"/>
        <v/>
      </c>
      <c r="X70" s="57">
        <f t="shared" si="12"/>
        <v>-1</v>
      </c>
      <c r="Y70" s="58" t="str">
        <f t="shared" si="13"/>
        <v/>
      </c>
      <c r="Z70" s="60" t="str">
        <f t="shared" si="14"/>
        <v/>
      </c>
      <c r="AA70" s="60" t="str">
        <f t="shared" si="15"/>
        <v/>
      </c>
      <c r="AB70" s="59" t="str">
        <f t="shared" si="16"/>
        <v/>
      </c>
      <c r="AC70" s="60" t="str">
        <f t="shared" si="17"/>
        <v/>
      </c>
      <c r="AD70" s="60" t="str">
        <f t="shared" si="18"/>
        <v/>
      </c>
    </row>
    <row r="71" spans="3:30" x14ac:dyDescent="0.2">
      <c r="C71" s="6" cm="1">
        <f t="array" ref="C71">IF(C70=-1,-1,
      IF(C70&lt;income_max_row, C70+1,
          IF(C70=income_max_row, income_total_row,
              IF(C70=income_total_row, "/1",
                  IF(C70="/1", expenses_header_row,
                      IF(C70&lt;expenses_max_row, C70+1,
                          IF(C70=expenses_max_row, expenses_total_row,
                              IF(C70=expenses_total_row, "/2",
                                  IF(C70="/2", savings_header_row,
                                      IF(C70&lt;savings_max_row, C70+1,
                                          IF(C70=savings_max_row, savings_total_row, -1)))))))))))</f>
        <v>-1</v>
      </c>
      <c r="D71" s="7">
        <f t="shared" si="0"/>
        <v>-1</v>
      </c>
      <c r="E71" s="6" cm="1">
        <f t="array" ref="E71">1*OR(row_id=income_header_row, row_id=expenses_header_row, row_id=savings_header_row)</f>
        <v>0</v>
      </c>
      <c r="F71">
        <f t="shared" si="1"/>
        <v>0</v>
      </c>
      <c r="G71" cm="1">
        <f t="array" ref="G71">1*OR(row_id=income_total_row, row_id=expenses_total_row, row_id=savings_total_row)</f>
        <v>0</v>
      </c>
      <c r="H71" s="7">
        <f t="shared" si="2"/>
        <v>1</v>
      </c>
      <c r="I71" s="6" t="str" cm="1">
        <f t="array" ref="I71">IFERROR(INDEX('Budget Planning'!$C:$C, header_row_id),"")</f>
        <v/>
      </c>
      <c r="J71" t="str" cm="1">
        <f t="array" ref="J71">IFERROR(INDEX('Budget Planning'!$C:$C, row_id),"")</f>
        <v/>
      </c>
      <c r="K71" s="54" t="str" cm="1">
        <f t="array" ref="K7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1" s="55" t="str" cm="1">
        <f t="array" ref="L71">IF(OR(is_header, is_empty), "",
      INDEX('Budget Planning'!$E:$EM, row_id,
                  MATCH(IF(selected_period="Total Year", selected_year, DATE(selected_year, selected_period, 1)), 'Budget Planning'!$E$9:$EM$9, 0)  ))</f>
        <v/>
      </c>
      <c r="M71" s="6" t="str" cm="1">
        <f t="array" ref="M71">IF(is_cat,
       IF(header_row_id=income_header_row, MATCH(income_min_row, $C:$C, 0),
           IF(header_row_id=expenses_header_row, MATCH(expenses_min_row, $C:$C, 0),
               IF(header_row_id=savings_header_row, MATCH(savings_min_row, $C:$C, 0),""))), "")</f>
        <v/>
      </c>
      <c r="N71" s="7" t="str" cm="1">
        <f t="array" ref="N71">IF(is_cat,
       IF(header_row_id=income_header_row, MATCH(income_max_row, $C:$C, 0),
           IF(header_row_id=expenses_header_row, MATCH(expenses_max_row, $C:$C, 0),
               IF(header_row_id=savings_header_row, MATCH(savings_max_row, $C:$C, 0),""))), "")</f>
        <v/>
      </c>
      <c r="O71" s="6" t="str">
        <f t="shared" si="3"/>
        <v/>
      </c>
      <c r="P71" t="str">
        <f t="shared" ca="1" si="4"/>
        <v/>
      </c>
      <c r="Q71" t="str">
        <f t="shared" si="5"/>
        <v/>
      </c>
      <c r="R71" s="7" t="str">
        <f t="shared" ca="1" si="6"/>
        <v/>
      </c>
      <c r="S71" s="6" t="str">
        <f t="shared" si="19"/>
        <v/>
      </c>
      <c r="T71" t="str">
        <f t="shared" si="8"/>
        <v/>
      </c>
      <c r="U71" t="str">
        <f t="shared" ca="1" si="9"/>
        <v/>
      </c>
      <c r="V71" t="str">
        <f t="shared" si="10"/>
        <v/>
      </c>
      <c r="W71" s="7" t="str">
        <f t="shared" ca="1" si="11"/>
        <v/>
      </c>
      <c r="X71" s="57">
        <f t="shared" si="12"/>
        <v>-1</v>
      </c>
      <c r="Y71" s="58" t="str">
        <f t="shared" si="13"/>
        <v/>
      </c>
      <c r="Z71" s="60" t="str">
        <f t="shared" si="14"/>
        <v/>
      </c>
      <c r="AA71" s="60" t="str">
        <f t="shared" si="15"/>
        <v/>
      </c>
      <c r="AB71" s="59" t="str">
        <f t="shared" si="16"/>
        <v/>
      </c>
      <c r="AC71" s="60" t="str">
        <f t="shared" si="17"/>
        <v/>
      </c>
      <c r="AD71" s="60" t="str">
        <f t="shared" si="18"/>
        <v/>
      </c>
    </row>
    <row r="72" spans="3:30" x14ac:dyDescent="0.2">
      <c r="C72" s="6" cm="1">
        <f t="array" ref="C72">IF(C71=-1,-1,
      IF(C71&lt;income_max_row, C71+1,
          IF(C71=income_max_row, income_total_row,
              IF(C71=income_total_row, "/1",
                  IF(C71="/1", expenses_header_row,
                      IF(C71&lt;expenses_max_row, C71+1,
                          IF(C71=expenses_max_row, expenses_total_row,
                              IF(C71=expenses_total_row, "/2",
                                  IF(C71="/2", savings_header_row,
                                      IF(C71&lt;savings_max_row, C71+1,
                                          IF(C71=savings_max_row, savings_total_row, -1)))))))))))</f>
        <v>-1</v>
      </c>
      <c r="D72" s="7">
        <f t="shared" si="0"/>
        <v>-1</v>
      </c>
      <c r="E72" s="6" cm="1">
        <f t="array" ref="E72">1*OR(row_id=income_header_row, row_id=expenses_header_row, row_id=savings_header_row)</f>
        <v>0</v>
      </c>
      <c r="F72">
        <f t="shared" si="1"/>
        <v>0</v>
      </c>
      <c r="G72" cm="1">
        <f t="array" ref="G72">1*OR(row_id=income_total_row, row_id=expenses_total_row, row_id=savings_total_row)</f>
        <v>0</v>
      </c>
      <c r="H72" s="7">
        <f t="shared" si="2"/>
        <v>1</v>
      </c>
      <c r="I72" s="6" t="str" cm="1">
        <f t="array" ref="I72">IFERROR(INDEX('Budget Planning'!$C:$C, header_row_id),"")</f>
        <v/>
      </c>
      <c r="J72" t="str" cm="1">
        <f t="array" ref="J72">IFERROR(INDEX('Budget Planning'!$C:$C, row_id),"")</f>
        <v/>
      </c>
      <c r="K72" s="54" t="str" cm="1">
        <f t="array" ref="K7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2" s="55" t="str" cm="1">
        <f t="array" ref="L72">IF(OR(is_header, is_empty), "",
      INDEX('Budget Planning'!$E:$EM, row_id,
                  MATCH(IF(selected_period="Total Year", selected_year, DATE(selected_year, selected_period, 1)), 'Budget Planning'!$E$9:$EM$9, 0)  ))</f>
        <v/>
      </c>
      <c r="M72" s="6" t="str" cm="1">
        <f t="array" ref="M72">IF(is_cat,
       IF(header_row_id=income_header_row, MATCH(income_min_row, $C:$C, 0),
           IF(header_row_id=expenses_header_row, MATCH(expenses_min_row, $C:$C, 0),
               IF(header_row_id=savings_header_row, MATCH(savings_min_row, $C:$C, 0),""))), "")</f>
        <v/>
      </c>
      <c r="N72" s="7" t="str" cm="1">
        <f t="array" ref="N72">IF(is_cat,
       IF(header_row_id=income_header_row, MATCH(income_max_row, $C:$C, 0),
           IF(header_row_id=expenses_header_row, MATCH(expenses_max_row, $C:$C, 0),
               IF(header_row_id=savings_header_row, MATCH(savings_max_row, $C:$C, 0),""))), "")</f>
        <v/>
      </c>
      <c r="O72" s="6" t="str">
        <f t="shared" si="3"/>
        <v/>
      </c>
      <c r="P72" t="str">
        <f t="shared" ca="1" si="4"/>
        <v/>
      </c>
      <c r="Q72" t="str">
        <f t="shared" si="5"/>
        <v/>
      </c>
      <c r="R72" s="7" t="str">
        <f t="shared" ca="1" si="6"/>
        <v/>
      </c>
      <c r="S72" s="6" t="str">
        <f t="shared" si="19"/>
        <v/>
      </c>
      <c r="T72" t="str">
        <f t="shared" si="8"/>
        <v/>
      </c>
      <c r="U72" t="str">
        <f t="shared" ca="1" si="9"/>
        <v/>
      </c>
      <c r="V72" t="str">
        <f t="shared" si="10"/>
        <v/>
      </c>
      <c r="W72" s="7" t="str">
        <f t="shared" ca="1" si="11"/>
        <v/>
      </c>
      <c r="X72" s="57">
        <f t="shared" si="12"/>
        <v>-1</v>
      </c>
      <c r="Y72" s="58" t="str">
        <f t="shared" si="13"/>
        <v/>
      </c>
      <c r="Z72" s="60" t="str">
        <f t="shared" si="14"/>
        <v/>
      </c>
      <c r="AA72" s="60" t="str">
        <f t="shared" si="15"/>
        <v/>
      </c>
      <c r="AB72" s="59" t="str">
        <f t="shared" si="16"/>
        <v/>
      </c>
      <c r="AC72" s="60" t="str">
        <f t="shared" si="17"/>
        <v/>
      </c>
      <c r="AD72" s="60" t="str">
        <f t="shared" si="18"/>
        <v/>
      </c>
    </row>
    <row r="73" spans="3:30" x14ac:dyDescent="0.2">
      <c r="C73" s="6" cm="1">
        <f t="array" ref="C73">IF(C72=-1,-1,
      IF(C72&lt;income_max_row, C72+1,
          IF(C72=income_max_row, income_total_row,
              IF(C72=income_total_row, "/1",
                  IF(C72="/1", expenses_header_row,
                      IF(C72&lt;expenses_max_row, C72+1,
                          IF(C72=expenses_max_row, expenses_total_row,
                              IF(C72=expenses_total_row, "/2",
                                  IF(C72="/2", savings_header_row,
                                      IF(C72&lt;savings_max_row, C72+1,
                                          IF(C72=savings_max_row, savings_total_row, -1)))))))))))</f>
        <v>-1</v>
      </c>
      <c r="D73" s="7">
        <f t="shared" si="0"/>
        <v>-1</v>
      </c>
      <c r="E73" s="6" cm="1">
        <f t="array" ref="E73">1*OR(row_id=income_header_row, row_id=expenses_header_row, row_id=savings_header_row)</f>
        <v>0</v>
      </c>
      <c r="F73">
        <f t="shared" si="1"/>
        <v>0</v>
      </c>
      <c r="G73" cm="1">
        <f t="array" ref="G73">1*OR(row_id=income_total_row, row_id=expenses_total_row, row_id=savings_total_row)</f>
        <v>0</v>
      </c>
      <c r="H73" s="7">
        <f t="shared" si="2"/>
        <v>1</v>
      </c>
      <c r="I73" s="6" t="str" cm="1">
        <f t="array" ref="I73">IFERROR(INDEX('Budget Planning'!$C:$C, header_row_id),"")</f>
        <v/>
      </c>
      <c r="J73" t="str" cm="1">
        <f t="array" ref="J73">IFERROR(INDEX('Budget Planning'!$C:$C, row_id),"")</f>
        <v/>
      </c>
      <c r="K73" s="54" t="str" cm="1">
        <f t="array" ref="K7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3" s="55" t="str" cm="1">
        <f t="array" ref="L73">IF(OR(is_header, is_empty), "",
      INDEX('Budget Planning'!$E:$EM, row_id,
                  MATCH(IF(selected_period="Total Year", selected_year, DATE(selected_year, selected_period, 1)), 'Budget Planning'!$E$9:$EM$9, 0)  ))</f>
        <v/>
      </c>
      <c r="M73" s="6" t="str" cm="1">
        <f t="array" ref="M73">IF(is_cat,
       IF(header_row_id=income_header_row, MATCH(income_min_row, $C:$C, 0),
           IF(header_row_id=expenses_header_row, MATCH(expenses_min_row, $C:$C, 0),
               IF(header_row_id=savings_header_row, MATCH(savings_min_row, $C:$C, 0),""))), "")</f>
        <v/>
      </c>
      <c r="N73" s="7" t="str" cm="1">
        <f t="array" ref="N73">IF(is_cat,
       IF(header_row_id=income_header_row, MATCH(income_max_row, $C:$C, 0),
           IF(header_row_id=expenses_header_row, MATCH(expenses_max_row, $C:$C, 0),
               IF(header_row_id=savings_header_row, MATCH(savings_max_row, $C:$C, 0),""))), "")</f>
        <v/>
      </c>
      <c r="O73" s="6" t="str">
        <f t="shared" si="3"/>
        <v/>
      </c>
      <c r="P73" t="str">
        <f t="shared" ca="1" si="4"/>
        <v/>
      </c>
      <c r="Q73" t="str">
        <f t="shared" si="5"/>
        <v/>
      </c>
      <c r="R73" s="7" t="str">
        <f t="shared" ca="1" si="6"/>
        <v/>
      </c>
      <c r="S73" s="6" t="str">
        <f t="shared" si="19"/>
        <v/>
      </c>
      <c r="T73" t="str">
        <f t="shared" si="8"/>
        <v/>
      </c>
      <c r="U73" t="str">
        <f t="shared" ca="1" si="9"/>
        <v/>
      </c>
      <c r="V73" t="str">
        <f t="shared" si="10"/>
        <v/>
      </c>
      <c r="W73" s="7" t="str">
        <f t="shared" ca="1" si="11"/>
        <v/>
      </c>
      <c r="X73" s="57">
        <f t="shared" si="12"/>
        <v>-1</v>
      </c>
      <c r="Y73" s="58" t="str">
        <f t="shared" si="13"/>
        <v/>
      </c>
      <c r="Z73" s="60" t="str">
        <f t="shared" si="14"/>
        <v/>
      </c>
      <c r="AA73" s="60" t="str">
        <f t="shared" si="15"/>
        <v/>
      </c>
      <c r="AB73" s="59" t="str">
        <f t="shared" si="16"/>
        <v/>
      </c>
      <c r="AC73" s="60" t="str">
        <f t="shared" si="17"/>
        <v/>
      </c>
      <c r="AD73" s="60" t="str">
        <f t="shared" si="18"/>
        <v/>
      </c>
    </row>
    <row r="74" spans="3:30" x14ac:dyDescent="0.2">
      <c r="C74" s="6" cm="1">
        <f t="array" ref="C74">IF(C73=-1,-1,
      IF(C73&lt;income_max_row, C73+1,
          IF(C73=income_max_row, income_total_row,
              IF(C73=income_total_row, "/1",
                  IF(C73="/1", expenses_header_row,
                      IF(C73&lt;expenses_max_row, C73+1,
                          IF(C73=expenses_max_row, expenses_total_row,
                              IF(C73=expenses_total_row, "/2",
                                  IF(C73="/2", savings_header_row,
                                      IF(C73&lt;savings_max_row, C73+1,
                                          IF(C73=savings_max_row, savings_total_row, -1)))))))))))</f>
        <v>-1</v>
      </c>
      <c r="D74" s="7">
        <f t="shared" si="0"/>
        <v>-1</v>
      </c>
      <c r="E74" s="6" cm="1">
        <f t="array" ref="E74">1*OR(row_id=income_header_row, row_id=expenses_header_row, row_id=savings_header_row)</f>
        <v>0</v>
      </c>
      <c r="F74">
        <f t="shared" si="1"/>
        <v>0</v>
      </c>
      <c r="G74" cm="1">
        <f t="array" ref="G74">1*OR(row_id=income_total_row, row_id=expenses_total_row, row_id=savings_total_row)</f>
        <v>0</v>
      </c>
      <c r="H74" s="7">
        <f t="shared" si="2"/>
        <v>1</v>
      </c>
      <c r="I74" s="6" t="str" cm="1">
        <f t="array" ref="I74">IFERROR(INDEX('Budget Planning'!$C:$C, header_row_id),"")</f>
        <v/>
      </c>
      <c r="J74" t="str" cm="1">
        <f t="array" ref="J74">IFERROR(INDEX('Budget Planning'!$C:$C, row_id),"")</f>
        <v/>
      </c>
      <c r="K74" s="54" t="str" cm="1">
        <f t="array" ref="K7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4" s="55" t="str" cm="1">
        <f t="array" ref="L74">IF(OR(is_header, is_empty), "",
      INDEX('Budget Planning'!$E:$EM, row_id,
                  MATCH(IF(selected_period="Total Year", selected_year, DATE(selected_year, selected_period, 1)), 'Budget Planning'!$E$9:$EM$9, 0)  ))</f>
        <v/>
      </c>
      <c r="M74" s="6" t="str" cm="1">
        <f t="array" ref="M74">IF(is_cat,
       IF(header_row_id=income_header_row, MATCH(income_min_row, $C:$C, 0),
           IF(header_row_id=expenses_header_row, MATCH(expenses_min_row, $C:$C, 0),
               IF(header_row_id=savings_header_row, MATCH(savings_min_row, $C:$C, 0),""))), "")</f>
        <v/>
      </c>
      <c r="N74" s="7" t="str" cm="1">
        <f t="array" ref="N74">IF(is_cat,
       IF(header_row_id=income_header_row, MATCH(income_max_row, $C:$C, 0),
           IF(header_row_id=expenses_header_row, MATCH(expenses_max_row, $C:$C, 0),
               IF(header_row_id=savings_header_row, MATCH(savings_max_row, $C:$C, 0),""))), "")</f>
        <v/>
      </c>
      <c r="O74" s="6" t="str">
        <f t="shared" si="3"/>
        <v/>
      </c>
      <c r="P74" t="str">
        <f t="shared" ca="1" si="4"/>
        <v/>
      </c>
      <c r="Q74" t="str">
        <f t="shared" si="5"/>
        <v/>
      </c>
      <c r="R74" s="7" t="str">
        <f t="shared" ca="1" si="6"/>
        <v/>
      </c>
      <c r="S74" s="6" t="str">
        <f t="shared" si="19"/>
        <v/>
      </c>
      <c r="T74" t="str">
        <f t="shared" si="8"/>
        <v/>
      </c>
      <c r="U74" t="str">
        <f t="shared" ca="1" si="9"/>
        <v/>
      </c>
      <c r="V74" t="str">
        <f t="shared" si="10"/>
        <v/>
      </c>
      <c r="W74" s="7" t="str">
        <f t="shared" ca="1" si="11"/>
        <v/>
      </c>
      <c r="X74" s="57">
        <f t="shared" si="12"/>
        <v>-1</v>
      </c>
      <c r="Y74" s="58" t="str">
        <f t="shared" si="13"/>
        <v/>
      </c>
      <c r="Z74" s="60" t="str">
        <f t="shared" si="14"/>
        <v/>
      </c>
      <c r="AA74" s="60" t="str">
        <f t="shared" si="15"/>
        <v/>
      </c>
      <c r="AB74" s="59" t="str">
        <f t="shared" si="16"/>
        <v/>
      </c>
      <c r="AC74" s="60" t="str">
        <f t="shared" si="17"/>
        <v/>
      </c>
      <c r="AD74" s="60" t="str">
        <f t="shared" si="18"/>
        <v/>
      </c>
    </row>
    <row r="75" spans="3:30" x14ac:dyDescent="0.2">
      <c r="C75" s="6" cm="1">
        <f t="array" ref="C75">IF(C74=-1,-1,
      IF(C74&lt;income_max_row, C74+1,
          IF(C74=income_max_row, income_total_row,
              IF(C74=income_total_row, "/1",
                  IF(C74="/1", expenses_header_row,
                      IF(C74&lt;expenses_max_row, C74+1,
                          IF(C74=expenses_max_row, expenses_total_row,
                              IF(C74=expenses_total_row, "/2",
                                  IF(C74="/2", savings_header_row,
                                      IF(C74&lt;savings_max_row, C74+1,
                                          IF(C74=savings_max_row, savings_total_row, -1)))))))))))</f>
        <v>-1</v>
      </c>
      <c r="D75" s="7">
        <f t="shared" si="0"/>
        <v>-1</v>
      </c>
      <c r="E75" s="6" cm="1">
        <f t="array" ref="E75">1*OR(row_id=income_header_row, row_id=expenses_header_row, row_id=savings_header_row)</f>
        <v>0</v>
      </c>
      <c r="F75">
        <f t="shared" si="1"/>
        <v>0</v>
      </c>
      <c r="G75" cm="1">
        <f t="array" ref="G75">1*OR(row_id=income_total_row, row_id=expenses_total_row, row_id=savings_total_row)</f>
        <v>0</v>
      </c>
      <c r="H75" s="7">
        <f t="shared" si="2"/>
        <v>1</v>
      </c>
      <c r="I75" s="6" t="str" cm="1">
        <f t="array" ref="I75">IFERROR(INDEX('Budget Planning'!$C:$C, header_row_id),"")</f>
        <v/>
      </c>
      <c r="J75" t="str" cm="1">
        <f t="array" ref="J75">IFERROR(INDEX('Budget Planning'!$C:$C, row_id),"")</f>
        <v/>
      </c>
      <c r="K75" s="54" t="str" cm="1">
        <f t="array" ref="K7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5" s="55" t="str" cm="1">
        <f t="array" ref="L75">IF(OR(is_header, is_empty), "",
      INDEX('Budget Planning'!$E:$EM, row_id,
                  MATCH(IF(selected_period="Total Year", selected_year, DATE(selected_year, selected_period, 1)), 'Budget Planning'!$E$9:$EM$9, 0)  ))</f>
        <v/>
      </c>
      <c r="M75" s="6" t="str" cm="1">
        <f t="array" ref="M75">IF(is_cat,
       IF(header_row_id=income_header_row, MATCH(income_min_row, $C:$C, 0),
           IF(header_row_id=expenses_header_row, MATCH(expenses_min_row, $C:$C, 0),
               IF(header_row_id=savings_header_row, MATCH(savings_min_row, $C:$C, 0),""))), "")</f>
        <v/>
      </c>
      <c r="N75" s="7" t="str" cm="1">
        <f t="array" ref="N75">IF(is_cat,
       IF(header_row_id=income_header_row, MATCH(income_max_row, $C:$C, 0),
           IF(header_row_id=expenses_header_row, MATCH(expenses_max_row, $C:$C, 0),
               IF(header_row_id=savings_header_row, MATCH(savings_max_row, $C:$C, 0),""))), "")</f>
        <v/>
      </c>
      <c r="O75" s="6" t="str">
        <f t="shared" si="3"/>
        <v/>
      </c>
      <c r="P75" t="str">
        <f t="shared" ca="1" si="4"/>
        <v/>
      </c>
      <c r="Q75" t="str">
        <f t="shared" si="5"/>
        <v/>
      </c>
      <c r="R75" s="7" t="str">
        <f t="shared" ca="1" si="6"/>
        <v/>
      </c>
      <c r="S75" s="6" t="str">
        <f t="shared" si="19"/>
        <v/>
      </c>
      <c r="T75" t="str">
        <f t="shared" si="8"/>
        <v/>
      </c>
      <c r="U75" t="str">
        <f t="shared" ca="1" si="9"/>
        <v/>
      </c>
      <c r="V75" t="str">
        <f t="shared" si="10"/>
        <v/>
      </c>
      <c r="W75" s="7" t="str">
        <f t="shared" ca="1" si="11"/>
        <v/>
      </c>
      <c r="X75" s="57">
        <f t="shared" si="12"/>
        <v>-1</v>
      </c>
      <c r="Y75" s="58" t="str">
        <f t="shared" si="13"/>
        <v/>
      </c>
      <c r="Z75" s="60" t="str">
        <f t="shared" si="14"/>
        <v/>
      </c>
      <c r="AA75" s="60" t="str">
        <f t="shared" si="15"/>
        <v/>
      </c>
      <c r="AB75" s="59" t="str">
        <f t="shared" si="16"/>
        <v/>
      </c>
      <c r="AC75" s="60" t="str">
        <f t="shared" si="17"/>
        <v/>
      </c>
      <c r="AD75" s="60" t="str">
        <f t="shared" si="18"/>
        <v/>
      </c>
    </row>
    <row r="76" spans="3:30" x14ac:dyDescent="0.2">
      <c r="C76" s="6" cm="1">
        <f t="array" ref="C76">IF(C75=-1,-1,
      IF(C75&lt;income_max_row, C75+1,
          IF(C75=income_max_row, income_total_row,
              IF(C75=income_total_row, "/1",
                  IF(C75="/1", expenses_header_row,
                      IF(C75&lt;expenses_max_row, C75+1,
                          IF(C75=expenses_max_row, expenses_total_row,
                              IF(C75=expenses_total_row, "/2",
                                  IF(C75="/2", savings_header_row,
                                      IF(C75&lt;savings_max_row, C75+1,
                                          IF(C75=savings_max_row, savings_total_row, -1)))))))))))</f>
        <v>-1</v>
      </c>
      <c r="D76" s="7">
        <f t="shared" si="0"/>
        <v>-1</v>
      </c>
      <c r="E76" s="6" cm="1">
        <f t="array" ref="E76">1*OR(row_id=income_header_row, row_id=expenses_header_row, row_id=savings_header_row)</f>
        <v>0</v>
      </c>
      <c r="F76">
        <f t="shared" si="1"/>
        <v>0</v>
      </c>
      <c r="G76" cm="1">
        <f t="array" ref="G76">1*OR(row_id=income_total_row, row_id=expenses_total_row, row_id=savings_total_row)</f>
        <v>0</v>
      </c>
      <c r="H76" s="7">
        <f t="shared" si="2"/>
        <v>1</v>
      </c>
      <c r="I76" s="6" t="str" cm="1">
        <f t="array" ref="I76">IFERROR(INDEX('Budget Planning'!$C:$C, header_row_id),"")</f>
        <v/>
      </c>
      <c r="J76" t="str" cm="1">
        <f t="array" ref="J76">IFERROR(INDEX('Budget Planning'!$C:$C, row_id),"")</f>
        <v/>
      </c>
      <c r="K76" s="54" t="str" cm="1">
        <f t="array" ref="K7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6" s="55" t="str" cm="1">
        <f t="array" ref="L76">IF(OR(is_header, is_empty), "",
      INDEX('Budget Planning'!$E:$EM, row_id,
                  MATCH(IF(selected_period="Total Year", selected_year, DATE(selected_year, selected_period, 1)), 'Budget Planning'!$E$9:$EM$9, 0)  ))</f>
        <v/>
      </c>
      <c r="M76" s="6" t="str" cm="1">
        <f t="array" ref="M76">IF(is_cat,
       IF(header_row_id=income_header_row, MATCH(income_min_row, $C:$C, 0),
           IF(header_row_id=expenses_header_row, MATCH(expenses_min_row, $C:$C, 0),
               IF(header_row_id=savings_header_row, MATCH(savings_min_row, $C:$C, 0),""))), "")</f>
        <v/>
      </c>
      <c r="N76" s="7" t="str" cm="1">
        <f t="array" ref="N76">IF(is_cat,
       IF(header_row_id=income_header_row, MATCH(income_max_row, $C:$C, 0),
           IF(header_row_id=expenses_header_row, MATCH(expenses_max_row, $C:$C, 0),
               IF(header_row_id=savings_header_row, MATCH(savings_max_row, $C:$C, 0),""))), "")</f>
        <v/>
      </c>
      <c r="O76" s="6" t="str">
        <f t="shared" si="3"/>
        <v/>
      </c>
      <c r="P76" t="str">
        <f t="shared" ca="1" si="4"/>
        <v/>
      </c>
      <c r="Q76" t="str">
        <f t="shared" si="5"/>
        <v/>
      </c>
      <c r="R76" s="7" t="str">
        <f t="shared" ca="1" si="6"/>
        <v/>
      </c>
      <c r="S76" s="6" t="str">
        <f t="shared" si="19"/>
        <v/>
      </c>
      <c r="T76" t="str">
        <f t="shared" si="8"/>
        <v/>
      </c>
      <c r="U76" t="str">
        <f t="shared" ca="1" si="9"/>
        <v/>
      </c>
      <c r="V76" t="str">
        <f t="shared" si="10"/>
        <v/>
      </c>
      <c r="W76" s="7" t="str">
        <f t="shared" ca="1" si="11"/>
        <v/>
      </c>
      <c r="X76" s="57">
        <f t="shared" si="12"/>
        <v>-1</v>
      </c>
      <c r="Y76" s="58" t="str">
        <f t="shared" si="13"/>
        <v/>
      </c>
      <c r="Z76" s="60" t="str">
        <f t="shared" si="14"/>
        <v/>
      </c>
      <c r="AA76" s="60" t="str">
        <f t="shared" si="15"/>
        <v/>
      </c>
      <c r="AB76" s="59" t="str">
        <f t="shared" si="16"/>
        <v/>
      </c>
      <c r="AC76" s="60" t="str">
        <f t="shared" si="17"/>
        <v/>
      </c>
      <c r="AD76" s="60" t="str">
        <f t="shared" si="18"/>
        <v/>
      </c>
    </row>
    <row r="77" spans="3:30" x14ac:dyDescent="0.2">
      <c r="C77" s="6" cm="1">
        <f t="array" ref="C77">IF(C76=-1,-1,
      IF(C76&lt;income_max_row, C76+1,
          IF(C76=income_max_row, income_total_row,
              IF(C76=income_total_row, "/1",
                  IF(C76="/1", expenses_header_row,
                      IF(C76&lt;expenses_max_row, C76+1,
                          IF(C76=expenses_max_row, expenses_total_row,
                              IF(C76=expenses_total_row, "/2",
                                  IF(C76="/2", savings_header_row,
                                      IF(C76&lt;savings_max_row, C76+1,
                                          IF(C76=savings_max_row, savings_total_row, -1)))))))))))</f>
        <v>-1</v>
      </c>
      <c r="D77" s="7">
        <f t="shared" si="0"/>
        <v>-1</v>
      </c>
      <c r="E77" s="6" cm="1">
        <f t="array" ref="E77">1*OR(row_id=income_header_row, row_id=expenses_header_row, row_id=savings_header_row)</f>
        <v>0</v>
      </c>
      <c r="F77">
        <f t="shared" si="1"/>
        <v>0</v>
      </c>
      <c r="G77" cm="1">
        <f t="array" ref="G77">1*OR(row_id=income_total_row, row_id=expenses_total_row, row_id=savings_total_row)</f>
        <v>0</v>
      </c>
      <c r="H77" s="7">
        <f t="shared" si="2"/>
        <v>1</v>
      </c>
      <c r="I77" s="6" t="str" cm="1">
        <f t="array" ref="I77">IFERROR(INDEX('Budget Planning'!$C:$C, header_row_id),"")</f>
        <v/>
      </c>
      <c r="J77" t="str" cm="1">
        <f t="array" ref="J77">IFERROR(INDEX('Budget Planning'!$C:$C, row_id),"")</f>
        <v/>
      </c>
      <c r="K77" s="54" t="str" cm="1">
        <f t="array" ref="K7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7" s="55" t="str" cm="1">
        <f t="array" ref="L77">IF(OR(is_header, is_empty), "",
      INDEX('Budget Planning'!$E:$EM, row_id,
                  MATCH(IF(selected_period="Total Year", selected_year, DATE(selected_year, selected_period, 1)), 'Budget Planning'!$E$9:$EM$9, 0)  ))</f>
        <v/>
      </c>
      <c r="M77" s="6" t="str" cm="1">
        <f t="array" ref="M77">IF(is_cat,
       IF(header_row_id=income_header_row, MATCH(income_min_row, $C:$C, 0),
           IF(header_row_id=expenses_header_row, MATCH(expenses_min_row, $C:$C, 0),
               IF(header_row_id=savings_header_row, MATCH(savings_min_row, $C:$C, 0),""))), "")</f>
        <v/>
      </c>
      <c r="N77" s="7" t="str" cm="1">
        <f t="array" ref="N77">IF(is_cat,
       IF(header_row_id=income_header_row, MATCH(income_max_row, $C:$C, 0),
           IF(header_row_id=expenses_header_row, MATCH(expenses_max_row, $C:$C, 0),
               IF(header_row_id=savings_header_row, MATCH(savings_max_row, $C:$C, 0),""))), "")</f>
        <v/>
      </c>
      <c r="O77" s="6" t="str">
        <f t="shared" si="3"/>
        <v/>
      </c>
      <c r="P77" t="str">
        <f t="shared" ca="1" si="4"/>
        <v/>
      </c>
      <c r="Q77" t="str">
        <f t="shared" si="5"/>
        <v/>
      </c>
      <c r="R77" s="7" t="str">
        <f t="shared" ca="1" si="6"/>
        <v/>
      </c>
      <c r="S77" s="6" t="str">
        <f t="shared" ref="S77:S108" si="20">IF(is_cat, _xlfn.NUMBERVALUE( tracked_rank &amp; IF(LEN(budget_rank)=1, "0", "") &amp; budget_rank), "")</f>
        <v/>
      </c>
      <c r="T77" t="str">
        <f t="shared" si="8"/>
        <v/>
      </c>
      <c r="U77" t="str">
        <f t="shared" ca="1" si="9"/>
        <v/>
      </c>
      <c r="V77" t="str">
        <f t="shared" si="10"/>
        <v/>
      </c>
      <c r="W77" s="7" t="str">
        <f t="shared" ca="1" si="11"/>
        <v/>
      </c>
      <c r="X77" s="57">
        <f t="shared" si="12"/>
        <v>-1</v>
      </c>
      <c r="Y77" s="58" t="str">
        <f t="shared" si="13"/>
        <v/>
      </c>
      <c r="Z77" s="60" t="str">
        <f t="shared" si="14"/>
        <v/>
      </c>
      <c r="AA77" s="60" t="str">
        <f t="shared" si="15"/>
        <v/>
      </c>
      <c r="AB77" s="59" t="str">
        <f t="shared" si="16"/>
        <v/>
      </c>
      <c r="AC77" s="60" t="str">
        <f t="shared" si="17"/>
        <v/>
      </c>
      <c r="AD77" s="60" t="str">
        <f t="shared" si="18"/>
        <v/>
      </c>
    </row>
    <row r="78" spans="3:30" x14ac:dyDescent="0.2">
      <c r="C78" s="6" cm="1">
        <f t="array" ref="C78">IF(C77=-1,-1,
      IF(C77&lt;income_max_row, C77+1,
          IF(C77=income_max_row, income_total_row,
              IF(C77=income_total_row, "/1",
                  IF(C77="/1", expenses_header_row,
                      IF(C77&lt;expenses_max_row, C77+1,
                          IF(C77=expenses_max_row, expenses_total_row,
                              IF(C77=expenses_total_row, "/2",
                                  IF(C77="/2", savings_header_row,
                                      IF(C77&lt;savings_max_row, C77+1,
                                          IF(C77=savings_max_row, savings_total_row, -1)))))))))))</f>
        <v>-1</v>
      </c>
      <c r="D78" s="7">
        <f t="shared" si="0"/>
        <v>-1</v>
      </c>
      <c r="E78" s="6" cm="1">
        <f t="array" ref="E78">1*OR(row_id=income_header_row, row_id=expenses_header_row, row_id=savings_header_row)</f>
        <v>0</v>
      </c>
      <c r="F78">
        <f t="shared" si="1"/>
        <v>0</v>
      </c>
      <c r="G78" cm="1">
        <f t="array" ref="G78">1*OR(row_id=income_total_row, row_id=expenses_total_row, row_id=savings_total_row)</f>
        <v>0</v>
      </c>
      <c r="H78" s="7">
        <f t="shared" si="2"/>
        <v>1</v>
      </c>
      <c r="I78" s="6" t="str" cm="1">
        <f t="array" ref="I78">IFERROR(INDEX('Budget Planning'!$C:$C, header_row_id),"")</f>
        <v/>
      </c>
      <c r="J78" t="str" cm="1">
        <f t="array" ref="J78">IFERROR(INDEX('Budget Planning'!$C:$C, row_id),"")</f>
        <v/>
      </c>
      <c r="K78" s="54" t="str" cm="1">
        <f t="array" ref="K7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8" s="55" t="str" cm="1">
        <f t="array" ref="L78">IF(OR(is_header, is_empty), "",
      INDEX('Budget Planning'!$E:$EM, row_id,
                  MATCH(IF(selected_period="Total Year", selected_year, DATE(selected_year, selected_period, 1)), 'Budget Planning'!$E$9:$EM$9, 0)  ))</f>
        <v/>
      </c>
      <c r="M78" s="6" t="str" cm="1">
        <f t="array" ref="M78">IF(is_cat,
       IF(header_row_id=income_header_row, MATCH(income_min_row, $C:$C, 0),
           IF(header_row_id=expenses_header_row, MATCH(expenses_min_row, $C:$C, 0),
               IF(header_row_id=savings_header_row, MATCH(savings_min_row, $C:$C, 0),""))), "")</f>
        <v/>
      </c>
      <c r="N78" s="7" t="str" cm="1">
        <f t="array" ref="N78">IF(is_cat,
       IF(header_row_id=income_header_row, MATCH(income_max_row, $C:$C, 0),
           IF(header_row_id=expenses_header_row, MATCH(expenses_max_row, $C:$C, 0),
               IF(header_row_id=savings_header_row, MATCH(savings_max_row, $C:$C, 0),""))), "")</f>
        <v/>
      </c>
      <c r="O78" s="6" t="str">
        <f t="shared" si="3"/>
        <v/>
      </c>
      <c r="P78" t="str">
        <f t="shared" ca="1" si="4"/>
        <v/>
      </c>
      <c r="Q78" t="str">
        <f t="shared" si="5"/>
        <v/>
      </c>
      <c r="R78" s="7" t="str">
        <f t="shared" ca="1" si="6"/>
        <v/>
      </c>
      <c r="S78" s="6" t="str">
        <f t="shared" si="20"/>
        <v/>
      </c>
      <c r="T78" t="str">
        <f t="shared" si="8"/>
        <v/>
      </c>
      <c r="U78" t="str">
        <f t="shared" ca="1" si="9"/>
        <v/>
      </c>
      <c r="V78" t="str">
        <f t="shared" si="10"/>
        <v/>
      </c>
      <c r="W78" s="7" t="str">
        <f t="shared" ca="1" si="11"/>
        <v/>
      </c>
      <c r="X78" s="57">
        <f t="shared" si="12"/>
        <v>-1</v>
      </c>
      <c r="Y78" s="58" t="str">
        <f t="shared" si="13"/>
        <v/>
      </c>
      <c r="Z78" s="60" t="str">
        <f t="shared" si="14"/>
        <v/>
      </c>
      <c r="AA78" s="60" t="str">
        <f t="shared" si="15"/>
        <v/>
      </c>
      <c r="AB78" s="59" t="str">
        <f t="shared" si="16"/>
        <v/>
      </c>
      <c r="AC78" s="60" t="str">
        <f t="shared" si="17"/>
        <v/>
      </c>
      <c r="AD78" s="60" t="str">
        <f t="shared" si="18"/>
        <v/>
      </c>
    </row>
    <row r="79" spans="3:30" x14ac:dyDescent="0.2">
      <c r="C79" s="6" cm="1">
        <f t="array" ref="C79">IF(C78=-1,-1,
      IF(C78&lt;income_max_row, C78+1,
          IF(C78=income_max_row, income_total_row,
              IF(C78=income_total_row, "/1",
                  IF(C78="/1", expenses_header_row,
                      IF(C78&lt;expenses_max_row, C78+1,
                          IF(C78=expenses_max_row, expenses_total_row,
                              IF(C78=expenses_total_row, "/2",
                                  IF(C78="/2", savings_header_row,
                                      IF(C78&lt;savings_max_row, C78+1,
                                          IF(C78=savings_max_row, savings_total_row, -1)))))))))))</f>
        <v>-1</v>
      </c>
      <c r="D79" s="7">
        <f t="shared" si="0"/>
        <v>-1</v>
      </c>
      <c r="E79" s="6" cm="1">
        <f t="array" ref="E79">1*OR(row_id=income_header_row, row_id=expenses_header_row, row_id=savings_header_row)</f>
        <v>0</v>
      </c>
      <c r="F79">
        <f t="shared" si="1"/>
        <v>0</v>
      </c>
      <c r="G79" cm="1">
        <f t="array" ref="G79">1*OR(row_id=income_total_row, row_id=expenses_total_row, row_id=savings_total_row)</f>
        <v>0</v>
      </c>
      <c r="H79" s="7">
        <f t="shared" si="2"/>
        <v>1</v>
      </c>
      <c r="I79" s="6" t="str" cm="1">
        <f t="array" ref="I79">IFERROR(INDEX('Budget Planning'!$C:$C, header_row_id),"")</f>
        <v/>
      </c>
      <c r="J79" t="str" cm="1">
        <f t="array" ref="J79">IFERROR(INDEX('Budget Planning'!$C:$C, row_id),"")</f>
        <v/>
      </c>
      <c r="K79" s="54" t="str" cm="1">
        <f t="array" ref="K7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79" s="55" t="str" cm="1">
        <f t="array" ref="L79">IF(OR(is_header, is_empty), "",
      INDEX('Budget Planning'!$E:$EM, row_id,
                  MATCH(IF(selected_period="Total Year", selected_year, DATE(selected_year, selected_period, 1)), 'Budget Planning'!$E$9:$EM$9, 0)  ))</f>
        <v/>
      </c>
      <c r="M79" s="6" t="str" cm="1">
        <f t="array" ref="M79">IF(is_cat,
       IF(header_row_id=income_header_row, MATCH(income_min_row, $C:$C, 0),
           IF(header_row_id=expenses_header_row, MATCH(expenses_min_row, $C:$C, 0),
               IF(header_row_id=savings_header_row, MATCH(savings_min_row, $C:$C, 0),""))), "")</f>
        <v/>
      </c>
      <c r="N79" s="7" t="str" cm="1">
        <f t="array" ref="N79">IF(is_cat,
       IF(header_row_id=income_header_row, MATCH(income_max_row, $C:$C, 0),
           IF(header_row_id=expenses_header_row, MATCH(expenses_max_row, $C:$C, 0),
               IF(header_row_id=savings_header_row, MATCH(savings_max_row, $C:$C, 0),""))), "")</f>
        <v/>
      </c>
      <c r="O79" s="6" t="str">
        <f t="shared" si="3"/>
        <v/>
      </c>
      <c r="P79" t="str">
        <f t="shared" ca="1" si="4"/>
        <v/>
      </c>
      <c r="Q79" t="str">
        <f t="shared" si="5"/>
        <v/>
      </c>
      <c r="R79" s="7" t="str">
        <f t="shared" ca="1" si="6"/>
        <v/>
      </c>
      <c r="S79" s="6" t="str">
        <f t="shared" si="20"/>
        <v/>
      </c>
      <c r="T79" t="str">
        <f t="shared" si="8"/>
        <v/>
      </c>
      <c r="U79" t="str">
        <f t="shared" ca="1" si="9"/>
        <v/>
      </c>
      <c r="V79" t="str">
        <f t="shared" si="10"/>
        <v/>
      </c>
      <c r="W79" s="7" t="str">
        <f t="shared" ca="1" si="11"/>
        <v/>
      </c>
      <c r="X79" s="57">
        <f t="shared" si="12"/>
        <v>-1</v>
      </c>
      <c r="Y79" s="58" t="str">
        <f t="shared" si="13"/>
        <v/>
      </c>
      <c r="Z79" s="60" t="str">
        <f t="shared" si="14"/>
        <v/>
      </c>
      <c r="AA79" s="60" t="str">
        <f t="shared" si="15"/>
        <v/>
      </c>
      <c r="AB79" s="59" t="str">
        <f t="shared" si="16"/>
        <v/>
      </c>
      <c r="AC79" s="60" t="str">
        <f t="shared" si="17"/>
        <v/>
      </c>
      <c r="AD79" s="60" t="str">
        <f t="shared" si="18"/>
        <v/>
      </c>
    </row>
    <row r="80" spans="3:30" x14ac:dyDescent="0.2">
      <c r="C80" s="6" cm="1">
        <f t="array" ref="C80">IF(C79=-1,-1,
      IF(C79&lt;income_max_row, C79+1,
          IF(C79=income_max_row, income_total_row,
              IF(C79=income_total_row, "/1",
                  IF(C79="/1", expenses_header_row,
                      IF(C79&lt;expenses_max_row, C79+1,
                          IF(C79=expenses_max_row, expenses_total_row,
                              IF(C79=expenses_total_row, "/2",
                                  IF(C79="/2", savings_header_row,
                                      IF(C79&lt;savings_max_row, C79+1,
                                          IF(C79=savings_max_row, savings_total_row, -1)))))))))))</f>
        <v>-1</v>
      </c>
      <c r="D80" s="7">
        <f t="shared" si="0"/>
        <v>-1</v>
      </c>
      <c r="E80" s="6" cm="1">
        <f t="array" ref="E80">1*OR(row_id=income_header_row, row_id=expenses_header_row, row_id=savings_header_row)</f>
        <v>0</v>
      </c>
      <c r="F80">
        <f t="shared" si="1"/>
        <v>0</v>
      </c>
      <c r="G80" cm="1">
        <f t="array" ref="G80">1*OR(row_id=income_total_row, row_id=expenses_total_row, row_id=savings_total_row)</f>
        <v>0</v>
      </c>
      <c r="H80" s="7">
        <f t="shared" si="2"/>
        <v>1</v>
      </c>
      <c r="I80" s="6" t="str" cm="1">
        <f t="array" ref="I80">IFERROR(INDEX('Budget Planning'!$C:$C, header_row_id),"")</f>
        <v/>
      </c>
      <c r="J80" t="str" cm="1">
        <f t="array" ref="J80">IFERROR(INDEX('Budget Planning'!$C:$C, row_id),"")</f>
        <v/>
      </c>
      <c r="K80" s="54" t="str" cm="1">
        <f t="array" ref="K8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0" s="55" t="str" cm="1">
        <f t="array" ref="L80">IF(OR(is_header, is_empty), "",
      INDEX('Budget Planning'!$E:$EM, row_id,
                  MATCH(IF(selected_period="Total Year", selected_year, DATE(selected_year, selected_period, 1)), 'Budget Planning'!$E$9:$EM$9, 0)  ))</f>
        <v/>
      </c>
      <c r="M80" s="6" t="str" cm="1">
        <f t="array" ref="M80">IF(is_cat,
       IF(header_row_id=income_header_row, MATCH(income_min_row, $C:$C, 0),
           IF(header_row_id=expenses_header_row, MATCH(expenses_min_row, $C:$C, 0),
               IF(header_row_id=savings_header_row, MATCH(savings_min_row, $C:$C, 0),""))), "")</f>
        <v/>
      </c>
      <c r="N80" s="7" t="str" cm="1">
        <f t="array" ref="N80">IF(is_cat,
       IF(header_row_id=income_header_row, MATCH(income_max_row, $C:$C, 0),
           IF(header_row_id=expenses_header_row, MATCH(expenses_max_row, $C:$C, 0),
               IF(header_row_id=savings_header_row, MATCH(savings_max_row, $C:$C, 0),""))), "")</f>
        <v/>
      </c>
      <c r="O80" s="6" t="str">
        <f t="shared" si="3"/>
        <v/>
      </c>
      <c r="P80" t="str">
        <f t="shared" ca="1" si="4"/>
        <v/>
      </c>
      <c r="Q80" t="str">
        <f t="shared" si="5"/>
        <v/>
      </c>
      <c r="R80" s="7" t="str">
        <f t="shared" ca="1" si="6"/>
        <v/>
      </c>
      <c r="S80" s="6" t="str">
        <f t="shared" si="20"/>
        <v/>
      </c>
      <c r="T80" t="str">
        <f t="shared" si="8"/>
        <v/>
      </c>
      <c r="U80" t="str">
        <f t="shared" ca="1" si="9"/>
        <v/>
      </c>
      <c r="V80" t="str">
        <f t="shared" si="10"/>
        <v/>
      </c>
      <c r="W80" s="7" t="str">
        <f t="shared" ca="1" si="11"/>
        <v/>
      </c>
      <c r="X80" s="57">
        <f t="shared" si="12"/>
        <v>-1</v>
      </c>
      <c r="Y80" s="58" t="str">
        <f t="shared" si="13"/>
        <v/>
      </c>
      <c r="Z80" s="60" t="str">
        <f t="shared" si="14"/>
        <v/>
      </c>
      <c r="AA80" s="60" t="str">
        <f t="shared" si="15"/>
        <v/>
      </c>
      <c r="AB80" s="59" t="str">
        <f t="shared" si="16"/>
        <v/>
      </c>
      <c r="AC80" s="60" t="str">
        <f t="shared" si="17"/>
        <v/>
      </c>
      <c r="AD80" s="60" t="str">
        <f t="shared" si="18"/>
        <v/>
      </c>
    </row>
    <row r="81" spans="3:30" x14ac:dyDescent="0.2">
      <c r="C81" s="6" cm="1">
        <f t="array" ref="C81">IF(C80=-1,-1,
      IF(C80&lt;income_max_row, C80+1,
          IF(C80=income_max_row, income_total_row,
              IF(C80=income_total_row, "/1",
                  IF(C80="/1", expenses_header_row,
                      IF(C80&lt;expenses_max_row, C80+1,
                          IF(C80=expenses_max_row, expenses_total_row,
                              IF(C80=expenses_total_row, "/2",
                                  IF(C80="/2", savings_header_row,
                                      IF(C80&lt;savings_max_row, C80+1,
                                          IF(C80=savings_max_row, savings_total_row, -1)))))))))))</f>
        <v>-1</v>
      </c>
      <c r="D81" s="7">
        <f t="shared" si="0"/>
        <v>-1</v>
      </c>
      <c r="E81" s="6" cm="1">
        <f t="array" ref="E81">1*OR(row_id=income_header_row, row_id=expenses_header_row, row_id=savings_header_row)</f>
        <v>0</v>
      </c>
      <c r="F81">
        <f t="shared" si="1"/>
        <v>0</v>
      </c>
      <c r="G81" cm="1">
        <f t="array" ref="G81">1*OR(row_id=income_total_row, row_id=expenses_total_row, row_id=savings_total_row)</f>
        <v>0</v>
      </c>
      <c r="H81" s="7">
        <f t="shared" si="2"/>
        <v>1</v>
      </c>
      <c r="I81" s="6" t="str" cm="1">
        <f t="array" ref="I81">IFERROR(INDEX('Budget Planning'!$C:$C, header_row_id),"")</f>
        <v/>
      </c>
      <c r="J81" t="str" cm="1">
        <f t="array" ref="J81">IFERROR(INDEX('Budget Planning'!$C:$C, row_id),"")</f>
        <v/>
      </c>
      <c r="K81" s="54" t="str" cm="1">
        <f t="array" ref="K8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1" s="55" t="str" cm="1">
        <f t="array" ref="L81">IF(OR(is_header, is_empty), "",
      INDEX('Budget Planning'!$E:$EM, row_id,
                  MATCH(IF(selected_period="Total Year", selected_year, DATE(selected_year, selected_period, 1)), 'Budget Planning'!$E$9:$EM$9, 0)  ))</f>
        <v/>
      </c>
      <c r="M81" s="6" t="str" cm="1">
        <f t="array" ref="M81">IF(is_cat,
       IF(header_row_id=income_header_row, MATCH(income_min_row, $C:$C, 0),
           IF(header_row_id=expenses_header_row, MATCH(expenses_min_row, $C:$C, 0),
               IF(header_row_id=savings_header_row, MATCH(savings_min_row, $C:$C, 0),""))), "")</f>
        <v/>
      </c>
      <c r="N81" s="7" t="str" cm="1">
        <f t="array" ref="N81">IF(is_cat,
       IF(header_row_id=income_header_row, MATCH(income_max_row, $C:$C, 0),
           IF(header_row_id=expenses_header_row, MATCH(expenses_max_row, $C:$C, 0),
               IF(header_row_id=savings_header_row, MATCH(savings_max_row, $C:$C, 0),""))), "")</f>
        <v/>
      </c>
      <c r="O81" s="6" t="str">
        <f t="shared" si="3"/>
        <v/>
      </c>
      <c r="P81" t="str">
        <f t="shared" ca="1" si="4"/>
        <v/>
      </c>
      <c r="Q81" t="str">
        <f t="shared" si="5"/>
        <v/>
      </c>
      <c r="R81" s="7" t="str">
        <f t="shared" ca="1" si="6"/>
        <v/>
      </c>
      <c r="S81" s="6" t="str">
        <f t="shared" si="20"/>
        <v/>
      </c>
      <c r="T81" t="str">
        <f t="shared" si="8"/>
        <v/>
      </c>
      <c r="U81" t="str">
        <f t="shared" ca="1" si="9"/>
        <v/>
      </c>
      <c r="V81" t="str">
        <f t="shared" si="10"/>
        <v/>
      </c>
      <c r="W81" s="7" t="str">
        <f t="shared" ca="1" si="11"/>
        <v/>
      </c>
      <c r="X81" s="57">
        <f t="shared" si="12"/>
        <v>-1</v>
      </c>
      <c r="Y81" s="58" t="str">
        <f t="shared" si="13"/>
        <v/>
      </c>
      <c r="Z81" s="60" t="str">
        <f t="shared" si="14"/>
        <v/>
      </c>
      <c r="AA81" s="60" t="str">
        <f t="shared" si="15"/>
        <v/>
      </c>
      <c r="AB81" s="59" t="str">
        <f t="shared" si="16"/>
        <v/>
      </c>
      <c r="AC81" s="60" t="str">
        <f t="shared" si="17"/>
        <v/>
      </c>
      <c r="AD81" s="60" t="str">
        <f t="shared" si="18"/>
        <v/>
      </c>
    </row>
    <row r="82" spans="3:30" x14ac:dyDescent="0.2">
      <c r="C82" s="6" cm="1">
        <f t="array" ref="C82">IF(C81=-1,-1,
      IF(C81&lt;income_max_row, C81+1,
          IF(C81=income_max_row, income_total_row,
              IF(C81=income_total_row, "/1",
                  IF(C81="/1", expenses_header_row,
                      IF(C81&lt;expenses_max_row, C81+1,
                          IF(C81=expenses_max_row, expenses_total_row,
                              IF(C81=expenses_total_row, "/2",
                                  IF(C81="/2", savings_header_row,
                                      IF(C81&lt;savings_max_row, C81+1,
                                          IF(C81=savings_max_row, savings_total_row, -1)))))))))))</f>
        <v>-1</v>
      </c>
      <c r="D82" s="7">
        <f t="shared" si="0"/>
        <v>-1</v>
      </c>
      <c r="E82" s="6" cm="1">
        <f t="array" ref="E82">1*OR(row_id=income_header_row, row_id=expenses_header_row, row_id=savings_header_row)</f>
        <v>0</v>
      </c>
      <c r="F82">
        <f t="shared" si="1"/>
        <v>0</v>
      </c>
      <c r="G82" cm="1">
        <f t="array" ref="G82">1*OR(row_id=income_total_row, row_id=expenses_total_row, row_id=savings_total_row)</f>
        <v>0</v>
      </c>
      <c r="H82" s="7">
        <f t="shared" si="2"/>
        <v>1</v>
      </c>
      <c r="I82" s="6" t="str" cm="1">
        <f t="array" ref="I82">IFERROR(INDEX('Budget Planning'!$C:$C, header_row_id),"")</f>
        <v/>
      </c>
      <c r="J82" t="str" cm="1">
        <f t="array" ref="J82">IFERROR(INDEX('Budget Planning'!$C:$C, row_id),"")</f>
        <v/>
      </c>
      <c r="K82" s="54" t="str" cm="1">
        <f t="array" ref="K8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2" s="55" t="str" cm="1">
        <f t="array" ref="L82">IF(OR(is_header, is_empty), "",
      INDEX('Budget Planning'!$E:$EM, row_id,
                  MATCH(IF(selected_period="Total Year", selected_year, DATE(selected_year, selected_period, 1)), 'Budget Planning'!$E$9:$EM$9, 0)  ))</f>
        <v/>
      </c>
      <c r="M82" s="6" t="str" cm="1">
        <f t="array" ref="M82">IF(is_cat,
       IF(header_row_id=income_header_row, MATCH(income_min_row, $C:$C, 0),
           IF(header_row_id=expenses_header_row, MATCH(expenses_min_row, $C:$C, 0),
               IF(header_row_id=savings_header_row, MATCH(savings_min_row, $C:$C, 0),""))), "")</f>
        <v/>
      </c>
      <c r="N82" s="7" t="str" cm="1">
        <f t="array" ref="N82">IF(is_cat,
       IF(header_row_id=income_header_row, MATCH(income_max_row, $C:$C, 0),
           IF(header_row_id=expenses_header_row, MATCH(expenses_max_row, $C:$C, 0),
               IF(header_row_id=savings_header_row, MATCH(savings_max_row, $C:$C, 0),""))), "")</f>
        <v/>
      </c>
      <c r="O82" s="6" t="str">
        <f t="shared" si="3"/>
        <v/>
      </c>
      <c r="P82" t="str">
        <f t="shared" ca="1" si="4"/>
        <v/>
      </c>
      <c r="Q82" t="str">
        <f t="shared" si="5"/>
        <v/>
      </c>
      <c r="R82" s="7" t="str">
        <f t="shared" ca="1" si="6"/>
        <v/>
      </c>
      <c r="S82" s="6" t="str">
        <f t="shared" si="20"/>
        <v/>
      </c>
      <c r="T82" t="str">
        <f t="shared" si="8"/>
        <v/>
      </c>
      <c r="U82" t="str">
        <f t="shared" ca="1" si="9"/>
        <v/>
      </c>
      <c r="V82" t="str">
        <f t="shared" si="10"/>
        <v/>
      </c>
      <c r="W82" s="7" t="str">
        <f t="shared" ca="1" si="11"/>
        <v/>
      </c>
      <c r="X82" s="57">
        <f t="shared" si="12"/>
        <v>-1</v>
      </c>
      <c r="Y82" s="58" t="str">
        <f t="shared" si="13"/>
        <v/>
      </c>
      <c r="Z82" s="60" t="str">
        <f t="shared" si="14"/>
        <v/>
      </c>
      <c r="AA82" s="60" t="str">
        <f t="shared" si="15"/>
        <v/>
      </c>
      <c r="AB82" s="59" t="str">
        <f t="shared" si="16"/>
        <v/>
      </c>
      <c r="AC82" s="60" t="str">
        <f t="shared" si="17"/>
        <v/>
      </c>
      <c r="AD82" s="60" t="str">
        <f t="shared" si="18"/>
        <v/>
      </c>
    </row>
    <row r="83" spans="3:30" x14ac:dyDescent="0.2">
      <c r="C83" s="6" cm="1">
        <f t="array" ref="C83">IF(C82=-1,-1,
      IF(C82&lt;income_max_row, C82+1,
          IF(C82=income_max_row, income_total_row,
              IF(C82=income_total_row, "/1",
                  IF(C82="/1", expenses_header_row,
                      IF(C82&lt;expenses_max_row, C82+1,
                          IF(C82=expenses_max_row, expenses_total_row,
                              IF(C82=expenses_total_row, "/2",
                                  IF(C82="/2", savings_header_row,
                                      IF(C82&lt;savings_max_row, C82+1,
                                          IF(C82=savings_max_row, savings_total_row, -1)))))))))))</f>
        <v>-1</v>
      </c>
      <c r="D83" s="7">
        <f t="shared" si="0"/>
        <v>-1</v>
      </c>
      <c r="E83" s="6" cm="1">
        <f t="array" ref="E83">1*OR(row_id=income_header_row, row_id=expenses_header_row, row_id=savings_header_row)</f>
        <v>0</v>
      </c>
      <c r="F83">
        <f t="shared" si="1"/>
        <v>0</v>
      </c>
      <c r="G83" cm="1">
        <f t="array" ref="G83">1*OR(row_id=income_total_row, row_id=expenses_total_row, row_id=savings_total_row)</f>
        <v>0</v>
      </c>
      <c r="H83" s="7">
        <f t="shared" si="2"/>
        <v>1</v>
      </c>
      <c r="I83" s="6" t="str" cm="1">
        <f t="array" ref="I83">IFERROR(INDEX('Budget Planning'!$C:$C, header_row_id),"")</f>
        <v/>
      </c>
      <c r="J83" t="str" cm="1">
        <f t="array" ref="J83">IFERROR(INDEX('Budget Planning'!$C:$C, row_id),"")</f>
        <v/>
      </c>
      <c r="K83" s="54" t="str" cm="1">
        <f t="array" ref="K8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3" s="55" t="str" cm="1">
        <f t="array" ref="L83">IF(OR(is_header, is_empty), "",
      INDEX('Budget Planning'!$E:$EM, row_id,
                  MATCH(IF(selected_period="Total Year", selected_year, DATE(selected_year, selected_period, 1)), 'Budget Planning'!$E$9:$EM$9, 0)  ))</f>
        <v/>
      </c>
      <c r="M83" s="6" t="str" cm="1">
        <f t="array" ref="M83">IF(is_cat,
       IF(header_row_id=income_header_row, MATCH(income_min_row, $C:$C, 0),
           IF(header_row_id=expenses_header_row, MATCH(expenses_min_row, $C:$C, 0),
               IF(header_row_id=savings_header_row, MATCH(savings_min_row, $C:$C, 0),""))), "")</f>
        <v/>
      </c>
      <c r="N83" s="7" t="str" cm="1">
        <f t="array" ref="N83">IF(is_cat,
       IF(header_row_id=income_header_row, MATCH(income_max_row, $C:$C, 0),
           IF(header_row_id=expenses_header_row, MATCH(expenses_max_row, $C:$C, 0),
               IF(header_row_id=savings_header_row, MATCH(savings_max_row, $C:$C, 0),""))), "")</f>
        <v/>
      </c>
      <c r="O83" s="6" t="str">
        <f t="shared" si="3"/>
        <v/>
      </c>
      <c r="P83" t="str">
        <f t="shared" ca="1" si="4"/>
        <v/>
      </c>
      <c r="Q83" t="str">
        <f t="shared" si="5"/>
        <v/>
      </c>
      <c r="R83" s="7" t="str">
        <f t="shared" ca="1" si="6"/>
        <v/>
      </c>
      <c r="S83" s="6" t="str">
        <f t="shared" si="20"/>
        <v/>
      </c>
      <c r="T83" t="str">
        <f t="shared" si="8"/>
        <v/>
      </c>
      <c r="U83" t="str">
        <f t="shared" ca="1" si="9"/>
        <v/>
      </c>
      <c r="V83" t="str">
        <f t="shared" si="10"/>
        <v/>
      </c>
      <c r="W83" s="7" t="str">
        <f t="shared" ca="1" si="11"/>
        <v/>
      </c>
      <c r="X83" s="57">
        <f t="shared" si="12"/>
        <v>-1</v>
      </c>
      <c r="Y83" s="58" t="str">
        <f t="shared" si="13"/>
        <v/>
      </c>
      <c r="Z83" s="60" t="str">
        <f t="shared" si="14"/>
        <v/>
      </c>
      <c r="AA83" s="60" t="str">
        <f t="shared" si="15"/>
        <v/>
      </c>
      <c r="AB83" s="59" t="str">
        <f t="shared" si="16"/>
        <v/>
      </c>
      <c r="AC83" s="60" t="str">
        <f t="shared" si="17"/>
        <v/>
      </c>
      <c r="AD83" s="60" t="str">
        <f t="shared" si="18"/>
        <v/>
      </c>
    </row>
    <row r="84" spans="3:30" x14ac:dyDescent="0.2">
      <c r="C84" s="6" cm="1">
        <f t="array" ref="C84">IF(C83=-1,-1,
      IF(C83&lt;income_max_row, C83+1,
          IF(C83=income_max_row, income_total_row,
              IF(C83=income_total_row, "/1",
                  IF(C83="/1", expenses_header_row,
                      IF(C83&lt;expenses_max_row, C83+1,
                          IF(C83=expenses_max_row, expenses_total_row,
                              IF(C83=expenses_total_row, "/2",
                                  IF(C83="/2", savings_header_row,
                                      IF(C83&lt;savings_max_row, C83+1,
                                          IF(C83=savings_max_row, savings_total_row, -1)))))))))))</f>
        <v>-1</v>
      </c>
      <c r="D84" s="7">
        <f t="shared" si="0"/>
        <v>-1</v>
      </c>
      <c r="E84" s="6" cm="1">
        <f t="array" ref="E84">1*OR(row_id=income_header_row, row_id=expenses_header_row, row_id=savings_header_row)</f>
        <v>0</v>
      </c>
      <c r="F84">
        <f t="shared" si="1"/>
        <v>0</v>
      </c>
      <c r="G84" cm="1">
        <f t="array" ref="G84">1*OR(row_id=income_total_row, row_id=expenses_total_row, row_id=savings_total_row)</f>
        <v>0</v>
      </c>
      <c r="H84" s="7">
        <f t="shared" si="2"/>
        <v>1</v>
      </c>
      <c r="I84" s="6" t="str" cm="1">
        <f t="array" ref="I84">IFERROR(INDEX('Budget Planning'!$C:$C, header_row_id),"")</f>
        <v/>
      </c>
      <c r="J84" t="str" cm="1">
        <f t="array" ref="J84">IFERROR(INDEX('Budget Planning'!$C:$C, row_id),"")</f>
        <v/>
      </c>
      <c r="K84" s="54" t="str" cm="1">
        <f t="array" ref="K8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4" s="55" t="str" cm="1">
        <f t="array" ref="L84">IF(OR(is_header, is_empty), "",
      INDEX('Budget Planning'!$E:$EM, row_id,
                  MATCH(IF(selected_period="Total Year", selected_year, DATE(selected_year, selected_period, 1)), 'Budget Planning'!$E$9:$EM$9, 0)  ))</f>
        <v/>
      </c>
      <c r="M84" s="6" t="str" cm="1">
        <f t="array" ref="M84">IF(is_cat,
       IF(header_row_id=income_header_row, MATCH(income_min_row, $C:$C, 0),
           IF(header_row_id=expenses_header_row, MATCH(expenses_min_row, $C:$C, 0),
               IF(header_row_id=savings_header_row, MATCH(savings_min_row, $C:$C, 0),""))), "")</f>
        <v/>
      </c>
      <c r="N84" s="7" t="str" cm="1">
        <f t="array" ref="N84">IF(is_cat,
       IF(header_row_id=income_header_row, MATCH(income_max_row, $C:$C, 0),
           IF(header_row_id=expenses_header_row, MATCH(expenses_max_row, $C:$C, 0),
               IF(header_row_id=savings_header_row, MATCH(savings_max_row, $C:$C, 0),""))), "")</f>
        <v/>
      </c>
      <c r="O84" s="6" t="str">
        <f t="shared" si="3"/>
        <v/>
      </c>
      <c r="P84" t="str">
        <f t="shared" ca="1" si="4"/>
        <v/>
      </c>
      <c r="Q84" t="str">
        <f t="shared" si="5"/>
        <v/>
      </c>
      <c r="R84" s="7" t="str">
        <f t="shared" ca="1" si="6"/>
        <v/>
      </c>
      <c r="S84" s="6" t="str">
        <f t="shared" si="20"/>
        <v/>
      </c>
      <c r="T84" t="str">
        <f t="shared" si="8"/>
        <v/>
      </c>
      <c r="U84" t="str">
        <f t="shared" ca="1" si="9"/>
        <v/>
      </c>
      <c r="V84" t="str">
        <f t="shared" si="10"/>
        <v/>
      </c>
      <c r="W84" s="7" t="str">
        <f t="shared" ca="1" si="11"/>
        <v/>
      </c>
      <c r="X84" s="57">
        <f t="shared" si="12"/>
        <v>-1</v>
      </c>
      <c r="Y84" s="58" t="str">
        <f t="shared" si="13"/>
        <v/>
      </c>
      <c r="Z84" s="60" t="str">
        <f t="shared" si="14"/>
        <v/>
      </c>
      <c r="AA84" s="60" t="str">
        <f t="shared" si="15"/>
        <v/>
      </c>
      <c r="AB84" s="59" t="str">
        <f t="shared" si="16"/>
        <v/>
      </c>
      <c r="AC84" s="60" t="str">
        <f t="shared" si="17"/>
        <v/>
      </c>
      <c r="AD84" s="60" t="str">
        <f t="shared" si="18"/>
        <v/>
      </c>
    </row>
    <row r="85" spans="3:30" x14ac:dyDescent="0.2">
      <c r="C85" s="6" cm="1">
        <f t="array" ref="C85">IF(C84=-1,-1,
      IF(C84&lt;income_max_row, C84+1,
          IF(C84=income_max_row, income_total_row,
              IF(C84=income_total_row, "/1",
                  IF(C84="/1", expenses_header_row,
                      IF(C84&lt;expenses_max_row, C84+1,
                          IF(C84=expenses_max_row, expenses_total_row,
                              IF(C84=expenses_total_row, "/2",
                                  IF(C84="/2", savings_header_row,
                                      IF(C84&lt;savings_max_row, C84+1,
                                          IF(C84=savings_max_row, savings_total_row, -1)))))))))))</f>
        <v>-1</v>
      </c>
      <c r="D85" s="7">
        <f t="shared" si="0"/>
        <v>-1</v>
      </c>
      <c r="E85" s="6" cm="1">
        <f t="array" ref="E85">1*OR(row_id=income_header_row, row_id=expenses_header_row, row_id=savings_header_row)</f>
        <v>0</v>
      </c>
      <c r="F85">
        <f t="shared" si="1"/>
        <v>0</v>
      </c>
      <c r="G85" cm="1">
        <f t="array" ref="G85">1*OR(row_id=income_total_row, row_id=expenses_total_row, row_id=savings_total_row)</f>
        <v>0</v>
      </c>
      <c r="H85" s="7">
        <f t="shared" si="2"/>
        <v>1</v>
      </c>
      <c r="I85" s="6" t="str" cm="1">
        <f t="array" ref="I85">IFERROR(INDEX('Budget Planning'!$C:$C, header_row_id),"")</f>
        <v/>
      </c>
      <c r="J85" t="str" cm="1">
        <f t="array" ref="J85">IFERROR(INDEX('Budget Planning'!$C:$C, row_id),"")</f>
        <v/>
      </c>
      <c r="K85" s="54" t="str" cm="1">
        <f t="array" ref="K8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5" s="55" t="str" cm="1">
        <f t="array" ref="L85">IF(OR(is_header, is_empty), "",
      INDEX('Budget Planning'!$E:$EM, row_id,
                  MATCH(IF(selected_period="Total Year", selected_year, DATE(selected_year, selected_period, 1)), 'Budget Planning'!$E$9:$EM$9, 0)  ))</f>
        <v/>
      </c>
      <c r="M85" s="6" t="str" cm="1">
        <f t="array" ref="M85">IF(is_cat,
       IF(header_row_id=income_header_row, MATCH(income_min_row, $C:$C, 0),
           IF(header_row_id=expenses_header_row, MATCH(expenses_min_row, $C:$C, 0),
               IF(header_row_id=savings_header_row, MATCH(savings_min_row, $C:$C, 0),""))), "")</f>
        <v/>
      </c>
      <c r="N85" s="7" t="str" cm="1">
        <f t="array" ref="N85">IF(is_cat,
       IF(header_row_id=income_header_row, MATCH(income_max_row, $C:$C, 0),
           IF(header_row_id=expenses_header_row, MATCH(expenses_max_row, $C:$C, 0),
               IF(header_row_id=savings_header_row, MATCH(savings_max_row, $C:$C, 0),""))), "")</f>
        <v/>
      </c>
      <c r="O85" s="6" t="str">
        <f t="shared" si="3"/>
        <v/>
      </c>
      <c r="P85" t="str">
        <f t="shared" ca="1" si="4"/>
        <v/>
      </c>
      <c r="Q85" t="str">
        <f t="shared" si="5"/>
        <v/>
      </c>
      <c r="R85" s="7" t="str">
        <f t="shared" ca="1" si="6"/>
        <v/>
      </c>
      <c r="S85" s="6" t="str">
        <f t="shared" si="20"/>
        <v/>
      </c>
      <c r="T85" t="str">
        <f t="shared" si="8"/>
        <v/>
      </c>
      <c r="U85" t="str">
        <f t="shared" ca="1" si="9"/>
        <v/>
      </c>
      <c r="V85" t="str">
        <f t="shared" si="10"/>
        <v/>
      </c>
      <c r="W85" s="7" t="str">
        <f t="shared" ca="1" si="11"/>
        <v/>
      </c>
      <c r="X85" s="57">
        <f t="shared" si="12"/>
        <v>-1</v>
      </c>
      <c r="Y85" s="58" t="str">
        <f t="shared" si="13"/>
        <v/>
      </c>
      <c r="Z85" s="60" t="str">
        <f t="shared" si="14"/>
        <v/>
      </c>
      <c r="AA85" s="60" t="str">
        <f t="shared" si="15"/>
        <v/>
      </c>
      <c r="AB85" s="59" t="str">
        <f t="shared" si="16"/>
        <v/>
      </c>
      <c r="AC85" s="60" t="str">
        <f t="shared" si="17"/>
        <v/>
      </c>
      <c r="AD85" s="60" t="str">
        <f t="shared" si="18"/>
        <v/>
      </c>
    </row>
    <row r="86" spans="3:30" x14ac:dyDescent="0.2">
      <c r="C86" s="6" cm="1">
        <f t="array" ref="C86">IF(C85=-1,-1,
      IF(C85&lt;income_max_row, C85+1,
          IF(C85=income_max_row, income_total_row,
              IF(C85=income_total_row, "/1",
                  IF(C85="/1", expenses_header_row,
                      IF(C85&lt;expenses_max_row, C85+1,
                          IF(C85=expenses_max_row, expenses_total_row,
                              IF(C85=expenses_total_row, "/2",
                                  IF(C85="/2", savings_header_row,
                                      IF(C85&lt;savings_max_row, C85+1,
                                          IF(C85=savings_max_row, savings_total_row, -1)))))))))))</f>
        <v>-1</v>
      </c>
      <c r="D86" s="7">
        <f t="shared" si="0"/>
        <v>-1</v>
      </c>
      <c r="E86" s="6" cm="1">
        <f t="array" ref="E86">1*OR(row_id=income_header_row, row_id=expenses_header_row, row_id=savings_header_row)</f>
        <v>0</v>
      </c>
      <c r="F86">
        <f t="shared" si="1"/>
        <v>0</v>
      </c>
      <c r="G86" cm="1">
        <f t="array" ref="G86">1*OR(row_id=income_total_row, row_id=expenses_total_row, row_id=savings_total_row)</f>
        <v>0</v>
      </c>
      <c r="H86" s="7">
        <f t="shared" si="2"/>
        <v>1</v>
      </c>
      <c r="I86" s="6" t="str" cm="1">
        <f t="array" ref="I86">IFERROR(INDEX('Budget Planning'!$C:$C, header_row_id),"")</f>
        <v/>
      </c>
      <c r="J86" t="str" cm="1">
        <f t="array" ref="J86">IFERROR(INDEX('Budget Planning'!$C:$C, row_id),"")</f>
        <v/>
      </c>
      <c r="K86" s="54" t="str" cm="1">
        <f t="array" ref="K8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6" s="55" t="str" cm="1">
        <f t="array" ref="L86">IF(OR(is_header, is_empty), "",
      INDEX('Budget Planning'!$E:$EM, row_id,
                  MATCH(IF(selected_period="Total Year", selected_year, DATE(selected_year, selected_period, 1)), 'Budget Planning'!$E$9:$EM$9, 0)  ))</f>
        <v/>
      </c>
      <c r="M86" s="6" t="str" cm="1">
        <f t="array" ref="M86">IF(is_cat,
       IF(header_row_id=income_header_row, MATCH(income_min_row, $C:$C, 0),
           IF(header_row_id=expenses_header_row, MATCH(expenses_min_row, $C:$C, 0),
               IF(header_row_id=savings_header_row, MATCH(savings_min_row, $C:$C, 0),""))), "")</f>
        <v/>
      </c>
      <c r="N86" s="7" t="str" cm="1">
        <f t="array" ref="N86">IF(is_cat,
       IF(header_row_id=income_header_row, MATCH(income_max_row, $C:$C, 0),
           IF(header_row_id=expenses_header_row, MATCH(expenses_max_row, $C:$C, 0),
               IF(header_row_id=savings_header_row, MATCH(savings_max_row, $C:$C, 0),""))), "")</f>
        <v/>
      </c>
      <c r="O86" s="6" t="str">
        <f t="shared" si="3"/>
        <v/>
      </c>
      <c r="P86" t="str">
        <f t="shared" ca="1" si="4"/>
        <v/>
      </c>
      <c r="Q86" t="str">
        <f t="shared" si="5"/>
        <v/>
      </c>
      <c r="R86" s="7" t="str">
        <f t="shared" ca="1" si="6"/>
        <v/>
      </c>
      <c r="S86" s="6" t="str">
        <f t="shared" si="20"/>
        <v/>
      </c>
      <c r="T86" t="str">
        <f t="shared" si="8"/>
        <v/>
      </c>
      <c r="U86" t="str">
        <f t="shared" ca="1" si="9"/>
        <v/>
      </c>
      <c r="V86" t="str">
        <f t="shared" si="10"/>
        <v/>
      </c>
      <c r="W86" s="7" t="str">
        <f t="shared" ca="1" si="11"/>
        <v/>
      </c>
      <c r="X86" s="57">
        <f t="shared" si="12"/>
        <v>-1</v>
      </c>
      <c r="Y86" s="58" t="str">
        <f t="shared" si="13"/>
        <v/>
      </c>
      <c r="Z86" s="60" t="str">
        <f t="shared" si="14"/>
        <v/>
      </c>
      <c r="AA86" s="60" t="str">
        <f t="shared" si="15"/>
        <v/>
      </c>
      <c r="AB86" s="59" t="str">
        <f t="shared" si="16"/>
        <v/>
      </c>
      <c r="AC86" s="60" t="str">
        <f t="shared" si="17"/>
        <v/>
      </c>
      <c r="AD86" s="60" t="str">
        <f t="shared" si="18"/>
        <v/>
      </c>
    </row>
    <row r="87" spans="3:30" x14ac:dyDescent="0.2">
      <c r="C87" s="6" cm="1">
        <f t="array" ref="C87">IF(C86=-1,-1,
      IF(C86&lt;income_max_row, C86+1,
          IF(C86=income_max_row, income_total_row,
              IF(C86=income_total_row, "/1",
                  IF(C86="/1", expenses_header_row,
                      IF(C86&lt;expenses_max_row, C86+1,
                          IF(C86=expenses_max_row, expenses_total_row,
                              IF(C86=expenses_total_row, "/2",
                                  IF(C86="/2", savings_header_row,
                                      IF(C86&lt;savings_max_row, C86+1,
                                          IF(C86=savings_max_row, savings_total_row, -1)))))))))))</f>
        <v>-1</v>
      </c>
      <c r="D87" s="7">
        <f t="shared" si="0"/>
        <v>-1</v>
      </c>
      <c r="E87" s="6" cm="1">
        <f t="array" ref="E87">1*OR(row_id=income_header_row, row_id=expenses_header_row, row_id=savings_header_row)</f>
        <v>0</v>
      </c>
      <c r="F87">
        <f t="shared" si="1"/>
        <v>0</v>
      </c>
      <c r="G87" cm="1">
        <f t="array" ref="G87">1*OR(row_id=income_total_row, row_id=expenses_total_row, row_id=savings_total_row)</f>
        <v>0</v>
      </c>
      <c r="H87" s="7">
        <f t="shared" si="2"/>
        <v>1</v>
      </c>
      <c r="I87" s="6" t="str" cm="1">
        <f t="array" ref="I87">IFERROR(INDEX('Budget Planning'!$C:$C, header_row_id),"")</f>
        <v/>
      </c>
      <c r="J87" t="str" cm="1">
        <f t="array" ref="J87">IFERROR(INDEX('Budget Planning'!$C:$C, row_id),"")</f>
        <v/>
      </c>
      <c r="K87" s="54" t="str" cm="1">
        <f t="array" ref="K8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7" s="55" t="str" cm="1">
        <f t="array" ref="L87">IF(OR(is_header, is_empty), "",
      INDEX('Budget Planning'!$E:$EM, row_id,
                  MATCH(IF(selected_period="Total Year", selected_year, DATE(selected_year, selected_period, 1)), 'Budget Planning'!$E$9:$EM$9, 0)  ))</f>
        <v/>
      </c>
      <c r="M87" s="6" t="str" cm="1">
        <f t="array" ref="M87">IF(is_cat,
       IF(header_row_id=income_header_row, MATCH(income_min_row, $C:$C, 0),
           IF(header_row_id=expenses_header_row, MATCH(expenses_min_row, $C:$C, 0),
               IF(header_row_id=savings_header_row, MATCH(savings_min_row, $C:$C, 0),""))), "")</f>
        <v/>
      </c>
      <c r="N87" s="7" t="str" cm="1">
        <f t="array" ref="N87">IF(is_cat,
       IF(header_row_id=income_header_row, MATCH(income_max_row, $C:$C, 0),
           IF(header_row_id=expenses_header_row, MATCH(expenses_max_row, $C:$C, 0),
               IF(header_row_id=savings_header_row, MATCH(savings_max_row, $C:$C, 0),""))), "")</f>
        <v/>
      </c>
      <c r="O87" s="6" t="str">
        <f t="shared" si="3"/>
        <v/>
      </c>
      <c r="P87" t="str">
        <f t="shared" ca="1" si="4"/>
        <v/>
      </c>
      <c r="Q87" t="str">
        <f t="shared" si="5"/>
        <v/>
      </c>
      <c r="R87" s="7" t="str">
        <f t="shared" ca="1" si="6"/>
        <v/>
      </c>
      <c r="S87" s="6" t="str">
        <f t="shared" si="20"/>
        <v/>
      </c>
      <c r="T87" t="str">
        <f t="shared" si="8"/>
        <v/>
      </c>
      <c r="U87" t="str">
        <f t="shared" ca="1" si="9"/>
        <v/>
      </c>
      <c r="V87" t="str">
        <f t="shared" si="10"/>
        <v/>
      </c>
      <c r="W87" s="7" t="str">
        <f t="shared" ca="1" si="11"/>
        <v/>
      </c>
      <c r="X87" s="57">
        <f t="shared" si="12"/>
        <v>-1</v>
      </c>
      <c r="Y87" s="58" t="str">
        <f t="shared" si="13"/>
        <v/>
      </c>
      <c r="Z87" s="60" t="str">
        <f t="shared" si="14"/>
        <v/>
      </c>
      <c r="AA87" s="60" t="str">
        <f t="shared" si="15"/>
        <v/>
      </c>
      <c r="AB87" s="59" t="str">
        <f t="shared" si="16"/>
        <v/>
      </c>
      <c r="AC87" s="60" t="str">
        <f t="shared" si="17"/>
        <v/>
      </c>
      <c r="AD87" s="60" t="str">
        <f t="shared" si="18"/>
        <v/>
      </c>
    </row>
    <row r="88" spans="3:30" x14ac:dyDescent="0.2">
      <c r="C88" s="6" cm="1">
        <f t="array" ref="C88">IF(C87=-1,-1,
      IF(C87&lt;income_max_row, C87+1,
          IF(C87=income_max_row, income_total_row,
              IF(C87=income_total_row, "/1",
                  IF(C87="/1", expenses_header_row,
                      IF(C87&lt;expenses_max_row, C87+1,
                          IF(C87=expenses_max_row, expenses_total_row,
                              IF(C87=expenses_total_row, "/2",
                                  IF(C87="/2", savings_header_row,
                                      IF(C87&lt;savings_max_row, C87+1,
                                          IF(C87=savings_max_row, savings_total_row, -1)))))))))))</f>
        <v>-1</v>
      </c>
      <c r="D88" s="7">
        <f t="shared" si="0"/>
        <v>-1</v>
      </c>
      <c r="E88" s="6" cm="1">
        <f t="array" ref="E88">1*OR(row_id=income_header_row, row_id=expenses_header_row, row_id=savings_header_row)</f>
        <v>0</v>
      </c>
      <c r="F88">
        <f t="shared" si="1"/>
        <v>0</v>
      </c>
      <c r="G88" cm="1">
        <f t="array" ref="G88">1*OR(row_id=income_total_row, row_id=expenses_total_row, row_id=savings_total_row)</f>
        <v>0</v>
      </c>
      <c r="H88" s="7">
        <f t="shared" si="2"/>
        <v>1</v>
      </c>
      <c r="I88" s="6" t="str" cm="1">
        <f t="array" ref="I88">IFERROR(INDEX('Budget Planning'!$C:$C, header_row_id),"")</f>
        <v/>
      </c>
      <c r="J88" t="str" cm="1">
        <f t="array" ref="J88">IFERROR(INDEX('Budget Planning'!$C:$C, row_id),"")</f>
        <v/>
      </c>
      <c r="K88" s="54" t="str" cm="1">
        <f t="array" ref="K8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8" s="55" t="str" cm="1">
        <f t="array" ref="L88">IF(OR(is_header, is_empty), "",
      INDEX('Budget Planning'!$E:$EM, row_id,
                  MATCH(IF(selected_period="Total Year", selected_year, DATE(selected_year, selected_period, 1)), 'Budget Planning'!$E$9:$EM$9, 0)  ))</f>
        <v/>
      </c>
      <c r="M88" s="6" t="str" cm="1">
        <f t="array" ref="M88">IF(is_cat,
       IF(header_row_id=income_header_row, MATCH(income_min_row, $C:$C, 0),
           IF(header_row_id=expenses_header_row, MATCH(expenses_min_row, $C:$C, 0),
               IF(header_row_id=savings_header_row, MATCH(savings_min_row, $C:$C, 0),""))), "")</f>
        <v/>
      </c>
      <c r="N88" s="7" t="str" cm="1">
        <f t="array" ref="N88">IF(is_cat,
       IF(header_row_id=income_header_row, MATCH(income_max_row, $C:$C, 0),
           IF(header_row_id=expenses_header_row, MATCH(expenses_max_row, $C:$C, 0),
               IF(header_row_id=savings_header_row, MATCH(savings_max_row, $C:$C, 0),""))), "")</f>
        <v/>
      </c>
      <c r="O88" s="6" t="str">
        <f t="shared" si="3"/>
        <v/>
      </c>
      <c r="P88" t="str">
        <f t="shared" ca="1" si="4"/>
        <v/>
      </c>
      <c r="Q88" t="str">
        <f t="shared" si="5"/>
        <v/>
      </c>
      <c r="R88" s="7" t="str">
        <f t="shared" ca="1" si="6"/>
        <v/>
      </c>
      <c r="S88" s="6" t="str">
        <f t="shared" si="20"/>
        <v/>
      </c>
      <c r="T88" t="str">
        <f t="shared" si="8"/>
        <v/>
      </c>
      <c r="U88" t="str">
        <f t="shared" ca="1" si="9"/>
        <v/>
      </c>
      <c r="V88" t="str">
        <f t="shared" si="10"/>
        <v/>
      </c>
      <c r="W88" s="7" t="str">
        <f t="shared" ca="1" si="11"/>
        <v/>
      </c>
      <c r="X88" s="57">
        <f t="shared" si="12"/>
        <v>-1</v>
      </c>
      <c r="Y88" s="58" t="str">
        <f t="shared" si="13"/>
        <v/>
      </c>
      <c r="Z88" s="60" t="str">
        <f t="shared" si="14"/>
        <v/>
      </c>
      <c r="AA88" s="60" t="str">
        <f t="shared" si="15"/>
        <v/>
      </c>
      <c r="AB88" s="59" t="str">
        <f t="shared" si="16"/>
        <v/>
      </c>
      <c r="AC88" s="60" t="str">
        <f t="shared" si="17"/>
        <v/>
      </c>
      <c r="AD88" s="60" t="str">
        <f t="shared" si="18"/>
        <v/>
      </c>
    </row>
    <row r="89" spans="3:30" x14ac:dyDescent="0.2">
      <c r="C89" s="6" cm="1">
        <f t="array" ref="C89">IF(C88=-1,-1,
      IF(C88&lt;income_max_row, C88+1,
          IF(C88=income_max_row, income_total_row,
              IF(C88=income_total_row, "/1",
                  IF(C88="/1", expenses_header_row,
                      IF(C88&lt;expenses_max_row, C88+1,
                          IF(C88=expenses_max_row, expenses_total_row,
                              IF(C88=expenses_total_row, "/2",
                                  IF(C88="/2", savings_header_row,
                                      IF(C88&lt;savings_max_row, C88+1,
                                          IF(C88=savings_max_row, savings_total_row, -1)))))))))))</f>
        <v>-1</v>
      </c>
      <c r="D89" s="7">
        <f t="shared" si="0"/>
        <v>-1</v>
      </c>
      <c r="E89" s="6" cm="1">
        <f t="array" ref="E89">1*OR(row_id=income_header_row, row_id=expenses_header_row, row_id=savings_header_row)</f>
        <v>0</v>
      </c>
      <c r="F89">
        <f t="shared" si="1"/>
        <v>0</v>
      </c>
      <c r="G89" cm="1">
        <f t="array" ref="G89">1*OR(row_id=income_total_row, row_id=expenses_total_row, row_id=savings_total_row)</f>
        <v>0</v>
      </c>
      <c r="H89" s="7">
        <f t="shared" si="2"/>
        <v>1</v>
      </c>
      <c r="I89" s="6" t="str" cm="1">
        <f t="array" ref="I89">IFERROR(INDEX('Budget Planning'!$C:$C, header_row_id),"")</f>
        <v/>
      </c>
      <c r="J89" t="str" cm="1">
        <f t="array" ref="J89">IFERROR(INDEX('Budget Planning'!$C:$C, row_id),"")</f>
        <v/>
      </c>
      <c r="K89" s="54" t="str" cm="1">
        <f t="array" ref="K8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89" s="55" t="str" cm="1">
        <f t="array" ref="L89">IF(OR(is_header, is_empty), "",
      INDEX('Budget Planning'!$E:$EM, row_id,
                  MATCH(IF(selected_period="Total Year", selected_year, DATE(selected_year, selected_period, 1)), 'Budget Planning'!$E$9:$EM$9, 0)  ))</f>
        <v/>
      </c>
      <c r="M89" s="6" t="str" cm="1">
        <f t="array" ref="M89">IF(is_cat,
       IF(header_row_id=income_header_row, MATCH(income_min_row, $C:$C, 0),
           IF(header_row_id=expenses_header_row, MATCH(expenses_min_row, $C:$C, 0),
               IF(header_row_id=savings_header_row, MATCH(savings_min_row, $C:$C, 0),""))), "")</f>
        <v/>
      </c>
      <c r="N89" s="7" t="str" cm="1">
        <f t="array" ref="N89">IF(is_cat,
       IF(header_row_id=income_header_row, MATCH(income_max_row, $C:$C, 0),
           IF(header_row_id=expenses_header_row, MATCH(expenses_max_row, $C:$C, 0),
               IF(header_row_id=savings_header_row, MATCH(savings_max_row, $C:$C, 0),""))), "")</f>
        <v/>
      </c>
      <c r="O89" s="6" t="str">
        <f t="shared" si="3"/>
        <v/>
      </c>
      <c r="P89" t="str">
        <f t="shared" ca="1" si="4"/>
        <v/>
      </c>
      <c r="Q89" t="str">
        <f t="shared" si="5"/>
        <v/>
      </c>
      <c r="R89" s="7" t="str">
        <f t="shared" ca="1" si="6"/>
        <v/>
      </c>
      <c r="S89" s="6" t="str">
        <f t="shared" si="20"/>
        <v/>
      </c>
      <c r="T89" t="str">
        <f t="shared" si="8"/>
        <v/>
      </c>
      <c r="U89" t="str">
        <f t="shared" ca="1" si="9"/>
        <v/>
      </c>
      <c r="V89" t="str">
        <f t="shared" si="10"/>
        <v/>
      </c>
      <c r="W89" s="7" t="str">
        <f t="shared" ca="1" si="11"/>
        <v/>
      </c>
      <c r="X89" s="57">
        <f t="shared" si="12"/>
        <v>-1</v>
      </c>
      <c r="Y89" s="58" t="str">
        <f t="shared" si="13"/>
        <v/>
      </c>
      <c r="Z89" s="60" t="str">
        <f t="shared" si="14"/>
        <v/>
      </c>
      <c r="AA89" s="60" t="str">
        <f t="shared" si="15"/>
        <v/>
      </c>
      <c r="AB89" s="59" t="str">
        <f t="shared" si="16"/>
        <v/>
      </c>
      <c r="AC89" s="60" t="str">
        <f t="shared" si="17"/>
        <v/>
      </c>
      <c r="AD89" s="60" t="str">
        <f t="shared" si="18"/>
        <v/>
      </c>
    </row>
    <row r="90" spans="3:30" x14ac:dyDescent="0.2">
      <c r="C90" s="6" cm="1">
        <f t="array" ref="C90">IF(C89=-1,-1,
      IF(C89&lt;income_max_row, C89+1,
          IF(C89=income_max_row, income_total_row,
              IF(C89=income_total_row, "/1",
                  IF(C89="/1", expenses_header_row,
                      IF(C89&lt;expenses_max_row, C89+1,
                          IF(C89=expenses_max_row, expenses_total_row,
                              IF(C89=expenses_total_row, "/2",
                                  IF(C89="/2", savings_header_row,
                                      IF(C89&lt;savings_max_row, C89+1,
                                          IF(C89=savings_max_row, savings_total_row, -1)))))))))))</f>
        <v>-1</v>
      </c>
      <c r="D90" s="7">
        <f t="shared" si="0"/>
        <v>-1</v>
      </c>
      <c r="E90" s="6" cm="1">
        <f t="array" ref="E90">1*OR(row_id=income_header_row, row_id=expenses_header_row, row_id=savings_header_row)</f>
        <v>0</v>
      </c>
      <c r="F90">
        <f t="shared" si="1"/>
        <v>0</v>
      </c>
      <c r="G90" cm="1">
        <f t="array" ref="G90">1*OR(row_id=income_total_row, row_id=expenses_total_row, row_id=savings_total_row)</f>
        <v>0</v>
      </c>
      <c r="H90" s="7">
        <f t="shared" si="2"/>
        <v>1</v>
      </c>
      <c r="I90" s="6" t="str" cm="1">
        <f t="array" ref="I90">IFERROR(INDEX('Budget Planning'!$C:$C, header_row_id),"")</f>
        <v/>
      </c>
      <c r="J90" t="str" cm="1">
        <f t="array" ref="J90">IFERROR(INDEX('Budget Planning'!$C:$C, row_id),"")</f>
        <v/>
      </c>
      <c r="K90" s="54" t="str" cm="1">
        <f t="array" ref="K9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0" s="55" t="str" cm="1">
        <f t="array" ref="L90">IF(OR(is_header, is_empty), "",
      INDEX('Budget Planning'!$E:$EM, row_id,
                  MATCH(IF(selected_period="Total Year", selected_year, DATE(selected_year, selected_period, 1)), 'Budget Planning'!$E$9:$EM$9, 0)  ))</f>
        <v/>
      </c>
      <c r="M90" s="6" t="str" cm="1">
        <f t="array" ref="M90">IF(is_cat,
       IF(header_row_id=income_header_row, MATCH(income_min_row, $C:$C, 0),
           IF(header_row_id=expenses_header_row, MATCH(expenses_min_row, $C:$C, 0),
               IF(header_row_id=savings_header_row, MATCH(savings_min_row, $C:$C, 0),""))), "")</f>
        <v/>
      </c>
      <c r="N90" s="7" t="str" cm="1">
        <f t="array" ref="N90">IF(is_cat,
       IF(header_row_id=income_header_row, MATCH(income_max_row, $C:$C, 0),
           IF(header_row_id=expenses_header_row, MATCH(expenses_max_row, $C:$C, 0),
               IF(header_row_id=savings_header_row, MATCH(savings_max_row, $C:$C, 0),""))), "")</f>
        <v/>
      </c>
      <c r="O90" s="6" t="str">
        <f t="shared" si="3"/>
        <v/>
      </c>
      <c r="P90" t="str">
        <f t="shared" ca="1" si="4"/>
        <v/>
      </c>
      <c r="Q90" t="str">
        <f t="shared" si="5"/>
        <v/>
      </c>
      <c r="R90" s="7" t="str">
        <f t="shared" ca="1" si="6"/>
        <v/>
      </c>
      <c r="S90" s="6" t="str">
        <f t="shared" si="20"/>
        <v/>
      </c>
      <c r="T90" t="str">
        <f t="shared" si="8"/>
        <v/>
      </c>
      <c r="U90" t="str">
        <f t="shared" ca="1" si="9"/>
        <v/>
      </c>
      <c r="V90" t="str">
        <f t="shared" si="10"/>
        <v/>
      </c>
      <c r="W90" s="7" t="str">
        <f t="shared" ca="1" si="11"/>
        <v/>
      </c>
      <c r="X90" s="57">
        <f t="shared" si="12"/>
        <v>-1</v>
      </c>
      <c r="Y90" s="58" t="str">
        <f t="shared" si="13"/>
        <v/>
      </c>
      <c r="Z90" s="60" t="str">
        <f t="shared" si="14"/>
        <v/>
      </c>
      <c r="AA90" s="60" t="str">
        <f t="shared" si="15"/>
        <v/>
      </c>
      <c r="AB90" s="59" t="str">
        <f t="shared" si="16"/>
        <v/>
      </c>
      <c r="AC90" s="60" t="str">
        <f t="shared" si="17"/>
        <v/>
      </c>
      <c r="AD90" s="60" t="str">
        <f t="shared" si="18"/>
        <v/>
      </c>
    </row>
    <row r="91" spans="3:30" x14ac:dyDescent="0.2">
      <c r="C91" s="6" cm="1">
        <f t="array" ref="C91">IF(C90=-1,-1,
      IF(C90&lt;income_max_row, C90+1,
          IF(C90=income_max_row, income_total_row,
              IF(C90=income_total_row, "/1",
                  IF(C90="/1", expenses_header_row,
                      IF(C90&lt;expenses_max_row, C90+1,
                          IF(C90=expenses_max_row, expenses_total_row,
                              IF(C90=expenses_total_row, "/2",
                                  IF(C90="/2", savings_header_row,
                                      IF(C90&lt;savings_max_row, C90+1,
                                          IF(C90=savings_max_row, savings_total_row, -1)))))))))))</f>
        <v>-1</v>
      </c>
      <c r="D91" s="7">
        <f t="shared" si="0"/>
        <v>-1</v>
      </c>
      <c r="E91" s="6" cm="1">
        <f t="array" ref="E91">1*OR(row_id=income_header_row, row_id=expenses_header_row, row_id=savings_header_row)</f>
        <v>0</v>
      </c>
      <c r="F91">
        <f t="shared" si="1"/>
        <v>0</v>
      </c>
      <c r="G91" cm="1">
        <f t="array" ref="G91">1*OR(row_id=income_total_row, row_id=expenses_total_row, row_id=savings_total_row)</f>
        <v>0</v>
      </c>
      <c r="H91" s="7">
        <f t="shared" si="2"/>
        <v>1</v>
      </c>
      <c r="I91" s="6" t="str" cm="1">
        <f t="array" ref="I91">IFERROR(INDEX('Budget Planning'!$C:$C, header_row_id),"")</f>
        <v/>
      </c>
      <c r="J91" t="str" cm="1">
        <f t="array" ref="J91">IFERROR(INDEX('Budget Planning'!$C:$C, row_id),"")</f>
        <v/>
      </c>
      <c r="K91" s="54" t="str" cm="1">
        <f t="array" ref="K9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1" s="55" t="str" cm="1">
        <f t="array" ref="L91">IF(OR(is_header, is_empty), "",
      INDEX('Budget Planning'!$E:$EM, row_id,
                  MATCH(IF(selected_period="Total Year", selected_year, DATE(selected_year, selected_period, 1)), 'Budget Planning'!$E$9:$EM$9, 0)  ))</f>
        <v/>
      </c>
      <c r="M91" s="6" t="str" cm="1">
        <f t="array" ref="M91">IF(is_cat,
       IF(header_row_id=income_header_row, MATCH(income_min_row, $C:$C, 0),
           IF(header_row_id=expenses_header_row, MATCH(expenses_min_row, $C:$C, 0),
               IF(header_row_id=savings_header_row, MATCH(savings_min_row, $C:$C, 0),""))), "")</f>
        <v/>
      </c>
      <c r="N91" s="7" t="str" cm="1">
        <f t="array" ref="N91">IF(is_cat,
       IF(header_row_id=income_header_row, MATCH(income_max_row, $C:$C, 0),
           IF(header_row_id=expenses_header_row, MATCH(expenses_max_row, $C:$C, 0),
               IF(header_row_id=savings_header_row, MATCH(savings_max_row, $C:$C, 0),""))), "")</f>
        <v/>
      </c>
      <c r="O91" s="6" t="str">
        <f t="shared" si="3"/>
        <v/>
      </c>
      <c r="P91" t="str">
        <f t="shared" ca="1" si="4"/>
        <v/>
      </c>
      <c r="Q91" t="str">
        <f t="shared" si="5"/>
        <v/>
      </c>
      <c r="R91" s="7" t="str">
        <f t="shared" ca="1" si="6"/>
        <v/>
      </c>
      <c r="S91" s="6" t="str">
        <f t="shared" si="20"/>
        <v/>
      </c>
      <c r="T91" t="str">
        <f t="shared" si="8"/>
        <v/>
      </c>
      <c r="U91" t="str">
        <f t="shared" ca="1" si="9"/>
        <v/>
      </c>
      <c r="V91" t="str">
        <f t="shared" si="10"/>
        <v/>
      </c>
      <c r="W91" s="7" t="str">
        <f t="shared" ca="1" si="11"/>
        <v/>
      </c>
      <c r="X91" s="57">
        <f t="shared" si="12"/>
        <v>-1</v>
      </c>
      <c r="Y91" s="58" t="str">
        <f t="shared" si="13"/>
        <v/>
      </c>
      <c r="Z91" s="60" t="str">
        <f t="shared" si="14"/>
        <v/>
      </c>
      <c r="AA91" s="60" t="str">
        <f t="shared" si="15"/>
        <v/>
      </c>
      <c r="AB91" s="59" t="str">
        <f t="shared" si="16"/>
        <v/>
      </c>
      <c r="AC91" s="60" t="str">
        <f t="shared" si="17"/>
        <v/>
      </c>
      <c r="AD91" s="60" t="str">
        <f t="shared" si="18"/>
        <v/>
      </c>
    </row>
    <row r="92" spans="3:30" x14ac:dyDescent="0.2">
      <c r="C92" s="6" cm="1">
        <f t="array" ref="C92">IF(C91=-1,-1,
      IF(C91&lt;income_max_row, C91+1,
          IF(C91=income_max_row, income_total_row,
              IF(C91=income_total_row, "/1",
                  IF(C91="/1", expenses_header_row,
                      IF(C91&lt;expenses_max_row, C91+1,
                          IF(C91=expenses_max_row, expenses_total_row,
                              IF(C91=expenses_total_row, "/2",
                                  IF(C91="/2", savings_header_row,
                                      IF(C91&lt;savings_max_row, C91+1,
                                          IF(C91=savings_max_row, savings_total_row, -1)))))))))))</f>
        <v>-1</v>
      </c>
      <c r="D92" s="7">
        <f t="shared" si="0"/>
        <v>-1</v>
      </c>
      <c r="E92" s="6" cm="1">
        <f t="array" ref="E92">1*OR(row_id=income_header_row, row_id=expenses_header_row, row_id=savings_header_row)</f>
        <v>0</v>
      </c>
      <c r="F92">
        <f t="shared" si="1"/>
        <v>0</v>
      </c>
      <c r="G92" cm="1">
        <f t="array" ref="G92">1*OR(row_id=income_total_row, row_id=expenses_total_row, row_id=savings_total_row)</f>
        <v>0</v>
      </c>
      <c r="H92" s="7">
        <f t="shared" si="2"/>
        <v>1</v>
      </c>
      <c r="I92" s="6" t="str" cm="1">
        <f t="array" ref="I92">IFERROR(INDEX('Budget Planning'!$C:$C, header_row_id),"")</f>
        <v/>
      </c>
      <c r="J92" t="str" cm="1">
        <f t="array" ref="J92">IFERROR(INDEX('Budget Planning'!$C:$C, row_id),"")</f>
        <v/>
      </c>
      <c r="K92" s="54" t="str" cm="1">
        <f t="array" ref="K9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2" s="55" t="str" cm="1">
        <f t="array" ref="L92">IF(OR(is_header, is_empty), "",
      INDEX('Budget Planning'!$E:$EM, row_id,
                  MATCH(IF(selected_period="Total Year", selected_year, DATE(selected_year, selected_period, 1)), 'Budget Planning'!$E$9:$EM$9, 0)  ))</f>
        <v/>
      </c>
      <c r="M92" s="6" t="str" cm="1">
        <f t="array" ref="M92">IF(is_cat,
       IF(header_row_id=income_header_row, MATCH(income_min_row, $C:$C, 0),
           IF(header_row_id=expenses_header_row, MATCH(expenses_min_row, $C:$C, 0),
               IF(header_row_id=savings_header_row, MATCH(savings_min_row, $C:$C, 0),""))), "")</f>
        <v/>
      </c>
      <c r="N92" s="7" t="str" cm="1">
        <f t="array" ref="N92">IF(is_cat,
       IF(header_row_id=income_header_row, MATCH(income_max_row, $C:$C, 0),
           IF(header_row_id=expenses_header_row, MATCH(expenses_max_row, $C:$C, 0),
               IF(header_row_id=savings_header_row, MATCH(savings_max_row, $C:$C, 0),""))), "")</f>
        <v/>
      </c>
      <c r="O92" s="6" t="str">
        <f t="shared" si="3"/>
        <v/>
      </c>
      <c r="P92" t="str">
        <f t="shared" ca="1" si="4"/>
        <v/>
      </c>
      <c r="Q92" t="str">
        <f t="shared" si="5"/>
        <v/>
      </c>
      <c r="R92" s="7" t="str">
        <f t="shared" ca="1" si="6"/>
        <v/>
      </c>
      <c r="S92" s="6" t="str">
        <f t="shared" si="20"/>
        <v/>
      </c>
      <c r="T92" t="str">
        <f t="shared" si="8"/>
        <v/>
      </c>
      <c r="U92" t="str">
        <f t="shared" ca="1" si="9"/>
        <v/>
      </c>
      <c r="V92" t="str">
        <f t="shared" si="10"/>
        <v/>
      </c>
      <c r="W92" s="7" t="str">
        <f t="shared" ca="1" si="11"/>
        <v/>
      </c>
      <c r="X92" s="57">
        <f t="shared" si="12"/>
        <v>-1</v>
      </c>
      <c r="Y92" s="58" t="str">
        <f t="shared" si="13"/>
        <v/>
      </c>
      <c r="Z92" s="60" t="str">
        <f t="shared" si="14"/>
        <v/>
      </c>
      <c r="AA92" s="60" t="str">
        <f t="shared" si="15"/>
        <v/>
      </c>
      <c r="AB92" s="59" t="str">
        <f t="shared" si="16"/>
        <v/>
      </c>
      <c r="AC92" s="60" t="str">
        <f t="shared" si="17"/>
        <v/>
      </c>
      <c r="AD92" s="60" t="str">
        <f t="shared" si="18"/>
        <v/>
      </c>
    </row>
    <row r="93" spans="3:30" x14ac:dyDescent="0.2">
      <c r="C93" s="6" cm="1">
        <f t="array" ref="C93">IF(C92=-1,-1,
      IF(C92&lt;income_max_row, C92+1,
          IF(C92=income_max_row, income_total_row,
              IF(C92=income_total_row, "/1",
                  IF(C92="/1", expenses_header_row,
                      IF(C92&lt;expenses_max_row, C92+1,
                          IF(C92=expenses_max_row, expenses_total_row,
                              IF(C92=expenses_total_row, "/2",
                                  IF(C92="/2", savings_header_row,
                                      IF(C92&lt;savings_max_row, C92+1,
                                          IF(C92=savings_max_row, savings_total_row, -1)))))))))))</f>
        <v>-1</v>
      </c>
      <c r="D93" s="7">
        <f t="shared" si="0"/>
        <v>-1</v>
      </c>
      <c r="E93" s="6" cm="1">
        <f t="array" ref="E93">1*OR(row_id=income_header_row, row_id=expenses_header_row, row_id=savings_header_row)</f>
        <v>0</v>
      </c>
      <c r="F93">
        <f t="shared" si="1"/>
        <v>0</v>
      </c>
      <c r="G93" cm="1">
        <f t="array" ref="G93">1*OR(row_id=income_total_row, row_id=expenses_total_row, row_id=savings_total_row)</f>
        <v>0</v>
      </c>
      <c r="H93" s="7">
        <f t="shared" si="2"/>
        <v>1</v>
      </c>
      <c r="I93" s="6" t="str" cm="1">
        <f t="array" ref="I93">IFERROR(INDEX('Budget Planning'!$C:$C, header_row_id),"")</f>
        <v/>
      </c>
      <c r="J93" t="str" cm="1">
        <f t="array" ref="J93">IFERROR(INDEX('Budget Planning'!$C:$C, row_id),"")</f>
        <v/>
      </c>
      <c r="K93" s="54" t="str" cm="1">
        <f t="array" ref="K9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3" s="55" t="str" cm="1">
        <f t="array" ref="L93">IF(OR(is_header, is_empty), "",
      INDEX('Budget Planning'!$E:$EM, row_id,
                  MATCH(IF(selected_period="Total Year", selected_year, DATE(selected_year, selected_period, 1)), 'Budget Planning'!$E$9:$EM$9, 0)  ))</f>
        <v/>
      </c>
      <c r="M93" s="6" t="str" cm="1">
        <f t="array" ref="M93">IF(is_cat,
       IF(header_row_id=income_header_row, MATCH(income_min_row, $C:$C, 0),
           IF(header_row_id=expenses_header_row, MATCH(expenses_min_row, $C:$C, 0),
               IF(header_row_id=savings_header_row, MATCH(savings_min_row, $C:$C, 0),""))), "")</f>
        <v/>
      </c>
      <c r="N93" s="7" t="str" cm="1">
        <f t="array" ref="N93">IF(is_cat,
       IF(header_row_id=income_header_row, MATCH(income_max_row, $C:$C, 0),
           IF(header_row_id=expenses_header_row, MATCH(expenses_max_row, $C:$C, 0),
               IF(header_row_id=savings_header_row, MATCH(savings_max_row, $C:$C, 0),""))), "")</f>
        <v/>
      </c>
      <c r="O93" s="6" t="str">
        <f t="shared" si="3"/>
        <v/>
      </c>
      <c r="P93" t="str">
        <f t="shared" ca="1" si="4"/>
        <v/>
      </c>
      <c r="Q93" t="str">
        <f t="shared" si="5"/>
        <v/>
      </c>
      <c r="R93" s="7" t="str">
        <f t="shared" ca="1" si="6"/>
        <v/>
      </c>
      <c r="S93" s="6" t="str">
        <f t="shared" si="20"/>
        <v/>
      </c>
      <c r="T93" t="str">
        <f t="shared" si="8"/>
        <v/>
      </c>
      <c r="U93" t="str">
        <f t="shared" ca="1" si="9"/>
        <v/>
      </c>
      <c r="V93" t="str">
        <f t="shared" si="10"/>
        <v/>
      </c>
      <c r="W93" s="7" t="str">
        <f t="shared" ca="1" si="11"/>
        <v/>
      </c>
      <c r="X93" s="57">
        <f t="shared" si="12"/>
        <v>-1</v>
      </c>
      <c r="Y93" s="58" t="str">
        <f t="shared" si="13"/>
        <v/>
      </c>
      <c r="Z93" s="60" t="str">
        <f t="shared" si="14"/>
        <v/>
      </c>
      <c r="AA93" s="60" t="str">
        <f t="shared" si="15"/>
        <v/>
      </c>
      <c r="AB93" s="59" t="str">
        <f t="shared" si="16"/>
        <v/>
      </c>
      <c r="AC93" s="60" t="str">
        <f t="shared" si="17"/>
        <v/>
      </c>
      <c r="AD93" s="60" t="str">
        <f t="shared" si="18"/>
        <v/>
      </c>
    </row>
    <row r="94" spans="3:30" x14ac:dyDescent="0.2">
      <c r="C94" s="6" cm="1">
        <f t="array" ref="C94">IF(C93=-1,-1,
      IF(C93&lt;income_max_row, C93+1,
          IF(C93=income_max_row, income_total_row,
              IF(C93=income_total_row, "/1",
                  IF(C93="/1", expenses_header_row,
                      IF(C93&lt;expenses_max_row, C93+1,
                          IF(C93=expenses_max_row, expenses_total_row,
                              IF(C93=expenses_total_row, "/2",
                                  IF(C93="/2", savings_header_row,
                                      IF(C93&lt;savings_max_row, C93+1,
                                          IF(C93=savings_max_row, savings_total_row, -1)))))))))))</f>
        <v>-1</v>
      </c>
      <c r="D94" s="7">
        <f t="shared" si="0"/>
        <v>-1</v>
      </c>
      <c r="E94" s="6" cm="1">
        <f t="array" ref="E94">1*OR(row_id=income_header_row, row_id=expenses_header_row, row_id=savings_header_row)</f>
        <v>0</v>
      </c>
      <c r="F94">
        <f t="shared" si="1"/>
        <v>0</v>
      </c>
      <c r="G94" cm="1">
        <f t="array" ref="G94">1*OR(row_id=income_total_row, row_id=expenses_total_row, row_id=savings_total_row)</f>
        <v>0</v>
      </c>
      <c r="H94" s="7">
        <f t="shared" si="2"/>
        <v>1</v>
      </c>
      <c r="I94" s="6" t="str" cm="1">
        <f t="array" ref="I94">IFERROR(INDEX('Budget Planning'!$C:$C, header_row_id),"")</f>
        <v/>
      </c>
      <c r="J94" t="str" cm="1">
        <f t="array" ref="J94">IFERROR(INDEX('Budget Planning'!$C:$C, row_id),"")</f>
        <v/>
      </c>
      <c r="K94" s="54" t="str" cm="1">
        <f t="array" ref="K9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4" s="55" t="str" cm="1">
        <f t="array" ref="L94">IF(OR(is_header, is_empty), "",
      INDEX('Budget Planning'!$E:$EM, row_id,
                  MATCH(IF(selected_period="Total Year", selected_year, DATE(selected_year, selected_period, 1)), 'Budget Planning'!$E$9:$EM$9, 0)  ))</f>
        <v/>
      </c>
      <c r="M94" s="6" t="str" cm="1">
        <f t="array" ref="M94">IF(is_cat,
       IF(header_row_id=income_header_row, MATCH(income_min_row, $C:$C, 0),
           IF(header_row_id=expenses_header_row, MATCH(expenses_min_row, $C:$C, 0),
               IF(header_row_id=savings_header_row, MATCH(savings_min_row, $C:$C, 0),""))), "")</f>
        <v/>
      </c>
      <c r="N94" s="7" t="str" cm="1">
        <f t="array" ref="N94">IF(is_cat,
       IF(header_row_id=income_header_row, MATCH(income_max_row, $C:$C, 0),
           IF(header_row_id=expenses_header_row, MATCH(expenses_max_row, $C:$C, 0),
               IF(header_row_id=savings_header_row, MATCH(savings_max_row, $C:$C, 0),""))), "")</f>
        <v/>
      </c>
      <c r="O94" s="6" t="str">
        <f t="shared" si="3"/>
        <v/>
      </c>
      <c r="P94" t="str">
        <f t="shared" ca="1" si="4"/>
        <v/>
      </c>
      <c r="Q94" t="str">
        <f t="shared" si="5"/>
        <v/>
      </c>
      <c r="R94" s="7" t="str">
        <f t="shared" ca="1" si="6"/>
        <v/>
      </c>
      <c r="S94" s="6" t="str">
        <f t="shared" si="20"/>
        <v/>
      </c>
      <c r="T94" t="str">
        <f t="shared" si="8"/>
        <v/>
      </c>
      <c r="U94" t="str">
        <f t="shared" ca="1" si="9"/>
        <v/>
      </c>
      <c r="V94" t="str">
        <f t="shared" si="10"/>
        <v/>
      </c>
      <c r="W94" s="7" t="str">
        <f t="shared" ca="1" si="11"/>
        <v/>
      </c>
      <c r="X94" s="57">
        <f t="shared" si="12"/>
        <v>-1</v>
      </c>
      <c r="Y94" s="58" t="str">
        <f t="shared" si="13"/>
        <v/>
      </c>
      <c r="Z94" s="60" t="str">
        <f t="shared" si="14"/>
        <v/>
      </c>
      <c r="AA94" s="60" t="str">
        <f t="shared" si="15"/>
        <v/>
      </c>
      <c r="AB94" s="59" t="str">
        <f t="shared" si="16"/>
        <v/>
      </c>
      <c r="AC94" s="60" t="str">
        <f t="shared" si="17"/>
        <v/>
      </c>
      <c r="AD94" s="60" t="str">
        <f t="shared" si="18"/>
        <v/>
      </c>
    </row>
    <row r="95" spans="3:30" x14ac:dyDescent="0.2">
      <c r="C95" s="6" cm="1">
        <f t="array" ref="C95">IF(C94=-1,-1,
      IF(C94&lt;income_max_row, C94+1,
          IF(C94=income_max_row, income_total_row,
              IF(C94=income_total_row, "/1",
                  IF(C94="/1", expenses_header_row,
                      IF(C94&lt;expenses_max_row, C94+1,
                          IF(C94=expenses_max_row, expenses_total_row,
                              IF(C94=expenses_total_row, "/2",
                                  IF(C94="/2", savings_header_row,
                                      IF(C94&lt;savings_max_row, C94+1,
                                          IF(C94=savings_max_row, savings_total_row, -1)))))))))))</f>
        <v>-1</v>
      </c>
      <c r="D95" s="7">
        <f t="shared" si="0"/>
        <v>-1</v>
      </c>
      <c r="E95" s="6" cm="1">
        <f t="array" ref="E95">1*OR(row_id=income_header_row, row_id=expenses_header_row, row_id=savings_header_row)</f>
        <v>0</v>
      </c>
      <c r="F95">
        <f t="shared" si="1"/>
        <v>0</v>
      </c>
      <c r="G95" cm="1">
        <f t="array" ref="G95">1*OR(row_id=income_total_row, row_id=expenses_total_row, row_id=savings_total_row)</f>
        <v>0</v>
      </c>
      <c r="H95" s="7">
        <f t="shared" si="2"/>
        <v>1</v>
      </c>
      <c r="I95" s="6" t="str" cm="1">
        <f t="array" ref="I95">IFERROR(INDEX('Budget Planning'!$C:$C, header_row_id),"")</f>
        <v/>
      </c>
      <c r="J95" t="str" cm="1">
        <f t="array" ref="J95">IFERROR(INDEX('Budget Planning'!$C:$C, row_id),"")</f>
        <v/>
      </c>
      <c r="K95" s="54" t="str" cm="1">
        <f t="array" ref="K9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5" s="55" t="str" cm="1">
        <f t="array" ref="L95">IF(OR(is_header, is_empty), "",
      INDEX('Budget Planning'!$E:$EM, row_id,
                  MATCH(IF(selected_period="Total Year", selected_year, DATE(selected_year, selected_period, 1)), 'Budget Planning'!$E$9:$EM$9, 0)  ))</f>
        <v/>
      </c>
      <c r="M95" s="6" t="str" cm="1">
        <f t="array" ref="M95">IF(is_cat,
       IF(header_row_id=income_header_row, MATCH(income_min_row, $C:$C, 0),
           IF(header_row_id=expenses_header_row, MATCH(expenses_min_row, $C:$C, 0),
               IF(header_row_id=savings_header_row, MATCH(savings_min_row, $C:$C, 0),""))), "")</f>
        <v/>
      </c>
      <c r="N95" s="7" t="str" cm="1">
        <f t="array" ref="N95">IF(is_cat,
       IF(header_row_id=income_header_row, MATCH(income_max_row, $C:$C, 0),
           IF(header_row_id=expenses_header_row, MATCH(expenses_max_row, $C:$C, 0),
               IF(header_row_id=savings_header_row, MATCH(savings_max_row, $C:$C, 0),""))), "")</f>
        <v/>
      </c>
      <c r="O95" s="6" t="str">
        <f t="shared" si="3"/>
        <v/>
      </c>
      <c r="P95" t="str">
        <f t="shared" ca="1" si="4"/>
        <v/>
      </c>
      <c r="Q95" t="str">
        <f t="shared" si="5"/>
        <v/>
      </c>
      <c r="R95" s="7" t="str">
        <f t="shared" ca="1" si="6"/>
        <v/>
      </c>
      <c r="S95" s="6" t="str">
        <f t="shared" si="20"/>
        <v/>
      </c>
      <c r="T95" t="str">
        <f t="shared" si="8"/>
        <v/>
      </c>
      <c r="U95" t="str">
        <f t="shared" ca="1" si="9"/>
        <v/>
      </c>
      <c r="V95" t="str">
        <f t="shared" si="10"/>
        <v/>
      </c>
      <c r="W95" s="7" t="str">
        <f t="shared" ca="1" si="11"/>
        <v/>
      </c>
      <c r="X95" s="57">
        <f t="shared" si="12"/>
        <v>-1</v>
      </c>
      <c r="Y95" s="58" t="str">
        <f t="shared" si="13"/>
        <v/>
      </c>
      <c r="Z95" s="60" t="str">
        <f t="shared" si="14"/>
        <v/>
      </c>
      <c r="AA95" s="60" t="str">
        <f t="shared" si="15"/>
        <v/>
      </c>
      <c r="AB95" s="59" t="str">
        <f t="shared" si="16"/>
        <v/>
      </c>
      <c r="AC95" s="60" t="str">
        <f t="shared" si="17"/>
        <v/>
      </c>
      <c r="AD95" s="60" t="str">
        <f t="shared" si="18"/>
        <v/>
      </c>
    </row>
    <row r="96" spans="3:30" x14ac:dyDescent="0.2">
      <c r="C96" s="6" cm="1">
        <f t="array" ref="C96">IF(C95=-1,-1,
      IF(C95&lt;income_max_row, C95+1,
          IF(C95=income_max_row, income_total_row,
              IF(C95=income_total_row, "/1",
                  IF(C95="/1", expenses_header_row,
                      IF(C95&lt;expenses_max_row, C95+1,
                          IF(C95=expenses_max_row, expenses_total_row,
                              IF(C95=expenses_total_row, "/2",
                                  IF(C95="/2", savings_header_row,
                                      IF(C95&lt;savings_max_row, C95+1,
                                          IF(C95=savings_max_row, savings_total_row, -1)))))))))))</f>
        <v>-1</v>
      </c>
      <c r="D96" s="7">
        <f t="shared" si="0"/>
        <v>-1</v>
      </c>
      <c r="E96" s="6" cm="1">
        <f t="array" ref="E96">1*OR(row_id=income_header_row, row_id=expenses_header_row, row_id=savings_header_row)</f>
        <v>0</v>
      </c>
      <c r="F96">
        <f t="shared" si="1"/>
        <v>0</v>
      </c>
      <c r="G96" cm="1">
        <f t="array" ref="G96">1*OR(row_id=income_total_row, row_id=expenses_total_row, row_id=savings_total_row)</f>
        <v>0</v>
      </c>
      <c r="H96" s="7">
        <f t="shared" si="2"/>
        <v>1</v>
      </c>
      <c r="I96" s="6" t="str" cm="1">
        <f t="array" ref="I96">IFERROR(INDEX('Budget Planning'!$C:$C, header_row_id),"")</f>
        <v/>
      </c>
      <c r="J96" t="str" cm="1">
        <f t="array" ref="J96">IFERROR(INDEX('Budget Planning'!$C:$C, row_id),"")</f>
        <v/>
      </c>
      <c r="K96" s="54" t="str" cm="1">
        <f t="array" ref="K9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6" s="55" t="str" cm="1">
        <f t="array" ref="L96">IF(OR(is_header, is_empty), "",
      INDEX('Budget Planning'!$E:$EM, row_id,
                  MATCH(IF(selected_period="Total Year", selected_year, DATE(selected_year, selected_period, 1)), 'Budget Planning'!$E$9:$EM$9, 0)  ))</f>
        <v/>
      </c>
      <c r="M96" s="6" t="str" cm="1">
        <f t="array" ref="M96">IF(is_cat,
       IF(header_row_id=income_header_row, MATCH(income_min_row, $C:$C, 0),
           IF(header_row_id=expenses_header_row, MATCH(expenses_min_row, $C:$C, 0),
               IF(header_row_id=savings_header_row, MATCH(savings_min_row, $C:$C, 0),""))), "")</f>
        <v/>
      </c>
      <c r="N96" s="7" t="str" cm="1">
        <f t="array" ref="N96">IF(is_cat,
       IF(header_row_id=income_header_row, MATCH(income_max_row, $C:$C, 0),
           IF(header_row_id=expenses_header_row, MATCH(expenses_max_row, $C:$C, 0),
               IF(header_row_id=savings_header_row, MATCH(savings_max_row, $C:$C, 0),""))), "")</f>
        <v/>
      </c>
      <c r="O96" s="6" t="str">
        <f t="shared" si="3"/>
        <v/>
      </c>
      <c r="P96" t="str">
        <f t="shared" ca="1" si="4"/>
        <v/>
      </c>
      <c r="Q96" t="str">
        <f t="shared" si="5"/>
        <v/>
      </c>
      <c r="R96" s="7" t="str">
        <f t="shared" ca="1" si="6"/>
        <v/>
      </c>
      <c r="S96" s="6" t="str">
        <f t="shared" si="20"/>
        <v/>
      </c>
      <c r="T96" t="str">
        <f t="shared" si="8"/>
        <v/>
      </c>
      <c r="U96" t="str">
        <f t="shared" ca="1" si="9"/>
        <v/>
      </c>
      <c r="V96" t="str">
        <f t="shared" si="10"/>
        <v/>
      </c>
      <c r="W96" s="7" t="str">
        <f t="shared" ca="1" si="11"/>
        <v/>
      </c>
      <c r="X96" s="57">
        <f t="shared" si="12"/>
        <v>-1</v>
      </c>
      <c r="Y96" s="58" t="str">
        <f t="shared" si="13"/>
        <v/>
      </c>
      <c r="Z96" s="60" t="str">
        <f t="shared" si="14"/>
        <v/>
      </c>
      <c r="AA96" s="60" t="str">
        <f t="shared" si="15"/>
        <v/>
      </c>
      <c r="AB96" s="59" t="str">
        <f t="shared" si="16"/>
        <v/>
      </c>
      <c r="AC96" s="60" t="str">
        <f t="shared" si="17"/>
        <v/>
      </c>
      <c r="AD96" s="60" t="str">
        <f t="shared" si="18"/>
        <v/>
      </c>
    </row>
    <row r="97" spans="3:30" x14ac:dyDescent="0.2">
      <c r="C97" s="6" cm="1">
        <f t="array" ref="C97">IF(C96=-1,-1,
      IF(C96&lt;income_max_row, C96+1,
          IF(C96=income_max_row, income_total_row,
              IF(C96=income_total_row, "/1",
                  IF(C96="/1", expenses_header_row,
                      IF(C96&lt;expenses_max_row, C96+1,
                          IF(C96=expenses_max_row, expenses_total_row,
                              IF(C96=expenses_total_row, "/2",
                                  IF(C96="/2", savings_header_row,
                                      IF(C96&lt;savings_max_row, C96+1,
                                          IF(C96=savings_max_row, savings_total_row, -1)))))))))))</f>
        <v>-1</v>
      </c>
      <c r="D97" s="7">
        <f t="shared" si="0"/>
        <v>-1</v>
      </c>
      <c r="E97" s="6" cm="1">
        <f t="array" ref="E97">1*OR(row_id=income_header_row, row_id=expenses_header_row, row_id=savings_header_row)</f>
        <v>0</v>
      </c>
      <c r="F97">
        <f t="shared" si="1"/>
        <v>0</v>
      </c>
      <c r="G97" cm="1">
        <f t="array" ref="G97">1*OR(row_id=income_total_row, row_id=expenses_total_row, row_id=savings_total_row)</f>
        <v>0</v>
      </c>
      <c r="H97" s="7">
        <f t="shared" si="2"/>
        <v>1</v>
      </c>
      <c r="I97" s="6" t="str" cm="1">
        <f t="array" ref="I97">IFERROR(INDEX('Budget Planning'!$C:$C, header_row_id),"")</f>
        <v/>
      </c>
      <c r="J97" t="str" cm="1">
        <f t="array" ref="J97">IFERROR(INDEX('Budget Planning'!$C:$C, row_id),"")</f>
        <v/>
      </c>
      <c r="K97" s="54" t="str" cm="1">
        <f t="array" ref="K9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7" s="55" t="str" cm="1">
        <f t="array" ref="L97">IF(OR(is_header, is_empty), "",
      INDEX('Budget Planning'!$E:$EM, row_id,
                  MATCH(IF(selected_period="Total Year", selected_year, DATE(selected_year, selected_period, 1)), 'Budget Planning'!$E$9:$EM$9, 0)  ))</f>
        <v/>
      </c>
      <c r="M97" s="6" t="str" cm="1">
        <f t="array" ref="M97">IF(is_cat,
       IF(header_row_id=income_header_row, MATCH(income_min_row, $C:$C, 0),
           IF(header_row_id=expenses_header_row, MATCH(expenses_min_row, $C:$C, 0),
               IF(header_row_id=savings_header_row, MATCH(savings_min_row, $C:$C, 0),""))), "")</f>
        <v/>
      </c>
      <c r="N97" s="7" t="str" cm="1">
        <f t="array" ref="N97">IF(is_cat,
       IF(header_row_id=income_header_row, MATCH(income_max_row, $C:$C, 0),
           IF(header_row_id=expenses_header_row, MATCH(expenses_max_row, $C:$C, 0),
               IF(header_row_id=savings_header_row, MATCH(savings_max_row, $C:$C, 0),""))), "")</f>
        <v/>
      </c>
      <c r="O97" s="6" t="str">
        <f t="shared" si="3"/>
        <v/>
      </c>
      <c r="P97" t="str">
        <f t="shared" ca="1" si="4"/>
        <v/>
      </c>
      <c r="Q97" t="str">
        <f t="shared" si="5"/>
        <v/>
      </c>
      <c r="R97" s="7" t="str">
        <f t="shared" ca="1" si="6"/>
        <v/>
      </c>
      <c r="S97" s="6" t="str">
        <f t="shared" si="20"/>
        <v/>
      </c>
      <c r="T97" t="str">
        <f t="shared" si="8"/>
        <v/>
      </c>
      <c r="U97" t="str">
        <f t="shared" ca="1" si="9"/>
        <v/>
      </c>
      <c r="V97" t="str">
        <f t="shared" si="10"/>
        <v/>
      </c>
      <c r="W97" s="7" t="str">
        <f t="shared" ca="1" si="11"/>
        <v/>
      </c>
      <c r="X97" s="57">
        <f t="shared" si="12"/>
        <v>-1</v>
      </c>
      <c r="Y97" s="58" t="str">
        <f t="shared" si="13"/>
        <v/>
      </c>
      <c r="Z97" s="60" t="str">
        <f t="shared" si="14"/>
        <v/>
      </c>
      <c r="AA97" s="60" t="str">
        <f t="shared" si="15"/>
        <v/>
      </c>
      <c r="AB97" s="59" t="str">
        <f t="shared" si="16"/>
        <v/>
      </c>
      <c r="AC97" s="60" t="str">
        <f t="shared" si="17"/>
        <v/>
      </c>
      <c r="AD97" s="60" t="str">
        <f t="shared" si="18"/>
        <v/>
      </c>
    </row>
    <row r="98" spans="3:30" x14ac:dyDescent="0.2">
      <c r="C98" s="6" cm="1">
        <f t="array" ref="C98">IF(C97=-1,-1,
      IF(C97&lt;income_max_row, C97+1,
          IF(C97=income_max_row, income_total_row,
              IF(C97=income_total_row, "/1",
                  IF(C97="/1", expenses_header_row,
                      IF(C97&lt;expenses_max_row, C97+1,
                          IF(C97=expenses_max_row, expenses_total_row,
                              IF(C97=expenses_total_row, "/2",
                                  IF(C97="/2", savings_header_row,
                                      IF(C97&lt;savings_max_row, C97+1,
                                          IF(C97=savings_max_row, savings_total_row, -1)))))))))))</f>
        <v>-1</v>
      </c>
      <c r="D98" s="7">
        <f t="shared" si="0"/>
        <v>-1</v>
      </c>
      <c r="E98" s="6" cm="1">
        <f t="array" ref="E98">1*OR(row_id=income_header_row, row_id=expenses_header_row, row_id=savings_header_row)</f>
        <v>0</v>
      </c>
      <c r="F98">
        <f t="shared" si="1"/>
        <v>0</v>
      </c>
      <c r="G98" cm="1">
        <f t="array" ref="G98">1*OR(row_id=income_total_row, row_id=expenses_total_row, row_id=savings_total_row)</f>
        <v>0</v>
      </c>
      <c r="H98" s="7">
        <f t="shared" si="2"/>
        <v>1</v>
      </c>
      <c r="I98" s="6" t="str" cm="1">
        <f t="array" ref="I98">IFERROR(INDEX('Budget Planning'!$C:$C, header_row_id),"")</f>
        <v/>
      </c>
      <c r="J98" t="str" cm="1">
        <f t="array" ref="J98">IFERROR(INDEX('Budget Planning'!$C:$C, row_id),"")</f>
        <v/>
      </c>
      <c r="K98" s="54" t="str" cm="1">
        <f t="array" ref="K9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8" s="55" t="str" cm="1">
        <f t="array" ref="L98">IF(OR(is_header, is_empty), "",
      INDEX('Budget Planning'!$E:$EM, row_id,
                  MATCH(IF(selected_period="Total Year", selected_year, DATE(selected_year, selected_period, 1)), 'Budget Planning'!$E$9:$EM$9, 0)  ))</f>
        <v/>
      </c>
      <c r="M98" s="6" t="str" cm="1">
        <f t="array" ref="M98">IF(is_cat,
       IF(header_row_id=income_header_row, MATCH(income_min_row, $C:$C, 0),
           IF(header_row_id=expenses_header_row, MATCH(expenses_min_row, $C:$C, 0),
               IF(header_row_id=savings_header_row, MATCH(savings_min_row, $C:$C, 0),""))), "")</f>
        <v/>
      </c>
      <c r="N98" s="7" t="str" cm="1">
        <f t="array" ref="N98">IF(is_cat,
       IF(header_row_id=income_header_row, MATCH(income_max_row, $C:$C, 0),
           IF(header_row_id=expenses_header_row, MATCH(expenses_max_row, $C:$C, 0),
               IF(header_row_id=savings_header_row, MATCH(savings_max_row, $C:$C, 0),""))), "")</f>
        <v/>
      </c>
      <c r="O98" s="6" t="str">
        <f t="shared" si="3"/>
        <v/>
      </c>
      <c r="P98" t="str">
        <f t="shared" ca="1" si="4"/>
        <v/>
      </c>
      <c r="Q98" t="str">
        <f t="shared" si="5"/>
        <v/>
      </c>
      <c r="R98" s="7" t="str">
        <f t="shared" ca="1" si="6"/>
        <v/>
      </c>
      <c r="S98" s="6" t="str">
        <f t="shared" si="20"/>
        <v/>
      </c>
      <c r="T98" t="str">
        <f t="shared" si="8"/>
        <v/>
      </c>
      <c r="U98" t="str">
        <f t="shared" ca="1" si="9"/>
        <v/>
      </c>
      <c r="V98" t="str">
        <f t="shared" si="10"/>
        <v/>
      </c>
      <c r="W98" s="7" t="str">
        <f t="shared" ca="1" si="11"/>
        <v/>
      </c>
      <c r="X98" s="57">
        <f t="shared" si="12"/>
        <v>-1</v>
      </c>
      <c r="Y98" s="58" t="str">
        <f t="shared" si="13"/>
        <v/>
      </c>
      <c r="Z98" s="60" t="str">
        <f t="shared" si="14"/>
        <v/>
      </c>
      <c r="AA98" s="60" t="str">
        <f t="shared" si="15"/>
        <v/>
      </c>
      <c r="AB98" s="59" t="str">
        <f t="shared" si="16"/>
        <v/>
      </c>
      <c r="AC98" s="60" t="str">
        <f t="shared" si="17"/>
        <v/>
      </c>
      <c r="AD98" s="60" t="str">
        <f t="shared" si="18"/>
        <v/>
      </c>
    </row>
    <row r="99" spans="3:30" x14ac:dyDescent="0.2">
      <c r="C99" s="6" cm="1">
        <f t="array" ref="C99">IF(C98=-1,-1,
      IF(C98&lt;income_max_row, C98+1,
          IF(C98=income_max_row, income_total_row,
              IF(C98=income_total_row, "/1",
                  IF(C98="/1", expenses_header_row,
                      IF(C98&lt;expenses_max_row, C98+1,
                          IF(C98=expenses_max_row, expenses_total_row,
                              IF(C98=expenses_total_row, "/2",
                                  IF(C98="/2", savings_header_row,
                                      IF(C98&lt;savings_max_row, C98+1,
                                          IF(C98=savings_max_row, savings_total_row, -1)))))))))))</f>
        <v>-1</v>
      </c>
      <c r="D99" s="7">
        <f t="shared" si="0"/>
        <v>-1</v>
      </c>
      <c r="E99" s="6" cm="1">
        <f t="array" ref="E99">1*OR(row_id=income_header_row, row_id=expenses_header_row, row_id=savings_header_row)</f>
        <v>0</v>
      </c>
      <c r="F99">
        <f t="shared" si="1"/>
        <v>0</v>
      </c>
      <c r="G99" cm="1">
        <f t="array" ref="G99">1*OR(row_id=income_total_row, row_id=expenses_total_row, row_id=savings_total_row)</f>
        <v>0</v>
      </c>
      <c r="H99" s="7">
        <f t="shared" si="2"/>
        <v>1</v>
      </c>
      <c r="I99" s="6" t="str" cm="1">
        <f t="array" ref="I99">IFERROR(INDEX('Budget Planning'!$C:$C, header_row_id),"")</f>
        <v/>
      </c>
      <c r="J99" t="str" cm="1">
        <f t="array" ref="J99">IFERROR(INDEX('Budget Planning'!$C:$C, row_id),"")</f>
        <v/>
      </c>
      <c r="K99" s="54" t="str" cm="1">
        <f t="array" ref="K9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99" s="55" t="str" cm="1">
        <f t="array" ref="L99">IF(OR(is_header, is_empty), "",
      INDEX('Budget Planning'!$E:$EM, row_id,
                  MATCH(IF(selected_period="Total Year", selected_year, DATE(selected_year, selected_period, 1)), 'Budget Planning'!$E$9:$EM$9, 0)  ))</f>
        <v/>
      </c>
      <c r="M99" s="6" t="str" cm="1">
        <f t="array" ref="M99">IF(is_cat,
       IF(header_row_id=income_header_row, MATCH(income_min_row, $C:$C, 0),
           IF(header_row_id=expenses_header_row, MATCH(expenses_min_row, $C:$C, 0),
               IF(header_row_id=savings_header_row, MATCH(savings_min_row, $C:$C, 0),""))), "")</f>
        <v/>
      </c>
      <c r="N99" s="7" t="str" cm="1">
        <f t="array" ref="N99">IF(is_cat,
       IF(header_row_id=income_header_row, MATCH(income_max_row, $C:$C, 0),
           IF(header_row_id=expenses_header_row, MATCH(expenses_max_row, $C:$C, 0),
               IF(header_row_id=savings_header_row, MATCH(savings_max_row, $C:$C, 0),""))), "")</f>
        <v/>
      </c>
      <c r="O99" s="6" t="str">
        <f t="shared" si="3"/>
        <v/>
      </c>
      <c r="P99" t="str">
        <f t="shared" ca="1" si="4"/>
        <v/>
      </c>
      <c r="Q99" t="str">
        <f t="shared" si="5"/>
        <v/>
      </c>
      <c r="R99" s="7" t="str">
        <f t="shared" ca="1" si="6"/>
        <v/>
      </c>
      <c r="S99" s="6" t="str">
        <f t="shared" si="20"/>
        <v/>
      </c>
      <c r="T99" t="str">
        <f t="shared" si="8"/>
        <v/>
      </c>
      <c r="U99" t="str">
        <f t="shared" ca="1" si="9"/>
        <v/>
      </c>
      <c r="V99" t="str">
        <f t="shared" si="10"/>
        <v/>
      </c>
      <c r="W99" s="7" t="str">
        <f t="shared" ca="1" si="11"/>
        <v/>
      </c>
      <c r="X99" s="57">
        <f t="shared" si="12"/>
        <v>-1</v>
      </c>
      <c r="Y99" s="58" t="str">
        <f t="shared" si="13"/>
        <v/>
      </c>
      <c r="Z99" s="60" t="str">
        <f t="shared" si="14"/>
        <v/>
      </c>
      <c r="AA99" s="60" t="str">
        <f t="shared" si="15"/>
        <v/>
      </c>
      <c r="AB99" s="59" t="str">
        <f t="shared" si="16"/>
        <v/>
      </c>
      <c r="AC99" s="60" t="str">
        <f t="shared" si="17"/>
        <v/>
      </c>
      <c r="AD99" s="60" t="str">
        <f t="shared" si="18"/>
        <v/>
      </c>
    </row>
    <row r="100" spans="3:30" x14ac:dyDescent="0.2">
      <c r="C100" s="6" cm="1">
        <f t="array" ref="C100">IF(C99=-1,-1,
      IF(C99&lt;income_max_row, C99+1,
          IF(C99=income_max_row, income_total_row,
              IF(C99=income_total_row, "/1",
                  IF(C99="/1", expenses_header_row,
                      IF(C99&lt;expenses_max_row, C99+1,
                          IF(C99=expenses_max_row, expenses_total_row,
                              IF(C99=expenses_total_row, "/2",
                                  IF(C99="/2", savings_header_row,
                                      IF(C99&lt;savings_max_row, C99+1,
                                          IF(C99=savings_max_row, savings_total_row, -1)))))))))))</f>
        <v>-1</v>
      </c>
      <c r="D100" s="7">
        <f t="shared" si="0"/>
        <v>-1</v>
      </c>
      <c r="E100" s="6" cm="1">
        <f t="array" ref="E100">1*OR(row_id=income_header_row, row_id=expenses_header_row, row_id=savings_header_row)</f>
        <v>0</v>
      </c>
      <c r="F100">
        <f t="shared" si="1"/>
        <v>0</v>
      </c>
      <c r="G100" cm="1">
        <f t="array" ref="G100">1*OR(row_id=income_total_row, row_id=expenses_total_row, row_id=savings_total_row)</f>
        <v>0</v>
      </c>
      <c r="H100" s="7">
        <f t="shared" si="2"/>
        <v>1</v>
      </c>
      <c r="I100" s="6" t="str" cm="1">
        <f t="array" ref="I100">IFERROR(INDEX('Budget Planning'!$C:$C, header_row_id),"")</f>
        <v/>
      </c>
      <c r="J100" t="str" cm="1">
        <f t="array" ref="J100">IFERROR(INDEX('Budget Planning'!$C:$C, row_id),"")</f>
        <v/>
      </c>
      <c r="K100" s="54" t="str" cm="1">
        <f t="array" ref="K10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0" s="55" t="str" cm="1">
        <f t="array" ref="L100">IF(OR(is_header, is_empty), "",
      INDEX('Budget Planning'!$E:$EM, row_id,
                  MATCH(IF(selected_period="Total Year", selected_year, DATE(selected_year, selected_period, 1)), 'Budget Planning'!$E$9:$EM$9, 0)  ))</f>
        <v/>
      </c>
      <c r="M100" s="6" t="str" cm="1">
        <f t="array" ref="M100">IF(is_cat,
       IF(header_row_id=income_header_row, MATCH(income_min_row, $C:$C, 0),
           IF(header_row_id=expenses_header_row, MATCH(expenses_min_row, $C:$C, 0),
               IF(header_row_id=savings_header_row, MATCH(savings_min_row, $C:$C, 0),""))), "")</f>
        <v/>
      </c>
      <c r="N100" s="7" t="str" cm="1">
        <f t="array" ref="N100">IF(is_cat,
       IF(header_row_id=income_header_row, MATCH(income_max_row, $C:$C, 0),
           IF(header_row_id=expenses_header_row, MATCH(expenses_max_row, $C:$C, 0),
               IF(header_row_id=savings_header_row, MATCH(savings_max_row, $C:$C, 0),""))), "")</f>
        <v/>
      </c>
      <c r="O100" s="6" t="str">
        <f t="shared" si="3"/>
        <v/>
      </c>
      <c r="P100" t="str">
        <f t="shared" ca="1" si="4"/>
        <v/>
      </c>
      <c r="Q100" t="str">
        <f t="shared" si="5"/>
        <v/>
      </c>
      <c r="R100" s="7" t="str">
        <f t="shared" ca="1" si="6"/>
        <v/>
      </c>
      <c r="S100" s="6" t="str">
        <f t="shared" si="20"/>
        <v/>
      </c>
      <c r="T100" t="str">
        <f t="shared" si="8"/>
        <v/>
      </c>
      <c r="U100" t="str">
        <f t="shared" ca="1" si="9"/>
        <v/>
      </c>
      <c r="V100" t="str">
        <f t="shared" si="10"/>
        <v/>
      </c>
      <c r="W100" s="7" t="str">
        <f t="shared" ca="1" si="11"/>
        <v/>
      </c>
      <c r="X100" s="57">
        <f t="shared" si="12"/>
        <v>-1</v>
      </c>
      <c r="Y100" s="58" t="str">
        <f t="shared" si="13"/>
        <v/>
      </c>
      <c r="Z100" s="60" t="str">
        <f t="shared" si="14"/>
        <v/>
      </c>
      <c r="AA100" s="60" t="str">
        <f t="shared" si="15"/>
        <v/>
      </c>
      <c r="AB100" s="59" t="str">
        <f t="shared" si="16"/>
        <v/>
      </c>
      <c r="AC100" s="60" t="str">
        <f t="shared" si="17"/>
        <v/>
      </c>
      <c r="AD100" s="60" t="str">
        <f t="shared" si="18"/>
        <v/>
      </c>
    </row>
    <row r="101" spans="3:30" x14ac:dyDescent="0.2">
      <c r="C101" s="6" cm="1">
        <f t="array" ref="C101">IF(C100=-1,-1,
      IF(C100&lt;income_max_row, C100+1,
          IF(C100=income_max_row, income_total_row,
              IF(C100=income_total_row, "/1",
                  IF(C100="/1", expenses_header_row,
                      IF(C100&lt;expenses_max_row, C100+1,
                          IF(C100=expenses_max_row, expenses_total_row,
                              IF(C100=expenses_total_row, "/2",
                                  IF(C100="/2", savings_header_row,
                                      IF(C100&lt;savings_max_row, C100+1,
                                          IF(C100=savings_max_row, savings_total_row, -1)))))))))))</f>
        <v>-1</v>
      </c>
      <c r="D101" s="7">
        <f t="shared" si="0"/>
        <v>-1</v>
      </c>
      <c r="E101" s="6" cm="1">
        <f t="array" ref="E101">1*OR(row_id=income_header_row, row_id=expenses_header_row, row_id=savings_header_row)</f>
        <v>0</v>
      </c>
      <c r="F101">
        <f t="shared" si="1"/>
        <v>0</v>
      </c>
      <c r="G101" cm="1">
        <f t="array" ref="G101">1*OR(row_id=income_total_row, row_id=expenses_total_row, row_id=savings_total_row)</f>
        <v>0</v>
      </c>
      <c r="H101" s="7">
        <f t="shared" si="2"/>
        <v>1</v>
      </c>
      <c r="I101" s="6" t="str" cm="1">
        <f t="array" ref="I101">IFERROR(INDEX('Budget Planning'!$C:$C, header_row_id),"")</f>
        <v/>
      </c>
      <c r="J101" t="str" cm="1">
        <f t="array" ref="J101">IFERROR(INDEX('Budget Planning'!$C:$C, row_id),"")</f>
        <v/>
      </c>
      <c r="K101" s="54" t="str" cm="1">
        <f t="array" ref="K10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1" s="55" t="str" cm="1">
        <f t="array" ref="L101">IF(OR(is_header, is_empty), "",
      INDEX('Budget Planning'!$E:$EM, row_id,
                  MATCH(IF(selected_period="Total Year", selected_year, DATE(selected_year, selected_period, 1)), 'Budget Planning'!$E$9:$EM$9, 0)  ))</f>
        <v/>
      </c>
      <c r="M101" s="6" t="str" cm="1">
        <f t="array" ref="M101">IF(is_cat,
       IF(header_row_id=income_header_row, MATCH(income_min_row, $C:$C, 0),
           IF(header_row_id=expenses_header_row, MATCH(expenses_min_row, $C:$C, 0),
               IF(header_row_id=savings_header_row, MATCH(savings_min_row, $C:$C, 0),""))), "")</f>
        <v/>
      </c>
      <c r="N101" s="7" t="str" cm="1">
        <f t="array" ref="N101">IF(is_cat,
       IF(header_row_id=income_header_row, MATCH(income_max_row, $C:$C, 0),
           IF(header_row_id=expenses_header_row, MATCH(expenses_max_row, $C:$C, 0),
               IF(header_row_id=savings_header_row, MATCH(savings_max_row, $C:$C, 0),""))), "")</f>
        <v/>
      </c>
      <c r="O101" s="6" t="str">
        <f t="shared" si="3"/>
        <v/>
      </c>
      <c r="P101" t="str">
        <f t="shared" ca="1" si="4"/>
        <v/>
      </c>
      <c r="Q101" t="str">
        <f t="shared" si="5"/>
        <v/>
      </c>
      <c r="R101" s="7" t="str">
        <f t="shared" ca="1" si="6"/>
        <v/>
      </c>
      <c r="S101" s="6" t="str">
        <f t="shared" si="20"/>
        <v/>
      </c>
      <c r="T101" t="str">
        <f t="shared" si="8"/>
        <v/>
      </c>
      <c r="U101" t="str">
        <f t="shared" ca="1" si="9"/>
        <v/>
      </c>
      <c r="V101" t="str">
        <f t="shared" si="10"/>
        <v/>
      </c>
      <c r="W101" s="7" t="str">
        <f t="shared" ca="1" si="11"/>
        <v/>
      </c>
      <c r="X101" s="57">
        <f t="shared" si="12"/>
        <v>-1</v>
      </c>
      <c r="Y101" s="58" t="str">
        <f t="shared" si="13"/>
        <v/>
      </c>
      <c r="Z101" s="60" t="str">
        <f t="shared" si="14"/>
        <v/>
      </c>
      <c r="AA101" s="60" t="str">
        <f t="shared" si="15"/>
        <v/>
      </c>
      <c r="AB101" s="59" t="str">
        <f t="shared" si="16"/>
        <v/>
      </c>
      <c r="AC101" s="60" t="str">
        <f t="shared" si="17"/>
        <v/>
      </c>
      <c r="AD101" s="60" t="str">
        <f t="shared" si="18"/>
        <v/>
      </c>
    </row>
    <row r="102" spans="3:30" x14ac:dyDescent="0.2">
      <c r="C102" s="6" cm="1">
        <f t="array" ref="C102">IF(C101=-1,-1,
      IF(C101&lt;income_max_row, C101+1,
          IF(C101=income_max_row, income_total_row,
              IF(C101=income_total_row, "/1",
                  IF(C101="/1", expenses_header_row,
                      IF(C101&lt;expenses_max_row, C101+1,
                          IF(C101=expenses_max_row, expenses_total_row,
                              IF(C101=expenses_total_row, "/2",
                                  IF(C101="/2", savings_header_row,
                                      IF(C101&lt;savings_max_row, C101+1,
                                          IF(C101=savings_max_row, savings_total_row, -1)))))))))))</f>
        <v>-1</v>
      </c>
      <c r="D102" s="7">
        <f t="shared" si="0"/>
        <v>-1</v>
      </c>
      <c r="E102" s="6" cm="1">
        <f t="array" ref="E102">1*OR(row_id=income_header_row, row_id=expenses_header_row, row_id=savings_header_row)</f>
        <v>0</v>
      </c>
      <c r="F102">
        <f t="shared" si="1"/>
        <v>0</v>
      </c>
      <c r="G102" cm="1">
        <f t="array" ref="G102">1*OR(row_id=income_total_row, row_id=expenses_total_row, row_id=savings_total_row)</f>
        <v>0</v>
      </c>
      <c r="H102" s="7">
        <f t="shared" si="2"/>
        <v>1</v>
      </c>
      <c r="I102" s="6" t="str" cm="1">
        <f t="array" ref="I102">IFERROR(INDEX('Budget Planning'!$C:$C, header_row_id),"")</f>
        <v/>
      </c>
      <c r="J102" t="str" cm="1">
        <f t="array" ref="J102">IFERROR(INDEX('Budget Planning'!$C:$C, row_id),"")</f>
        <v/>
      </c>
      <c r="K102" s="54" t="str" cm="1">
        <f t="array" ref="K10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2" s="55" t="str" cm="1">
        <f t="array" ref="L102">IF(OR(is_header, is_empty), "",
      INDEX('Budget Planning'!$E:$EM, row_id,
                  MATCH(IF(selected_period="Total Year", selected_year, DATE(selected_year, selected_period, 1)), 'Budget Planning'!$E$9:$EM$9, 0)  ))</f>
        <v/>
      </c>
      <c r="M102" s="6" t="str" cm="1">
        <f t="array" ref="M102">IF(is_cat,
       IF(header_row_id=income_header_row, MATCH(income_min_row, $C:$C, 0),
           IF(header_row_id=expenses_header_row, MATCH(expenses_min_row, $C:$C, 0),
               IF(header_row_id=savings_header_row, MATCH(savings_min_row, $C:$C, 0),""))), "")</f>
        <v/>
      </c>
      <c r="N102" s="7" t="str" cm="1">
        <f t="array" ref="N102">IF(is_cat,
       IF(header_row_id=income_header_row, MATCH(income_max_row, $C:$C, 0),
           IF(header_row_id=expenses_header_row, MATCH(expenses_max_row, $C:$C, 0),
               IF(header_row_id=savings_header_row, MATCH(savings_max_row, $C:$C, 0),""))), "")</f>
        <v/>
      </c>
      <c r="O102" s="6" t="str">
        <f t="shared" si="3"/>
        <v/>
      </c>
      <c r="P102" t="str">
        <f t="shared" ca="1" si="4"/>
        <v/>
      </c>
      <c r="Q102" t="str">
        <f t="shared" si="5"/>
        <v/>
      </c>
      <c r="R102" s="7" t="str">
        <f t="shared" ca="1" si="6"/>
        <v/>
      </c>
      <c r="S102" s="6" t="str">
        <f t="shared" si="20"/>
        <v/>
      </c>
      <c r="T102" t="str">
        <f t="shared" si="8"/>
        <v/>
      </c>
      <c r="U102" t="str">
        <f t="shared" ca="1" si="9"/>
        <v/>
      </c>
      <c r="V102" t="str">
        <f t="shared" si="10"/>
        <v/>
      </c>
      <c r="W102" s="7" t="str">
        <f t="shared" ca="1" si="11"/>
        <v/>
      </c>
      <c r="X102" s="57">
        <f t="shared" si="12"/>
        <v>-1</v>
      </c>
      <c r="Y102" s="58" t="str">
        <f t="shared" si="13"/>
        <v/>
      </c>
      <c r="Z102" s="60" t="str">
        <f t="shared" si="14"/>
        <v/>
      </c>
      <c r="AA102" s="60" t="str">
        <f t="shared" si="15"/>
        <v/>
      </c>
      <c r="AB102" s="59" t="str">
        <f t="shared" si="16"/>
        <v/>
      </c>
      <c r="AC102" s="60" t="str">
        <f t="shared" si="17"/>
        <v/>
      </c>
      <c r="AD102" s="60" t="str">
        <f t="shared" si="18"/>
        <v/>
      </c>
    </row>
    <row r="103" spans="3:30" x14ac:dyDescent="0.2">
      <c r="C103" s="6" cm="1">
        <f t="array" ref="C103">IF(C102=-1,-1,
      IF(C102&lt;income_max_row, C102+1,
          IF(C102=income_max_row, income_total_row,
              IF(C102=income_total_row, "/1",
                  IF(C102="/1", expenses_header_row,
                      IF(C102&lt;expenses_max_row, C102+1,
                          IF(C102=expenses_max_row, expenses_total_row,
                              IF(C102=expenses_total_row, "/2",
                                  IF(C102="/2", savings_header_row,
                                      IF(C102&lt;savings_max_row, C102+1,
                                          IF(C102=savings_max_row, savings_total_row, -1)))))))))))</f>
        <v>-1</v>
      </c>
      <c r="D103" s="7">
        <f t="shared" si="0"/>
        <v>-1</v>
      </c>
      <c r="E103" s="6" cm="1">
        <f t="array" ref="E103">1*OR(row_id=income_header_row, row_id=expenses_header_row, row_id=savings_header_row)</f>
        <v>0</v>
      </c>
      <c r="F103">
        <f t="shared" si="1"/>
        <v>0</v>
      </c>
      <c r="G103" cm="1">
        <f t="array" ref="G103">1*OR(row_id=income_total_row, row_id=expenses_total_row, row_id=savings_total_row)</f>
        <v>0</v>
      </c>
      <c r="H103" s="7">
        <f t="shared" si="2"/>
        <v>1</v>
      </c>
      <c r="I103" s="6" t="str" cm="1">
        <f t="array" ref="I103">IFERROR(INDEX('Budget Planning'!$C:$C, header_row_id),"")</f>
        <v/>
      </c>
      <c r="J103" t="str" cm="1">
        <f t="array" ref="J103">IFERROR(INDEX('Budget Planning'!$C:$C, row_id),"")</f>
        <v/>
      </c>
      <c r="K103" s="54" t="str" cm="1">
        <f t="array" ref="K10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3" s="55" t="str" cm="1">
        <f t="array" ref="L103">IF(OR(is_header, is_empty), "",
      INDEX('Budget Planning'!$E:$EM, row_id,
                  MATCH(IF(selected_period="Total Year", selected_year, DATE(selected_year, selected_period, 1)), 'Budget Planning'!$E$9:$EM$9, 0)  ))</f>
        <v/>
      </c>
      <c r="M103" s="6" t="str" cm="1">
        <f t="array" ref="M103">IF(is_cat,
       IF(header_row_id=income_header_row, MATCH(income_min_row, $C:$C, 0),
           IF(header_row_id=expenses_header_row, MATCH(expenses_min_row, $C:$C, 0),
               IF(header_row_id=savings_header_row, MATCH(savings_min_row, $C:$C, 0),""))), "")</f>
        <v/>
      </c>
      <c r="N103" s="7" t="str" cm="1">
        <f t="array" ref="N103">IF(is_cat,
       IF(header_row_id=income_header_row, MATCH(income_max_row, $C:$C, 0),
           IF(header_row_id=expenses_header_row, MATCH(expenses_max_row, $C:$C, 0),
               IF(header_row_id=savings_header_row, MATCH(savings_max_row, $C:$C, 0),""))), "")</f>
        <v/>
      </c>
      <c r="O103" s="6" t="str">
        <f t="shared" si="3"/>
        <v/>
      </c>
      <c r="P103" t="str">
        <f t="shared" ca="1" si="4"/>
        <v/>
      </c>
      <c r="Q103" t="str">
        <f t="shared" si="5"/>
        <v/>
      </c>
      <c r="R103" s="7" t="str">
        <f t="shared" ca="1" si="6"/>
        <v/>
      </c>
      <c r="S103" s="6" t="str">
        <f t="shared" si="20"/>
        <v/>
      </c>
      <c r="T103" t="str">
        <f t="shared" si="8"/>
        <v/>
      </c>
      <c r="U103" t="str">
        <f t="shared" ca="1" si="9"/>
        <v/>
      </c>
      <c r="V103" t="str">
        <f t="shared" si="10"/>
        <v/>
      </c>
      <c r="W103" s="7" t="str">
        <f t="shared" ca="1" si="11"/>
        <v/>
      </c>
      <c r="X103" s="57">
        <f t="shared" si="12"/>
        <v>-1</v>
      </c>
      <c r="Y103" s="58" t="str">
        <f t="shared" si="13"/>
        <v/>
      </c>
      <c r="Z103" s="60" t="str">
        <f t="shared" si="14"/>
        <v/>
      </c>
      <c r="AA103" s="60" t="str">
        <f t="shared" si="15"/>
        <v/>
      </c>
      <c r="AB103" s="59" t="str">
        <f t="shared" si="16"/>
        <v/>
      </c>
      <c r="AC103" s="60" t="str">
        <f t="shared" si="17"/>
        <v/>
      </c>
      <c r="AD103" s="60" t="str">
        <f t="shared" si="18"/>
        <v/>
      </c>
    </row>
    <row r="104" spans="3:30" x14ac:dyDescent="0.2">
      <c r="C104" s="6" cm="1">
        <f t="array" ref="C104">IF(C103=-1,-1,
      IF(C103&lt;income_max_row, C103+1,
          IF(C103=income_max_row, income_total_row,
              IF(C103=income_total_row, "/1",
                  IF(C103="/1", expenses_header_row,
                      IF(C103&lt;expenses_max_row, C103+1,
                          IF(C103=expenses_max_row, expenses_total_row,
                              IF(C103=expenses_total_row, "/2",
                                  IF(C103="/2", savings_header_row,
                                      IF(C103&lt;savings_max_row, C103+1,
                                          IF(C103=savings_max_row, savings_total_row, -1)))))))))))</f>
        <v>-1</v>
      </c>
      <c r="D104" s="7">
        <f t="shared" si="0"/>
        <v>-1</v>
      </c>
      <c r="E104" s="6" cm="1">
        <f t="array" ref="E104">1*OR(row_id=income_header_row, row_id=expenses_header_row, row_id=savings_header_row)</f>
        <v>0</v>
      </c>
      <c r="F104">
        <f t="shared" si="1"/>
        <v>0</v>
      </c>
      <c r="G104" cm="1">
        <f t="array" ref="G104">1*OR(row_id=income_total_row, row_id=expenses_total_row, row_id=savings_total_row)</f>
        <v>0</v>
      </c>
      <c r="H104" s="7">
        <f t="shared" si="2"/>
        <v>1</v>
      </c>
      <c r="I104" s="6" t="str" cm="1">
        <f t="array" ref="I104">IFERROR(INDEX('Budget Planning'!$C:$C, header_row_id),"")</f>
        <v/>
      </c>
      <c r="J104" t="str" cm="1">
        <f t="array" ref="J104">IFERROR(INDEX('Budget Planning'!$C:$C, row_id),"")</f>
        <v/>
      </c>
      <c r="K104" s="54" t="str" cm="1">
        <f t="array" ref="K10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4" s="55" t="str" cm="1">
        <f t="array" ref="L104">IF(OR(is_header, is_empty), "",
      INDEX('Budget Planning'!$E:$EM, row_id,
                  MATCH(IF(selected_period="Total Year", selected_year, DATE(selected_year, selected_period, 1)), 'Budget Planning'!$E$9:$EM$9, 0)  ))</f>
        <v/>
      </c>
      <c r="M104" s="6" t="str" cm="1">
        <f t="array" ref="M104">IF(is_cat,
       IF(header_row_id=income_header_row, MATCH(income_min_row, $C:$C, 0),
           IF(header_row_id=expenses_header_row, MATCH(expenses_min_row, $C:$C, 0),
               IF(header_row_id=savings_header_row, MATCH(savings_min_row, $C:$C, 0),""))), "")</f>
        <v/>
      </c>
      <c r="N104" s="7" t="str" cm="1">
        <f t="array" ref="N104">IF(is_cat,
       IF(header_row_id=income_header_row, MATCH(income_max_row, $C:$C, 0),
           IF(header_row_id=expenses_header_row, MATCH(expenses_max_row, $C:$C, 0),
               IF(header_row_id=savings_header_row, MATCH(savings_max_row, $C:$C, 0),""))), "")</f>
        <v/>
      </c>
      <c r="O104" s="6" t="str">
        <f t="shared" si="3"/>
        <v/>
      </c>
      <c r="P104" t="str">
        <f t="shared" ca="1" si="4"/>
        <v/>
      </c>
      <c r="Q104" t="str">
        <f t="shared" si="5"/>
        <v/>
      </c>
      <c r="R104" s="7" t="str">
        <f t="shared" ca="1" si="6"/>
        <v/>
      </c>
      <c r="S104" s="6" t="str">
        <f t="shared" si="20"/>
        <v/>
      </c>
      <c r="T104" t="str">
        <f t="shared" si="8"/>
        <v/>
      </c>
      <c r="U104" t="str">
        <f t="shared" ca="1" si="9"/>
        <v/>
      </c>
      <c r="V104" t="str">
        <f t="shared" si="10"/>
        <v/>
      </c>
      <c r="W104" s="7" t="str">
        <f t="shared" ca="1" si="11"/>
        <v/>
      </c>
      <c r="X104" s="57">
        <f t="shared" si="12"/>
        <v>-1</v>
      </c>
      <c r="Y104" s="58" t="str">
        <f t="shared" si="13"/>
        <v/>
      </c>
      <c r="Z104" s="60" t="str">
        <f t="shared" si="14"/>
        <v/>
      </c>
      <c r="AA104" s="60" t="str">
        <f t="shared" si="15"/>
        <v/>
      </c>
      <c r="AB104" s="59" t="str">
        <f t="shared" si="16"/>
        <v/>
      </c>
      <c r="AC104" s="60" t="str">
        <f t="shared" si="17"/>
        <v/>
      </c>
      <c r="AD104" s="60" t="str">
        <f t="shared" si="18"/>
        <v/>
      </c>
    </row>
    <row r="105" spans="3:30" x14ac:dyDescent="0.2">
      <c r="C105" s="6" cm="1">
        <f t="array" ref="C105">IF(C104=-1,-1,
      IF(C104&lt;income_max_row, C104+1,
          IF(C104=income_max_row, income_total_row,
              IF(C104=income_total_row, "/1",
                  IF(C104="/1", expenses_header_row,
                      IF(C104&lt;expenses_max_row, C104+1,
                          IF(C104=expenses_max_row, expenses_total_row,
                              IF(C104=expenses_total_row, "/2",
                                  IF(C104="/2", savings_header_row,
                                      IF(C104&lt;savings_max_row, C104+1,
                                          IF(C104=savings_max_row, savings_total_row, -1)))))))))))</f>
        <v>-1</v>
      </c>
      <c r="D105" s="7">
        <f t="shared" si="0"/>
        <v>-1</v>
      </c>
      <c r="E105" s="6" cm="1">
        <f t="array" ref="E105">1*OR(row_id=income_header_row, row_id=expenses_header_row, row_id=savings_header_row)</f>
        <v>0</v>
      </c>
      <c r="F105">
        <f t="shared" si="1"/>
        <v>0</v>
      </c>
      <c r="G105" cm="1">
        <f t="array" ref="G105">1*OR(row_id=income_total_row, row_id=expenses_total_row, row_id=savings_total_row)</f>
        <v>0</v>
      </c>
      <c r="H105" s="7">
        <f t="shared" si="2"/>
        <v>1</v>
      </c>
      <c r="I105" s="6" t="str" cm="1">
        <f t="array" ref="I105">IFERROR(INDEX('Budget Planning'!$C:$C, header_row_id),"")</f>
        <v/>
      </c>
      <c r="J105" t="str" cm="1">
        <f t="array" ref="J105">IFERROR(INDEX('Budget Planning'!$C:$C, row_id),"")</f>
        <v/>
      </c>
      <c r="K105" s="54" t="str" cm="1">
        <f t="array" ref="K10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5" s="55" t="str" cm="1">
        <f t="array" ref="L105">IF(OR(is_header, is_empty), "",
      INDEX('Budget Planning'!$E:$EM, row_id,
                  MATCH(IF(selected_period="Total Year", selected_year, DATE(selected_year, selected_period, 1)), 'Budget Planning'!$E$9:$EM$9, 0)  ))</f>
        <v/>
      </c>
      <c r="M105" s="6" t="str" cm="1">
        <f t="array" ref="M105">IF(is_cat,
       IF(header_row_id=income_header_row, MATCH(income_min_row, $C:$C, 0),
           IF(header_row_id=expenses_header_row, MATCH(expenses_min_row, $C:$C, 0),
               IF(header_row_id=savings_header_row, MATCH(savings_min_row, $C:$C, 0),""))), "")</f>
        <v/>
      </c>
      <c r="N105" s="7" t="str" cm="1">
        <f t="array" ref="N105">IF(is_cat,
       IF(header_row_id=income_header_row, MATCH(income_max_row, $C:$C, 0),
           IF(header_row_id=expenses_header_row, MATCH(expenses_max_row, $C:$C, 0),
               IF(header_row_id=savings_header_row, MATCH(savings_max_row, $C:$C, 0),""))), "")</f>
        <v/>
      </c>
      <c r="O105" s="6" t="str">
        <f t="shared" si="3"/>
        <v/>
      </c>
      <c r="P105" t="str">
        <f t="shared" ca="1" si="4"/>
        <v/>
      </c>
      <c r="Q105" t="str">
        <f t="shared" si="5"/>
        <v/>
      </c>
      <c r="R105" s="7" t="str">
        <f t="shared" ca="1" si="6"/>
        <v/>
      </c>
      <c r="S105" s="6" t="str">
        <f t="shared" si="20"/>
        <v/>
      </c>
      <c r="T105" t="str">
        <f t="shared" si="8"/>
        <v/>
      </c>
      <c r="U105" t="str">
        <f t="shared" ca="1" si="9"/>
        <v/>
      </c>
      <c r="V105" t="str">
        <f t="shared" si="10"/>
        <v/>
      </c>
      <c r="W105" s="7" t="str">
        <f t="shared" ca="1" si="11"/>
        <v/>
      </c>
      <c r="X105" s="57">
        <f t="shared" si="12"/>
        <v>-1</v>
      </c>
      <c r="Y105" s="58" t="str">
        <f t="shared" si="13"/>
        <v/>
      </c>
      <c r="Z105" s="60" t="str">
        <f t="shared" si="14"/>
        <v/>
      </c>
      <c r="AA105" s="60" t="str">
        <f t="shared" si="15"/>
        <v/>
      </c>
      <c r="AB105" s="59" t="str">
        <f t="shared" si="16"/>
        <v/>
      </c>
      <c r="AC105" s="60" t="str">
        <f t="shared" si="17"/>
        <v/>
      </c>
      <c r="AD105" s="60" t="str">
        <f t="shared" si="18"/>
        <v/>
      </c>
    </row>
    <row r="106" spans="3:30" x14ac:dyDescent="0.2">
      <c r="C106" s="6" cm="1">
        <f t="array" ref="C106">IF(C105=-1,-1,
      IF(C105&lt;income_max_row, C105+1,
          IF(C105=income_max_row, income_total_row,
              IF(C105=income_total_row, "/1",
                  IF(C105="/1", expenses_header_row,
                      IF(C105&lt;expenses_max_row, C105+1,
                          IF(C105=expenses_max_row, expenses_total_row,
                              IF(C105=expenses_total_row, "/2",
                                  IF(C105="/2", savings_header_row,
                                      IF(C105&lt;savings_max_row, C105+1,
                                          IF(C105=savings_max_row, savings_total_row, -1)))))))))))</f>
        <v>-1</v>
      </c>
      <c r="D106" s="7">
        <f t="shared" si="0"/>
        <v>-1</v>
      </c>
      <c r="E106" s="6" cm="1">
        <f t="array" ref="E106">1*OR(row_id=income_header_row, row_id=expenses_header_row, row_id=savings_header_row)</f>
        <v>0</v>
      </c>
      <c r="F106">
        <f t="shared" si="1"/>
        <v>0</v>
      </c>
      <c r="G106" cm="1">
        <f t="array" ref="G106">1*OR(row_id=income_total_row, row_id=expenses_total_row, row_id=savings_total_row)</f>
        <v>0</v>
      </c>
      <c r="H106" s="7">
        <f t="shared" si="2"/>
        <v>1</v>
      </c>
      <c r="I106" s="6" t="str" cm="1">
        <f t="array" ref="I106">IFERROR(INDEX('Budget Planning'!$C:$C, header_row_id),"")</f>
        <v/>
      </c>
      <c r="J106" t="str" cm="1">
        <f t="array" ref="J106">IFERROR(INDEX('Budget Planning'!$C:$C, row_id),"")</f>
        <v/>
      </c>
      <c r="K106" s="54" t="str" cm="1">
        <f t="array" ref="K10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6" s="55" t="str" cm="1">
        <f t="array" ref="L106">IF(OR(is_header, is_empty), "",
      INDEX('Budget Planning'!$E:$EM, row_id,
                  MATCH(IF(selected_period="Total Year", selected_year, DATE(selected_year, selected_period, 1)), 'Budget Planning'!$E$9:$EM$9, 0)  ))</f>
        <v/>
      </c>
      <c r="M106" s="6" t="str" cm="1">
        <f t="array" ref="M106">IF(is_cat,
       IF(header_row_id=income_header_row, MATCH(income_min_row, $C:$C, 0),
           IF(header_row_id=expenses_header_row, MATCH(expenses_min_row, $C:$C, 0),
               IF(header_row_id=savings_header_row, MATCH(savings_min_row, $C:$C, 0),""))), "")</f>
        <v/>
      </c>
      <c r="N106" s="7" t="str" cm="1">
        <f t="array" ref="N106">IF(is_cat,
       IF(header_row_id=income_header_row, MATCH(income_max_row, $C:$C, 0),
           IF(header_row_id=expenses_header_row, MATCH(expenses_max_row, $C:$C, 0),
               IF(header_row_id=savings_header_row, MATCH(savings_max_row, $C:$C, 0),""))), "")</f>
        <v/>
      </c>
      <c r="O106" s="6" t="str">
        <f t="shared" si="3"/>
        <v/>
      </c>
      <c r="P106" t="str">
        <f t="shared" ca="1" si="4"/>
        <v/>
      </c>
      <c r="Q106" t="str">
        <f t="shared" si="5"/>
        <v/>
      </c>
      <c r="R106" s="7" t="str">
        <f t="shared" ca="1" si="6"/>
        <v/>
      </c>
      <c r="S106" s="6" t="str">
        <f t="shared" si="20"/>
        <v/>
      </c>
      <c r="T106" t="str">
        <f t="shared" si="8"/>
        <v/>
      </c>
      <c r="U106" t="str">
        <f t="shared" ca="1" si="9"/>
        <v/>
      </c>
      <c r="V106" t="str">
        <f t="shared" si="10"/>
        <v/>
      </c>
      <c r="W106" s="7" t="str">
        <f t="shared" ca="1" si="11"/>
        <v/>
      </c>
      <c r="X106" s="57">
        <f t="shared" si="12"/>
        <v>-1</v>
      </c>
      <c r="Y106" s="58" t="str">
        <f t="shared" si="13"/>
        <v/>
      </c>
      <c r="Z106" s="60" t="str">
        <f t="shared" si="14"/>
        <v/>
      </c>
      <c r="AA106" s="60" t="str">
        <f t="shared" si="15"/>
        <v/>
      </c>
      <c r="AB106" s="59" t="str">
        <f t="shared" si="16"/>
        <v/>
      </c>
      <c r="AC106" s="60" t="str">
        <f t="shared" si="17"/>
        <v/>
      </c>
      <c r="AD106" s="60" t="str">
        <f t="shared" si="18"/>
        <v/>
      </c>
    </row>
    <row r="107" spans="3:30" x14ac:dyDescent="0.2">
      <c r="C107" s="6" cm="1">
        <f t="array" ref="C107">IF(C106=-1,-1,
      IF(C106&lt;income_max_row, C106+1,
          IF(C106=income_max_row, income_total_row,
              IF(C106=income_total_row, "/1",
                  IF(C106="/1", expenses_header_row,
                      IF(C106&lt;expenses_max_row, C106+1,
                          IF(C106=expenses_max_row, expenses_total_row,
                              IF(C106=expenses_total_row, "/2",
                                  IF(C106="/2", savings_header_row,
                                      IF(C106&lt;savings_max_row, C106+1,
                                          IF(C106=savings_max_row, savings_total_row, -1)))))))))))</f>
        <v>-1</v>
      </c>
      <c r="D107" s="7">
        <f t="shared" si="0"/>
        <v>-1</v>
      </c>
      <c r="E107" s="6" cm="1">
        <f t="array" ref="E107">1*OR(row_id=income_header_row, row_id=expenses_header_row, row_id=savings_header_row)</f>
        <v>0</v>
      </c>
      <c r="F107">
        <f t="shared" si="1"/>
        <v>0</v>
      </c>
      <c r="G107" cm="1">
        <f t="array" ref="G107">1*OR(row_id=income_total_row, row_id=expenses_total_row, row_id=savings_total_row)</f>
        <v>0</v>
      </c>
      <c r="H107" s="7">
        <f t="shared" si="2"/>
        <v>1</v>
      </c>
      <c r="I107" s="6" t="str" cm="1">
        <f t="array" ref="I107">IFERROR(INDEX('Budget Planning'!$C:$C, header_row_id),"")</f>
        <v/>
      </c>
      <c r="J107" t="str" cm="1">
        <f t="array" ref="J107">IFERROR(INDEX('Budget Planning'!$C:$C, row_id),"")</f>
        <v/>
      </c>
      <c r="K107" s="54" t="str" cm="1">
        <f t="array" ref="K10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7" s="55" t="str" cm="1">
        <f t="array" ref="L107">IF(OR(is_header, is_empty), "",
      INDEX('Budget Planning'!$E:$EM, row_id,
                  MATCH(IF(selected_period="Total Year", selected_year, DATE(selected_year, selected_period, 1)), 'Budget Planning'!$E$9:$EM$9, 0)  ))</f>
        <v/>
      </c>
      <c r="M107" s="6" t="str" cm="1">
        <f t="array" ref="M107">IF(is_cat,
       IF(header_row_id=income_header_row, MATCH(income_min_row, $C:$C, 0),
           IF(header_row_id=expenses_header_row, MATCH(expenses_min_row, $C:$C, 0),
               IF(header_row_id=savings_header_row, MATCH(savings_min_row, $C:$C, 0),""))), "")</f>
        <v/>
      </c>
      <c r="N107" s="7" t="str" cm="1">
        <f t="array" ref="N107">IF(is_cat,
       IF(header_row_id=income_header_row, MATCH(income_max_row, $C:$C, 0),
           IF(header_row_id=expenses_header_row, MATCH(expenses_max_row, $C:$C, 0),
               IF(header_row_id=savings_header_row, MATCH(savings_max_row, $C:$C, 0),""))), "")</f>
        <v/>
      </c>
      <c r="O107" s="6" t="str">
        <f t="shared" si="3"/>
        <v/>
      </c>
      <c r="P107" t="str">
        <f t="shared" ca="1" si="4"/>
        <v/>
      </c>
      <c r="Q107" t="str">
        <f t="shared" si="5"/>
        <v/>
      </c>
      <c r="R107" s="7" t="str">
        <f t="shared" ca="1" si="6"/>
        <v/>
      </c>
      <c r="S107" s="6" t="str">
        <f t="shared" si="20"/>
        <v/>
      </c>
      <c r="T107" t="str">
        <f t="shared" si="8"/>
        <v/>
      </c>
      <c r="U107" t="str">
        <f t="shared" ca="1" si="9"/>
        <v/>
      </c>
      <c r="V107" t="str">
        <f t="shared" si="10"/>
        <v/>
      </c>
      <c r="W107" s="7" t="str">
        <f t="shared" ca="1" si="11"/>
        <v/>
      </c>
      <c r="X107" s="57">
        <f t="shared" si="12"/>
        <v>-1</v>
      </c>
      <c r="Y107" s="58" t="str">
        <f t="shared" si="13"/>
        <v/>
      </c>
      <c r="Z107" s="60" t="str">
        <f t="shared" si="14"/>
        <v/>
      </c>
      <c r="AA107" s="60" t="str">
        <f t="shared" si="15"/>
        <v/>
      </c>
      <c r="AB107" s="59" t="str">
        <f t="shared" si="16"/>
        <v/>
      </c>
      <c r="AC107" s="60" t="str">
        <f t="shared" si="17"/>
        <v/>
      </c>
      <c r="AD107" s="60" t="str">
        <f t="shared" si="18"/>
        <v/>
      </c>
    </row>
    <row r="108" spans="3:30" x14ac:dyDescent="0.2">
      <c r="C108" s="6" cm="1">
        <f t="array" ref="C108">IF(C107=-1,-1,
      IF(C107&lt;income_max_row, C107+1,
          IF(C107=income_max_row, income_total_row,
              IF(C107=income_total_row, "/1",
                  IF(C107="/1", expenses_header_row,
                      IF(C107&lt;expenses_max_row, C107+1,
                          IF(C107=expenses_max_row, expenses_total_row,
                              IF(C107=expenses_total_row, "/2",
                                  IF(C107="/2", savings_header_row,
                                      IF(C107&lt;savings_max_row, C107+1,
                                          IF(C107=savings_max_row, savings_total_row, -1)))))))))))</f>
        <v>-1</v>
      </c>
      <c r="D108" s="7">
        <f t="shared" si="0"/>
        <v>-1</v>
      </c>
      <c r="E108" s="6" cm="1">
        <f t="array" ref="E108">1*OR(row_id=income_header_row, row_id=expenses_header_row, row_id=savings_header_row)</f>
        <v>0</v>
      </c>
      <c r="F108">
        <f t="shared" si="1"/>
        <v>0</v>
      </c>
      <c r="G108" cm="1">
        <f t="array" ref="G108">1*OR(row_id=income_total_row, row_id=expenses_total_row, row_id=savings_total_row)</f>
        <v>0</v>
      </c>
      <c r="H108" s="7">
        <f t="shared" si="2"/>
        <v>1</v>
      </c>
      <c r="I108" s="6" t="str" cm="1">
        <f t="array" ref="I108">IFERROR(INDEX('Budget Planning'!$C:$C, header_row_id),"")</f>
        <v/>
      </c>
      <c r="J108" t="str" cm="1">
        <f t="array" ref="J108">IFERROR(INDEX('Budget Planning'!$C:$C, row_id),"")</f>
        <v/>
      </c>
      <c r="K108" s="54" t="str" cm="1">
        <f t="array" ref="K10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8" s="55" t="str" cm="1">
        <f t="array" ref="L108">IF(OR(is_header, is_empty), "",
      INDEX('Budget Planning'!$E:$EM, row_id,
                  MATCH(IF(selected_period="Total Year", selected_year, DATE(selected_year, selected_period, 1)), 'Budget Planning'!$E$9:$EM$9, 0)  ))</f>
        <v/>
      </c>
      <c r="M108" s="6" t="str" cm="1">
        <f t="array" ref="M108">IF(is_cat,
       IF(header_row_id=income_header_row, MATCH(income_min_row, $C:$C, 0),
           IF(header_row_id=expenses_header_row, MATCH(expenses_min_row, $C:$C, 0),
               IF(header_row_id=savings_header_row, MATCH(savings_min_row, $C:$C, 0),""))), "")</f>
        <v/>
      </c>
      <c r="N108" s="7" t="str" cm="1">
        <f t="array" ref="N108">IF(is_cat,
       IF(header_row_id=income_header_row, MATCH(income_max_row, $C:$C, 0),
           IF(header_row_id=expenses_header_row, MATCH(expenses_max_row, $C:$C, 0),
               IF(header_row_id=savings_header_row, MATCH(savings_max_row, $C:$C, 0),""))), "")</f>
        <v/>
      </c>
      <c r="O108" s="6" t="str">
        <f t="shared" si="3"/>
        <v/>
      </c>
      <c r="P108" t="str">
        <f t="shared" ca="1" si="4"/>
        <v/>
      </c>
      <c r="Q108" t="str">
        <f t="shared" si="5"/>
        <v/>
      </c>
      <c r="R108" s="7" t="str">
        <f t="shared" ca="1" si="6"/>
        <v/>
      </c>
      <c r="S108" s="6" t="str">
        <f t="shared" si="20"/>
        <v/>
      </c>
      <c r="T108" t="str">
        <f t="shared" si="8"/>
        <v/>
      </c>
      <c r="U108" t="str">
        <f t="shared" ca="1" si="9"/>
        <v/>
      </c>
      <c r="V108" t="str">
        <f t="shared" si="10"/>
        <v/>
      </c>
      <c r="W108" s="7" t="str">
        <f t="shared" ca="1" si="11"/>
        <v/>
      </c>
      <c r="X108" s="57">
        <f t="shared" si="12"/>
        <v>-1</v>
      </c>
      <c r="Y108" s="58" t="str">
        <f t="shared" si="13"/>
        <v/>
      </c>
      <c r="Z108" s="60" t="str">
        <f t="shared" si="14"/>
        <v/>
      </c>
      <c r="AA108" s="60" t="str">
        <f t="shared" si="15"/>
        <v/>
      </c>
      <c r="AB108" s="59" t="str">
        <f t="shared" si="16"/>
        <v/>
      </c>
      <c r="AC108" s="60" t="str">
        <f t="shared" si="17"/>
        <v/>
      </c>
      <c r="AD108" s="60" t="str">
        <f t="shared" si="18"/>
        <v/>
      </c>
    </row>
    <row r="109" spans="3:30" x14ac:dyDescent="0.2">
      <c r="C109" s="6" cm="1">
        <f t="array" ref="C109">IF(C108=-1,-1,
      IF(C108&lt;income_max_row, C108+1,
          IF(C108=income_max_row, income_total_row,
              IF(C108=income_total_row, "/1",
                  IF(C108="/1", expenses_header_row,
                      IF(C108&lt;expenses_max_row, C108+1,
                          IF(C108=expenses_max_row, expenses_total_row,
                              IF(C108=expenses_total_row, "/2",
                                  IF(C108="/2", savings_header_row,
                                      IF(C108&lt;savings_max_row, C108+1,
                                          IF(C108=savings_max_row, savings_total_row, -1)))))))))))</f>
        <v>-1</v>
      </c>
      <c r="D109" s="7">
        <f t="shared" si="0"/>
        <v>-1</v>
      </c>
      <c r="E109" s="6" cm="1">
        <f t="array" ref="E109">1*OR(row_id=income_header_row, row_id=expenses_header_row, row_id=savings_header_row)</f>
        <v>0</v>
      </c>
      <c r="F109">
        <f t="shared" si="1"/>
        <v>0</v>
      </c>
      <c r="G109" cm="1">
        <f t="array" ref="G109">1*OR(row_id=income_total_row, row_id=expenses_total_row, row_id=savings_total_row)</f>
        <v>0</v>
      </c>
      <c r="H109" s="7">
        <f t="shared" si="2"/>
        <v>1</v>
      </c>
      <c r="I109" s="6" t="str" cm="1">
        <f t="array" ref="I109">IFERROR(INDEX('Budget Planning'!$C:$C, header_row_id),"")</f>
        <v/>
      </c>
      <c r="J109" t="str" cm="1">
        <f t="array" ref="J109">IFERROR(INDEX('Budget Planning'!$C:$C, row_id),"")</f>
        <v/>
      </c>
      <c r="K109" s="54" t="str" cm="1">
        <f t="array" ref="K10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09" s="55" t="str" cm="1">
        <f t="array" ref="L109">IF(OR(is_header, is_empty), "",
      INDEX('Budget Planning'!$E:$EM, row_id,
                  MATCH(IF(selected_period="Total Year", selected_year, DATE(selected_year, selected_period, 1)), 'Budget Planning'!$E$9:$EM$9, 0)  ))</f>
        <v/>
      </c>
      <c r="M109" s="6" t="str" cm="1">
        <f t="array" ref="M109">IF(is_cat,
       IF(header_row_id=income_header_row, MATCH(income_min_row, $C:$C, 0),
           IF(header_row_id=expenses_header_row, MATCH(expenses_min_row, $C:$C, 0),
               IF(header_row_id=savings_header_row, MATCH(savings_min_row, $C:$C, 0),""))), "")</f>
        <v/>
      </c>
      <c r="N109" s="7" t="str" cm="1">
        <f t="array" ref="N109">IF(is_cat,
       IF(header_row_id=income_header_row, MATCH(income_max_row, $C:$C, 0),
           IF(header_row_id=expenses_header_row, MATCH(expenses_max_row, $C:$C, 0),
               IF(header_row_id=savings_header_row, MATCH(savings_max_row, $C:$C, 0),""))), "")</f>
        <v/>
      </c>
      <c r="O109" s="6" t="str">
        <f t="shared" si="3"/>
        <v/>
      </c>
      <c r="P109" t="str">
        <f t="shared" ca="1" si="4"/>
        <v/>
      </c>
      <c r="Q109" t="str">
        <f t="shared" si="5"/>
        <v/>
      </c>
      <c r="R109" s="7" t="str">
        <f t="shared" ca="1" si="6"/>
        <v/>
      </c>
      <c r="S109" s="6" t="str">
        <f t="shared" ref="S109:S120" si="21">IF(is_cat, _xlfn.NUMBERVALUE( tracked_rank &amp; IF(LEN(budget_rank)=1, "0", "") &amp; budget_rank), "")</f>
        <v/>
      </c>
      <c r="T109" t="str">
        <f t="shared" si="8"/>
        <v/>
      </c>
      <c r="U109" t="str">
        <f t="shared" ca="1" si="9"/>
        <v/>
      </c>
      <c r="V109" t="str">
        <f t="shared" si="10"/>
        <v/>
      </c>
      <c r="W109" s="7" t="str">
        <f t="shared" ca="1" si="11"/>
        <v/>
      </c>
      <c r="X109" s="57">
        <f t="shared" si="12"/>
        <v>-1</v>
      </c>
      <c r="Y109" s="58" t="str">
        <f t="shared" si="13"/>
        <v/>
      </c>
      <c r="Z109" s="60" t="str">
        <f t="shared" si="14"/>
        <v/>
      </c>
      <c r="AA109" s="60" t="str">
        <f t="shared" si="15"/>
        <v/>
      </c>
      <c r="AB109" s="59" t="str">
        <f t="shared" si="16"/>
        <v/>
      </c>
      <c r="AC109" s="60" t="str">
        <f t="shared" si="17"/>
        <v/>
      </c>
      <c r="AD109" s="60" t="str">
        <f t="shared" si="18"/>
        <v/>
      </c>
    </row>
    <row r="110" spans="3:30" x14ac:dyDescent="0.2">
      <c r="C110" s="6" cm="1">
        <f t="array" ref="C110">IF(C109=-1,-1,
      IF(C109&lt;income_max_row, C109+1,
          IF(C109=income_max_row, income_total_row,
              IF(C109=income_total_row, "/1",
                  IF(C109="/1", expenses_header_row,
                      IF(C109&lt;expenses_max_row, C109+1,
                          IF(C109=expenses_max_row, expenses_total_row,
                              IF(C109=expenses_total_row, "/2",
                                  IF(C109="/2", savings_header_row,
                                      IF(C109&lt;savings_max_row, C109+1,
                                          IF(C109=savings_max_row, savings_total_row, -1)))))))))))</f>
        <v>-1</v>
      </c>
      <c r="D110" s="7">
        <f t="shared" si="0"/>
        <v>-1</v>
      </c>
      <c r="E110" s="6" cm="1">
        <f t="array" ref="E110">1*OR(row_id=income_header_row, row_id=expenses_header_row, row_id=savings_header_row)</f>
        <v>0</v>
      </c>
      <c r="F110">
        <f t="shared" si="1"/>
        <v>0</v>
      </c>
      <c r="G110" cm="1">
        <f t="array" ref="G110">1*OR(row_id=income_total_row, row_id=expenses_total_row, row_id=savings_total_row)</f>
        <v>0</v>
      </c>
      <c r="H110" s="7">
        <f t="shared" si="2"/>
        <v>1</v>
      </c>
      <c r="I110" s="6" t="str" cm="1">
        <f t="array" ref="I110">IFERROR(INDEX('Budget Planning'!$C:$C, header_row_id),"")</f>
        <v/>
      </c>
      <c r="J110" t="str" cm="1">
        <f t="array" ref="J110">IFERROR(INDEX('Budget Planning'!$C:$C, row_id),"")</f>
        <v/>
      </c>
      <c r="K110" s="54" t="str" cm="1">
        <f t="array" ref="K11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0" s="55" t="str" cm="1">
        <f t="array" ref="L110">IF(OR(is_header, is_empty), "",
      INDEX('Budget Planning'!$E:$EM, row_id,
                  MATCH(IF(selected_period="Total Year", selected_year, DATE(selected_year, selected_period, 1)), 'Budget Planning'!$E$9:$EM$9, 0)  ))</f>
        <v/>
      </c>
      <c r="M110" s="6" t="str" cm="1">
        <f t="array" ref="M110">IF(is_cat,
       IF(header_row_id=income_header_row, MATCH(income_min_row, $C:$C, 0),
           IF(header_row_id=expenses_header_row, MATCH(expenses_min_row, $C:$C, 0),
               IF(header_row_id=savings_header_row, MATCH(savings_min_row, $C:$C, 0),""))), "")</f>
        <v/>
      </c>
      <c r="N110" s="7" t="str" cm="1">
        <f t="array" ref="N110">IF(is_cat,
       IF(header_row_id=income_header_row, MATCH(income_max_row, $C:$C, 0),
           IF(header_row_id=expenses_header_row, MATCH(expenses_max_row, $C:$C, 0),
               IF(header_row_id=savings_header_row, MATCH(savings_max_row, $C:$C, 0),""))), "")</f>
        <v/>
      </c>
      <c r="O110" s="6" t="str">
        <f t="shared" si="3"/>
        <v/>
      </c>
      <c r="P110" t="str">
        <f t="shared" ca="1" si="4"/>
        <v/>
      </c>
      <c r="Q110" t="str">
        <f t="shared" si="5"/>
        <v/>
      </c>
      <c r="R110" s="7" t="str">
        <f t="shared" ca="1" si="6"/>
        <v/>
      </c>
      <c r="S110" s="6" t="str">
        <f t="shared" si="21"/>
        <v/>
      </c>
      <c r="T110" t="str">
        <f t="shared" si="8"/>
        <v/>
      </c>
      <c r="U110" t="str">
        <f t="shared" ca="1" si="9"/>
        <v/>
      </c>
      <c r="V110" t="str">
        <f t="shared" si="10"/>
        <v/>
      </c>
      <c r="W110" s="7" t="str">
        <f t="shared" ca="1" si="11"/>
        <v/>
      </c>
      <c r="X110" s="57">
        <f t="shared" si="12"/>
        <v>-1</v>
      </c>
      <c r="Y110" s="58" t="str">
        <f t="shared" si="13"/>
        <v/>
      </c>
      <c r="Z110" s="60" t="str">
        <f t="shared" si="14"/>
        <v/>
      </c>
      <c r="AA110" s="60" t="str">
        <f t="shared" si="15"/>
        <v/>
      </c>
      <c r="AB110" s="59" t="str">
        <f t="shared" si="16"/>
        <v/>
      </c>
      <c r="AC110" s="60" t="str">
        <f t="shared" si="17"/>
        <v/>
      </c>
      <c r="AD110" s="60" t="str">
        <f t="shared" si="18"/>
        <v/>
      </c>
    </row>
    <row r="111" spans="3:30" x14ac:dyDescent="0.2">
      <c r="C111" s="6" cm="1">
        <f t="array" ref="C111">IF(C110=-1,-1,
      IF(C110&lt;income_max_row, C110+1,
          IF(C110=income_max_row, income_total_row,
              IF(C110=income_total_row, "/1",
                  IF(C110="/1", expenses_header_row,
                      IF(C110&lt;expenses_max_row, C110+1,
                          IF(C110=expenses_max_row, expenses_total_row,
                              IF(C110=expenses_total_row, "/2",
                                  IF(C110="/2", savings_header_row,
                                      IF(C110&lt;savings_max_row, C110+1,
                                          IF(C110=savings_max_row, savings_total_row, -1)))))))))))</f>
        <v>-1</v>
      </c>
      <c r="D111" s="7">
        <f t="shared" si="0"/>
        <v>-1</v>
      </c>
      <c r="E111" s="6" cm="1">
        <f t="array" ref="E111">1*OR(row_id=income_header_row, row_id=expenses_header_row, row_id=savings_header_row)</f>
        <v>0</v>
      </c>
      <c r="F111">
        <f t="shared" si="1"/>
        <v>0</v>
      </c>
      <c r="G111" cm="1">
        <f t="array" ref="G111">1*OR(row_id=income_total_row, row_id=expenses_total_row, row_id=savings_total_row)</f>
        <v>0</v>
      </c>
      <c r="H111" s="7">
        <f t="shared" si="2"/>
        <v>1</v>
      </c>
      <c r="I111" s="6" t="str" cm="1">
        <f t="array" ref="I111">IFERROR(INDEX('Budget Planning'!$C:$C, header_row_id),"")</f>
        <v/>
      </c>
      <c r="J111" t="str" cm="1">
        <f t="array" ref="J111">IFERROR(INDEX('Budget Planning'!$C:$C, row_id),"")</f>
        <v/>
      </c>
      <c r="K111" s="54" t="str" cm="1">
        <f t="array" ref="K111">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1" s="55" t="str" cm="1">
        <f t="array" ref="L111">IF(OR(is_header, is_empty), "",
      INDEX('Budget Planning'!$E:$EM, row_id,
                  MATCH(IF(selected_period="Total Year", selected_year, DATE(selected_year, selected_period, 1)), 'Budget Planning'!$E$9:$EM$9, 0)  ))</f>
        <v/>
      </c>
      <c r="M111" s="6" t="str" cm="1">
        <f t="array" ref="M111">IF(is_cat,
       IF(header_row_id=income_header_row, MATCH(income_min_row, $C:$C, 0),
           IF(header_row_id=expenses_header_row, MATCH(expenses_min_row, $C:$C, 0),
               IF(header_row_id=savings_header_row, MATCH(savings_min_row, $C:$C, 0),""))), "")</f>
        <v/>
      </c>
      <c r="N111" s="7" t="str" cm="1">
        <f t="array" ref="N111">IF(is_cat,
       IF(header_row_id=income_header_row, MATCH(income_max_row, $C:$C, 0),
           IF(header_row_id=expenses_header_row, MATCH(expenses_max_row, $C:$C, 0),
               IF(header_row_id=savings_header_row, MATCH(savings_max_row, $C:$C, 0),""))), "")</f>
        <v/>
      </c>
      <c r="O111" s="6" t="str">
        <f t="shared" si="3"/>
        <v/>
      </c>
      <c r="P111" t="str">
        <f t="shared" ca="1" si="4"/>
        <v/>
      </c>
      <c r="Q111" t="str">
        <f t="shared" si="5"/>
        <v/>
      </c>
      <c r="R111" s="7" t="str">
        <f t="shared" ca="1" si="6"/>
        <v/>
      </c>
      <c r="S111" s="6" t="str">
        <f t="shared" si="21"/>
        <v/>
      </c>
      <c r="T111" t="str">
        <f t="shared" si="8"/>
        <v/>
      </c>
      <c r="U111" t="str">
        <f t="shared" ca="1" si="9"/>
        <v/>
      </c>
      <c r="V111" t="str">
        <f t="shared" si="10"/>
        <v/>
      </c>
      <c r="W111" s="7" t="str">
        <f t="shared" ca="1" si="11"/>
        <v/>
      </c>
      <c r="X111" s="57">
        <f t="shared" si="12"/>
        <v>-1</v>
      </c>
      <c r="Y111" s="58" t="str">
        <f t="shared" si="13"/>
        <v/>
      </c>
      <c r="Z111" s="60" t="str">
        <f t="shared" si="14"/>
        <v/>
      </c>
      <c r="AA111" s="60" t="str">
        <f t="shared" si="15"/>
        <v/>
      </c>
      <c r="AB111" s="59" t="str">
        <f t="shared" si="16"/>
        <v/>
      </c>
      <c r="AC111" s="60" t="str">
        <f t="shared" si="17"/>
        <v/>
      </c>
      <c r="AD111" s="60" t="str">
        <f t="shared" si="18"/>
        <v/>
      </c>
    </row>
    <row r="112" spans="3:30" x14ac:dyDescent="0.2">
      <c r="C112" s="6" cm="1">
        <f t="array" ref="C112">IF(C111=-1,-1,
      IF(C111&lt;income_max_row, C111+1,
          IF(C111=income_max_row, income_total_row,
              IF(C111=income_total_row, "/1",
                  IF(C111="/1", expenses_header_row,
                      IF(C111&lt;expenses_max_row, C111+1,
                          IF(C111=expenses_max_row, expenses_total_row,
                              IF(C111=expenses_total_row, "/2",
                                  IF(C111="/2", savings_header_row,
                                      IF(C111&lt;savings_max_row, C111+1,
                                          IF(C111=savings_max_row, savings_total_row, -1)))))))))))</f>
        <v>-1</v>
      </c>
      <c r="D112" s="7">
        <f t="shared" si="0"/>
        <v>-1</v>
      </c>
      <c r="E112" s="6" cm="1">
        <f t="array" ref="E112">1*OR(row_id=income_header_row, row_id=expenses_header_row, row_id=savings_header_row)</f>
        <v>0</v>
      </c>
      <c r="F112">
        <f t="shared" si="1"/>
        <v>0</v>
      </c>
      <c r="G112" cm="1">
        <f t="array" ref="G112">1*OR(row_id=income_total_row, row_id=expenses_total_row, row_id=savings_total_row)</f>
        <v>0</v>
      </c>
      <c r="H112" s="7">
        <f t="shared" si="2"/>
        <v>1</v>
      </c>
      <c r="I112" s="6" t="str" cm="1">
        <f t="array" ref="I112">IFERROR(INDEX('Budget Planning'!$C:$C, header_row_id),"")</f>
        <v/>
      </c>
      <c r="J112" t="str" cm="1">
        <f t="array" ref="J112">IFERROR(INDEX('Budget Planning'!$C:$C, row_id),"")</f>
        <v/>
      </c>
      <c r="K112" s="54" t="str" cm="1">
        <f t="array" ref="K112">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2" s="55" t="str" cm="1">
        <f t="array" ref="L112">IF(OR(is_header, is_empty), "",
      INDEX('Budget Planning'!$E:$EM, row_id,
                  MATCH(IF(selected_period="Total Year", selected_year, DATE(selected_year, selected_period, 1)), 'Budget Planning'!$E$9:$EM$9, 0)  ))</f>
        <v/>
      </c>
      <c r="M112" s="6" t="str" cm="1">
        <f t="array" ref="M112">IF(is_cat,
       IF(header_row_id=income_header_row, MATCH(income_min_row, $C:$C, 0),
           IF(header_row_id=expenses_header_row, MATCH(expenses_min_row, $C:$C, 0),
               IF(header_row_id=savings_header_row, MATCH(savings_min_row, $C:$C, 0),""))), "")</f>
        <v/>
      </c>
      <c r="N112" s="7" t="str" cm="1">
        <f t="array" ref="N112">IF(is_cat,
       IF(header_row_id=income_header_row, MATCH(income_max_row, $C:$C, 0),
           IF(header_row_id=expenses_header_row, MATCH(expenses_max_row, $C:$C, 0),
               IF(header_row_id=savings_header_row, MATCH(savings_max_row, $C:$C, 0),""))), "")</f>
        <v/>
      </c>
      <c r="O112" s="6" t="str">
        <f t="shared" si="3"/>
        <v/>
      </c>
      <c r="P112" t="str">
        <f t="shared" ca="1" si="4"/>
        <v/>
      </c>
      <c r="Q112" t="str">
        <f t="shared" si="5"/>
        <v/>
      </c>
      <c r="R112" s="7" t="str">
        <f t="shared" ca="1" si="6"/>
        <v/>
      </c>
      <c r="S112" s="6" t="str">
        <f t="shared" si="21"/>
        <v/>
      </c>
      <c r="T112" t="str">
        <f t="shared" si="8"/>
        <v/>
      </c>
      <c r="U112" t="str">
        <f t="shared" ca="1" si="9"/>
        <v/>
      </c>
      <c r="V112" t="str">
        <f t="shared" si="10"/>
        <v/>
      </c>
      <c r="W112" s="7" t="str">
        <f t="shared" ca="1" si="11"/>
        <v/>
      </c>
      <c r="X112" s="57">
        <f t="shared" si="12"/>
        <v>-1</v>
      </c>
      <c r="Y112" s="58" t="str">
        <f t="shared" si="13"/>
        <v/>
      </c>
      <c r="Z112" s="60" t="str">
        <f t="shared" si="14"/>
        <v/>
      </c>
      <c r="AA112" s="60" t="str">
        <f t="shared" si="15"/>
        <v/>
      </c>
      <c r="AB112" s="59" t="str">
        <f t="shared" si="16"/>
        <v/>
      </c>
      <c r="AC112" s="60" t="str">
        <f t="shared" si="17"/>
        <v/>
      </c>
      <c r="AD112" s="60" t="str">
        <f t="shared" si="18"/>
        <v/>
      </c>
    </row>
    <row r="113" spans="3:30" x14ac:dyDescent="0.2">
      <c r="C113" s="6" cm="1">
        <f t="array" ref="C113">IF(C112=-1,-1,
      IF(C112&lt;income_max_row, C112+1,
          IF(C112=income_max_row, income_total_row,
              IF(C112=income_total_row, "/1",
                  IF(C112="/1", expenses_header_row,
                      IF(C112&lt;expenses_max_row, C112+1,
                          IF(C112=expenses_max_row, expenses_total_row,
                              IF(C112=expenses_total_row, "/2",
                                  IF(C112="/2", savings_header_row,
                                      IF(C112&lt;savings_max_row, C112+1,
                                          IF(C112=savings_max_row, savings_total_row, -1)))))))))))</f>
        <v>-1</v>
      </c>
      <c r="D113" s="7">
        <f t="shared" si="0"/>
        <v>-1</v>
      </c>
      <c r="E113" s="6" cm="1">
        <f t="array" ref="E113">1*OR(row_id=income_header_row, row_id=expenses_header_row, row_id=savings_header_row)</f>
        <v>0</v>
      </c>
      <c r="F113">
        <f t="shared" si="1"/>
        <v>0</v>
      </c>
      <c r="G113" cm="1">
        <f t="array" ref="G113">1*OR(row_id=income_total_row, row_id=expenses_total_row, row_id=savings_total_row)</f>
        <v>0</v>
      </c>
      <c r="H113" s="7">
        <f t="shared" si="2"/>
        <v>1</v>
      </c>
      <c r="I113" s="6" t="str" cm="1">
        <f t="array" ref="I113">IFERROR(INDEX('Budget Planning'!$C:$C, header_row_id),"")</f>
        <v/>
      </c>
      <c r="J113" t="str" cm="1">
        <f t="array" ref="J113">IFERROR(INDEX('Budget Planning'!$C:$C, row_id),"")</f>
        <v/>
      </c>
      <c r="K113" s="54" t="str" cm="1">
        <f t="array" ref="K113">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3" s="55" t="str" cm="1">
        <f t="array" ref="L113">IF(OR(is_header, is_empty), "",
      INDEX('Budget Planning'!$E:$EM, row_id,
                  MATCH(IF(selected_period="Total Year", selected_year, DATE(selected_year, selected_period, 1)), 'Budget Planning'!$E$9:$EM$9, 0)  ))</f>
        <v/>
      </c>
      <c r="M113" s="6" t="str" cm="1">
        <f t="array" ref="M113">IF(is_cat,
       IF(header_row_id=income_header_row, MATCH(income_min_row, $C:$C, 0),
           IF(header_row_id=expenses_header_row, MATCH(expenses_min_row, $C:$C, 0),
               IF(header_row_id=savings_header_row, MATCH(savings_min_row, $C:$C, 0),""))), "")</f>
        <v/>
      </c>
      <c r="N113" s="7" t="str" cm="1">
        <f t="array" ref="N113">IF(is_cat,
       IF(header_row_id=income_header_row, MATCH(income_max_row, $C:$C, 0),
           IF(header_row_id=expenses_header_row, MATCH(expenses_max_row, $C:$C, 0),
               IF(header_row_id=savings_header_row, MATCH(savings_max_row, $C:$C, 0),""))), "")</f>
        <v/>
      </c>
      <c r="O113" s="6" t="str">
        <f t="shared" si="3"/>
        <v/>
      </c>
      <c r="P113" t="str">
        <f t="shared" ca="1" si="4"/>
        <v/>
      </c>
      <c r="Q113" t="str">
        <f t="shared" si="5"/>
        <v/>
      </c>
      <c r="R113" s="7" t="str">
        <f t="shared" ca="1" si="6"/>
        <v/>
      </c>
      <c r="S113" s="6" t="str">
        <f t="shared" si="21"/>
        <v/>
      </c>
      <c r="T113" t="str">
        <f t="shared" si="8"/>
        <v/>
      </c>
      <c r="U113" t="str">
        <f t="shared" ca="1" si="9"/>
        <v/>
      </c>
      <c r="V113" t="str">
        <f t="shared" si="10"/>
        <v/>
      </c>
      <c r="W113" s="7" t="str">
        <f t="shared" ca="1" si="11"/>
        <v/>
      </c>
      <c r="X113" s="57">
        <f t="shared" si="12"/>
        <v>-1</v>
      </c>
      <c r="Y113" s="58" t="str">
        <f t="shared" si="13"/>
        <v/>
      </c>
      <c r="Z113" s="60" t="str">
        <f t="shared" si="14"/>
        <v/>
      </c>
      <c r="AA113" s="60" t="str">
        <f t="shared" si="15"/>
        <v/>
      </c>
      <c r="AB113" s="59" t="str">
        <f t="shared" si="16"/>
        <v/>
      </c>
      <c r="AC113" s="60" t="str">
        <f t="shared" si="17"/>
        <v/>
      </c>
      <c r="AD113" s="60" t="str">
        <f t="shared" si="18"/>
        <v/>
      </c>
    </row>
    <row r="114" spans="3:30" x14ac:dyDescent="0.2">
      <c r="C114" s="6" cm="1">
        <f t="array" ref="C114">IF(C113=-1,-1,
      IF(C113&lt;income_max_row, C113+1,
          IF(C113=income_max_row, income_total_row,
              IF(C113=income_total_row, "/1",
                  IF(C113="/1", expenses_header_row,
                      IF(C113&lt;expenses_max_row, C113+1,
                          IF(C113=expenses_max_row, expenses_total_row,
                              IF(C113=expenses_total_row, "/2",
                                  IF(C113="/2", savings_header_row,
                                      IF(C113&lt;savings_max_row, C113+1,
                                          IF(C113=savings_max_row, savings_total_row, -1)))))))))))</f>
        <v>-1</v>
      </c>
      <c r="D114" s="7">
        <f t="shared" si="0"/>
        <v>-1</v>
      </c>
      <c r="E114" s="6" cm="1">
        <f t="array" ref="E114">1*OR(row_id=income_header_row, row_id=expenses_header_row, row_id=savings_header_row)</f>
        <v>0</v>
      </c>
      <c r="F114">
        <f t="shared" si="1"/>
        <v>0</v>
      </c>
      <c r="G114" cm="1">
        <f t="array" ref="G114">1*OR(row_id=income_total_row, row_id=expenses_total_row, row_id=savings_total_row)</f>
        <v>0</v>
      </c>
      <c r="H114" s="7">
        <f t="shared" si="2"/>
        <v>1</v>
      </c>
      <c r="I114" s="6" t="str" cm="1">
        <f t="array" ref="I114">IFERROR(INDEX('Budget Planning'!$C:$C, header_row_id),"")</f>
        <v/>
      </c>
      <c r="J114" t="str" cm="1">
        <f t="array" ref="J114">IFERROR(INDEX('Budget Planning'!$C:$C, row_id),"")</f>
        <v/>
      </c>
      <c r="K114" s="54" t="str" cm="1">
        <f t="array" ref="K114">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4" s="55" t="str" cm="1">
        <f t="array" ref="L114">IF(OR(is_header, is_empty), "",
      INDEX('Budget Planning'!$E:$EM, row_id,
                  MATCH(IF(selected_period="Total Year", selected_year, DATE(selected_year, selected_period, 1)), 'Budget Planning'!$E$9:$EM$9, 0)  ))</f>
        <v/>
      </c>
      <c r="M114" s="6" t="str" cm="1">
        <f t="array" ref="M114">IF(is_cat,
       IF(header_row_id=income_header_row, MATCH(income_min_row, $C:$C, 0),
           IF(header_row_id=expenses_header_row, MATCH(expenses_min_row, $C:$C, 0),
               IF(header_row_id=savings_header_row, MATCH(savings_min_row, $C:$C, 0),""))), "")</f>
        <v/>
      </c>
      <c r="N114" s="7" t="str" cm="1">
        <f t="array" ref="N114">IF(is_cat,
       IF(header_row_id=income_header_row, MATCH(income_max_row, $C:$C, 0),
           IF(header_row_id=expenses_header_row, MATCH(expenses_max_row, $C:$C, 0),
               IF(header_row_id=savings_header_row, MATCH(savings_max_row, $C:$C, 0),""))), "")</f>
        <v/>
      </c>
      <c r="O114" s="6" t="str">
        <f t="shared" si="3"/>
        <v/>
      </c>
      <c r="P114" t="str">
        <f t="shared" ca="1" si="4"/>
        <v/>
      </c>
      <c r="Q114" t="str">
        <f t="shared" si="5"/>
        <v/>
      </c>
      <c r="R114" s="7" t="str">
        <f t="shared" ca="1" si="6"/>
        <v/>
      </c>
      <c r="S114" s="6" t="str">
        <f t="shared" si="21"/>
        <v/>
      </c>
      <c r="T114" t="str">
        <f t="shared" si="8"/>
        <v/>
      </c>
      <c r="U114" t="str">
        <f t="shared" ca="1" si="9"/>
        <v/>
      </c>
      <c r="V114" t="str">
        <f t="shared" si="10"/>
        <v/>
      </c>
      <c r="W114" s="7" t="str">
        <f t="shared" ca="1" si="11"/>
        <v/>
      </c>
      <c r="X114" s="57">
        <f t="shared" si="12"/>
        <v>-1</v>
      </c>
      <c r="Y114" s="58" t="str">
        <f t="shared" si="13"/>
        <v/>
      </c>
      <c r="Z114" s="60" t="str">
        <f t="shared" si="14"/>
        <v/>
      </c>
      <c r="AA114" s="60" t="str">
        <f t="shared" si="15"/>
        <v/>
      </c>
      <c r="AB114" s="59" t="str">
        <f t="shared" si="16"/>
        <v/>
      </c>
      <c r="AC114" s="60" t="str">
        <f t="shared" si="17"/>
        <v/>
      </c>
      <c r="AD114" s="60" t="str">
        <f t="shared" si="18"/>
        <v/>
      </c>
    </row>
    <row r="115" spans="3:30" x14ac:dyDescent="0.2">
      <c r="C115" s="6" cm="1">
        <f t="array" ref="C115">IF(C114=-1,-1,
      IF(C114&lt;income_max_row, C114+1,
          IF(C114=income_max_row, income_total_row,
              IF(C114=income_total_row, "/1",
                  IF(C114="/1", expenses_header_row,
                      IF(C114&lt;expenses_max_row, C114+1,
                          IF(C114=expenses_max_row, expenses_total_row,
                              IF(C114=expenses_total_row, "/2",
                                  IF(C114="/2", savings_header_row,
                                      IF(C114&lt;savings_max_row, C114+1,
                                          IF(C114=savings_max_row, savings_total_row, -1)))))))))))</f>
        <v>-1</v>
      </c>
      <c r="D115" s="7">
        <f t="shared" si="0"/>
        <v>-1</v>
      </c>
      <c r="E115" s="6" cm="1">
        <f t="array" ref="E115">1*OR(row_id=income_header_row, row_id=expenses_header_row, row_id=savings_header_row)</f>
        <v>0</v>
      </c>
      <c r="F115">
        <f t="shared" si="1"/>
        <v>0</v>
      </c>
      <c r="G115" cm="1">
        <f t="array" ref="G115">1*OR(row_id=income_total_row, row_id=expenses_total_row, row_id=savings_total_row)</f>
        <v>0</v>
      </c>
      <c r="H115" s="7">
        <f t="shared" si="2"/>
        <v>1</v>
      </c>
      <c r="I115" s="6" t="str" cm="1">
        <f t="array" ref="I115">IFERROR(INDEX('Budget Planning'!$C:$C, header_row_id),"")</f>
        <v/>
      </c>
      <c r="J115" t="str" cm="1">
        <f t="array" ref="J115">IFERROR(INDEX('Budget Planning'!$C:$C, row_id),"")</f>
        <v/>
      </c>
      <c r="K115" s="54" t="str" cm="1">
        <f t="array" ref="K115">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5" s="55" t="str" cm="1">
        <f t="array" ref="L115">IF(OR(is_header, is_empty), "",
      INDEX('Budget Planning'!$E:$EM, row_id,
                  MATCH(IF(selected_period="Total Year", selected_year, DATE(selected_year, selected_period, 1)), 'Budget Planning'!$E$9:$EM$9, 0)  ))</f>
        <v/>
      </c>
      <c r="M115" s="6" t="str" cm="1">
        <f t="array" ref="M115">IF(is_cat,
       IF(header_row_id=income_header_row, MATCH(income_min_row, $C:$C, 0),
           IF(header_row_id=expenses_header_row, MATCH(expenses_min_row, $C:$C, 0),
               IF(header_row_id=savings_header_row, MATCH(savings_min_row, $C:$C, 0),""))), "")</f>
        <v/>
      </c>
      <c r="N115" s="7" t="str" cm="1">
        <f t="array" ref="N115">IF(is_cat,
       IF(header_row_id=income_header_row, MATCH(income_max_row, $C:$C, 0),
           IF(header_row_id=expenses_header_row, MATCH(expenses_max_row, $C:$C, 0),
               IF(header_row_id=savings_header_row, MATCH(savings_max_row, $C:$C, 0),""))), "")</f>
        <v/>
      </c>
      <c r="O115" s="6" t="str">
        <f t="shared" si="3"/>
        <v/>
      </c>
      <c r="P115" t="str">
        <f t="shared" ca="1" si="4"/>
        <v/>
      </c>
      <c r="Q115" t="str">
        <f t="shared" si="5"/>
        <v/>
      </c>
      <c r="R115" s="7" t="str">
        <f t="shared" ca="1" si="6"/>
        <v/>
      </c>
      <c r="S115" s="6" t="str">
        <f t="shared" si="21"/>
        <v/>
      </c>
      <c r="T115" t="str">
        <f t="shared" si="8"/>
        <v/>
      </c>
      <c r="U115" t="str">
        <f t="shared" ca="1" si="9"/>
        <v/>
      </c>
      <c r="V115" t="str">
        <f t="shared" si="10"/>
        <v/>
      </c>
      <c r="W115" s="7" t="str">
        <f t="shared" ca="1" si="11"/>
        <v/>
      </c>
      <c r="X115" s="57">
        <f t="shared" si="12"/>
        <v>-1</v>
      </c>
      <c r="Y115" s="58" t="str">
        <f t="shared" si="13"/>
        <v/>
      </c>
      <c r="Z115" s="60" t="str">
        <f t="shared" si="14"/>
        <v/>
      </c>
      <c r="AA115" s="60" t="str">
        <f t="shared" si="15"/>
        <v/>
      </c>
      <c r="AB115" s="59" t="str">
        <f t="shared" si="16"/>
        <v/>
      </c>
      <c r="AC115" s="60" t="str">
        <f t="shared" si="17"/>
        <v/>
      </c>
      <c r="AD115" s="60" t="str">
        <f t="shared" si="18"/>
        <v/>
      </c>
    </row>
    <row r="116" spans="3:30" x14ac:dyDescent="0.2">
      <c r="C116" s="6" cm="1">
        <f t="array" ref="C116">IF(C115=-1,-1,
      IF(C115&lt;income_max_row, C115+1,
          IF(C115=income_max_row, income_total_row,
              IF(C115=income_total_row, "/1",
                  IF(C115="/1", expenses_header_row,
                      IF(C115&lt;expenses_max_row, C115+1,
                          IF(C115=expenses_max_row, expenses_total_row,
                              IF(C115=expenses_total_row, "/2",
                                  IF(C115="/2", savings_header_row,
                                      IF(C115&lt;savings_max_row, C115+1,
                                          IF(C115=savings_max_row, savings_total_row, -1)))))))))))</f>
        <v>-1</v>
      </c>
      <c r="D116" s="7">
        <f t="shared" si="0"/>
        <v>-1</v>
      </c>
      <c r="E116" s="6" cm="1">
        <f t="array" ref="E116">1*OR(row_id=income_header_row, row_id=expenses_header_row, row_id=savings_header_row)</f>
        <v>0</v>
      </c>
      <c r="F116">
        <f t="shared" si="1"/>
        <v>0</v>
      </c>
      <c r="G116" cm="1">
        <f t="array" ref="G116">1*OR(row_id=income_total_row, row_id=expenses_total_row, row_id=savings_total_row)</f>
        <v>0</v>
      </c>
      <c r="H116" s="7">
        <f t="shared" si="2"/>
        <v>1</v>
      </c>
      <c r="I116" s="6" t="str" cm="1">
        <f t="array" ref="I116">IFERROR(INDEX('Budget Planning'!$C:$C, header_row_id),"")</f>
        <v/>
      </c>
      <c r="J116" t="str" cm="1">
        <f t="array" ref="J116">IFERROR(INDEX('Budget Planning'!$C:$C, row_id),"")</f>
        <v/>
      </c>
      <c r="K116" s="54" t="str" cm="1">
        <f t="array" ref="K116">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6" s="55" t="str" cm="1">
        <f t="array" ref="L116">IF(OR(is_header, is_empty), "",
      INDEX('Budget Planning'!$E:$EM, row_id,
                  MATCH(IF(selected_period="Total Year", selected_year, DATE(selected_year, selected_period, 1)), 'Budget Planning'!$E$9:$EM$9, 0)  ))</f>
        <v/>
      </c>
      <c r="M116" s="6" t="str" cm="1">
        <f t="array" ref="M116">IF(is_cat,
       IF(header_row_id=income_header_row, MATCH(income_min_row, $C:$C, 0),
           IF(header_row_id=expenses_header_row, MATCH(expenses_min_row, $C:$C, 0),
               IF(header_row_id=savings_header_row, MATCH(savings_min_row, $C:$C, 0),""))), "")</f>
        <v/>
      </c>
      <c r="N116" s="7" t="str" cm="1">
        <f t="array" ref="N116">IF(is_cat,
       IF(header_row_id=income_header_row, MATCH(income_max_row, $C:$C, 0),
           IF(header_row_id=expenses_header_row, MATCH(expenses_max_row, $C:$C, 0),
               IF(header_row_id=savings_header_row, MATCH(savings_max_row, $C:$C, 0),""))), "")</f>
        <v/>
      </c>
      <c r="O116" s="6" t="str">
        <f t="shared" si="3"/>
        <v/>
      </c>
      <c r="P116" t="str">
        <f t="shared" ca="1" si="4"/>
        <v/>
      </c>
      <c r="Q116" t="str">
        <f t="shared" si="5"/>
        <v/>
      </c>
      <c r="R116" s="7" t="str">
        <f t="shared" ca="1" si="6"/>
        <v/>
      </c>
      <c r="S116" s="6" t="str">
        <f t="shared" si="21"/>
        <v/>
      </c>
      <c r="T116" t="str">
        <f t="shared" si="8"/>
        <v/>
      </c>
      <c r="U116" t="str">
        <f t="shared" ca="1" si="9"/>
        <v/>
      </c>
      <c r="V116" t="str">
        <f t="shared" si="10"/>
        <v/>
      </c>
      <c r="W116" s="7" t="str">
        <f t="shared" ca="1" si="11"/>
        <v/>
      </c>
      <c r="X116" s="57">
        <f t="shared" si="12"/>
        <v>-1</v>
      </c>
      <c r="Y116" s="58" t="str">
        <f t="shared" si="13"/>
        <v/>
      </c>
      <c r="Z116" s="60" t="str">
        <f t="shared" si="14"/>
        <v/>
      </c>
      <c r="AA116" s="60" t="str">
        <f t="shared" si="15"/>
        <v/>
      </c>
      <c r="AB116" s="59" t="str">
        <f t="shared" si="16"/>
        <v/>
      </c>
      <c r="AC116" s="60" t="str">
        <f t="shared" si="17"/>
        <v/>
      </c>
      <c r="AD116" s="60" t="str">
        <f t="shared" si="18"/>
        <v/>
      </c>
    </row>
    <row r="117" spans="3:30" x14ac:dyDescent="0.2">
      <c r="C117" s="6" cm="1">
        <f t="array" ref="C117">IF(C116=-1,-1,
      IF(C116&lt;income_max_row, C116+1,
          IF(C116=income_max_row, income_total_row,
              IF(C116=income_total_row, "/1",
                  IF(C116="/1", expenses_header_row,
                      IF(C116&lt;expenses_max_row, C116+1,
                          IF(C116=expenses_max_row, expenses_total_row,
                              IF(C116=expenses_total_row, "/2",
                                  IF(C116="/2", savings_header_row,
                                      IF(C116&lt;savings_max_row, C116+1,
                                          IF(C116=savings_max_row, savings_total_row, -1)))))))))))</f>
        <v>-1</v>
      </c>
      <c r="D117" s="7">
        <f t="shared" si="0"/>
        <v>-1</v>
      </c>
      <c r="E117" s="6" cm="1">
        <f t="array" ref="E117">1*OR(row_id=income_header_row, row_id=expenses_header_row, row_id=savings_header_row)</f>
        <v>0</v>
      </c>
      <c r="F117">
        <f t="shared" si="1"/>
        <v>0</v>
      </c>
      <c r="G117" cm="1">
        <f t="array" ref="G117">1*OR(row_id=income_total_row, row_id=expenses_total_row, row_id=savings_total_row)</f>
        <v>0</v>
      </c>
      <c r="H117" s="7">
        <f t="shared" si="2"/>
        <v>1</v>
      </c>
      <c r="I117" s="6" t="str" cm="1">
        <f t="array" ref="I117">IFERROR(INDEX('Budget Planning'!$C:$C, header_row_id),"")</f>
        <v/>
      </c>
      <c r="J117" t="str" cm="1">
        <f t="array" ref="J117">IFERROR(INDEX('Budget Planning'!$C:$C, row_id),"")</f>
        <v/>
      </c>
      <c r="K117" s="54" t="str" cm="1">
        <f t="array" ref="K117">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7" s="55" t="str" cm="1">
        <f t="array" ref="L117">IF(OR(is_header, is_empty), "",
      INDEX('Budget Planning'!$E:$EM, row_id,
                  MATCH(IF(selected_period="Total Year", selected_year, DATE(selected_year, selected_period, 1)), 'Budget Planning'!$E$9:$EM$9, 0)  ))</f>
        <v/>
      </c>
      <c r="M117" s="6" t="str" cm="1">
        <f t="array" ref="M117">IF(is_cat,
       IF(header_row_id=income_header_row, MATCH(income_min_row, $C:$C, 0),
           IF(header_row_id=expenses_header_row, MATCH(expenses_min_row, $C:$C, 0),
               IF(header_row_id=savings_header_row, MATCH(savings_min_row, $C:$C, 0),""))), "")</f>
        <v/>
      </c>
      <c r="N117" s="7" t="str" cm="1">
        <f t="array" ref="N117">IF(is_cat,
       IF(header_row_id=income_header_row, MATCH(income_max_row, $C:$C, 0),
           IF(header_row_id=expenses_header_row, MATCH(expenses_max_row, $C:$C, 0),
               IF(header_row_id=savings_header_row, MATCH(savings_max_row, $C:$C, 0),""))), "")</f>
        <v/>
      </c>
      <c r="O117" s="6" t="str">
        <f t="shared" si="3"/>
        <v/>
      </c>
      <c r="P117" t="str">
        <f t="shared" ca="1" si="4"/>
        <v/>
      </c>
      <c r="Q117" t="str">
        <f t="shared" si="5"/>
        <v/>
      </c>
      <c r="R117" s="7" t="str">
        <f t="shared" ca="1" si="6"/>
        <v/>
      </c>
      <c r="S117" s="6" t="str">
        <f t="shared" si="21"/>
        <v/>
      </c>
      <c r="T117" t="str">
        <f t="shared" si="8"/>
        <v/>
      </c>
      <c r="U117" t="str">
        <f t="shared" ca="1" si="9"/>
        <v/>
      </c>
      <c r="V117" t="str">
        <f t="shared" si="10"/>
        <v/>
      </c>
      <c r="W117" s="7" t="str">
        <f t="shared" ca="1" si="11"/>
        <v/>
      </c>
      <c r="X117" s="57">
        <f t="shared" si="12"/>
        <v>-1</v>
      </c>
      <c r="Y117" s="58" t="str">
        <f t="shared" si="13"/>
        <v/>
      </c>
      <c r="Z117" s="60" t="str">
        <f t="shared" si="14"/>
        <v/>
      </c>
      <c r="AA117" s="60" t="str">
        <f t="shared" si="15"/>
        <v/>
      </c>
      <c r="AB117" s="59" t="str">
        <f t="shared" si="16"/>
        <v/>
      </c>
      <c r="AC117" s="60" t="str">
        <f t="shared" si="17"/>
        <v/>
      </c>
      <c r="AD117" s="60" t="str">
        <f t="shared" si="18"/>
        <v/>
      </c>
    </row>
    <row r="118" spans="3:30" x14ac:dyDescent="0.2">
      <c r="C118" s="6" cm="1">
        <f t="array" ref="C118">IF(C117=-1,-1,
      IF(C117&lt;income_max_row, C117+1,
          IF(C117=income_max_row, income_total_row,
              IF(C117=income_total_row, "/1",
                  IF(C117="/1", expenses_header_row,
                      IF(C117&lt;expenses_max_row, C117+1,
                          IF(C117=expenses_max_row, expenses_total_row,
                              IF(C117=expenses_total_row, "/2",
                                  IF(C117="/2", savings_header_row,
                                      IF(C117&lt;savings_max_row, C117+1,
                                          IF(C117=savings_max_row, savings_total_row, -1)))))))))))</f>
        <v>-1</v>
      </c>
      <c r="D118" s="7">
        <f t="shared" si="0"/>
        <v>-1</v>
      </c>
      <c r="E118" s="6" cm="1">
        <f t="array" ref="E118">1*OR(row_id=income_header_row, row_id=expenses_header_row, row_id=savings_header_row)</f>
        <v>0</v>
      </c>
      <c r="F118">
        <f t="shared" si="1"/>
        <v>0</v>
      </c>
      <c r="G118" cm="1">
        <f t="array" ref="G118">1*OR(row_id=income_total_row, row_id=expenses_total_row, row_id=savings_total_row)</f>
        <v>0</v>
      </c>
      <c r="H118" s="7">
        <f t="shared" si="2"/>
        <v>1</v>
      </c>
      <c r="I118" s="6" t="str" cm="1">
        <f t="array" ref="I118">IFERROR(INDEX('Budget Planning'!$C:$C, header_row_id),"")</f>
        <v/>
      </c>
      <c r="J118" t="str" cm="1">
        <f t="array" ref="J118">IFERROR(INDEX('Budget Planning'!$C:$C, row_id),"")</f>
        <v/>
      </c>
      <c r="K118" s="54" t="str" cm="1">
        <f t="array" ref="K118">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8" s="55" t="str" cm="1">
        <f t="array" ref="L118">IF(OR(is_header, is_empty), "",
      INDEX('Budget Planning'!$E:$EM, row_id,
                  MATCH(IF(selected_period="Total Year", selected_year, DATE(selected_year, selected_period, 1)), 'Budget Planning'!$E$9:$EM$9, 0)  ))</f>
        <v/>
      </c>
      <c r="M118" s="6" t="str" cm="1">
        <f t="array" ref="M118">IF(is_cat,
       IF(header_row_id=income_header_row, MATCH(income_min_row, $C:$C, 0),
           IF(header_row_id=expenses_header_row, MATCH(expenses_min_row, $C:$C, 0),
               IF(header_row_id=savings_header_row, MATCH(savings_min_row, $C:$C, 0),""))), "")</f>
        <v/>
      </c>
      <c r="N118" s="7" t="str" cm="1">
        <f t="array" ref="N118">IF(is_cat,
       IF(header_row_id=income_header_row, MATCH(income_max_row, $C:$C, 0),
           IF(header_row_id=expenses_header_row, MATCH(expenses_max_row, $C:$C, 0),
               IF(header_row_id=savings_header_row, MATCH(savings_max_row, $C:$C, 0),""))), "")</f>
        <v/>
      </c>
      <c r="O118" s="6" t="str">
        <f t="shared" si="3"/>
        <v/>
      </c>
      <c r="P118" t="str">
        <f t="shared" ca="1" si="4"/>
        <v/>
      </c>
      <c r="Q118" t="str">
        <f t="shared" si="5"/>
        <v/>
      </c>
      <c r="R118" s="7" t="str">
        <f t="shared" ca="1" si="6"/>
        <v/>
      </c>
      <c r="S118" s="6" t="str">
        <f t="shared" si="21"/>
        <v/>
      </c>
      <c r="T118" t="str">
        <f t="shared" si="8"/>
        <v/>
      </c>
      <c r="U118" t="str">
        <f t="shared" ca="1" si="9"/>
        <v/>
      </c>
      <c r="V118" t="str">
        <f t="shared" si="10"/>
        <v/>
      </c>
      <c r="W118" s="7" t="str">
        <f t="shared" ca="1" si="11"/>
        <v/>
      </c>
      <c r="X118" s="57">
        <f t="shared" si="12"/>
        <v>-1</v>
      </c>
      <c r="Y118" s="58" t="str">
        <f t="shared" si="13"/>
        <v/>
      </c>
      <c r="Z118" s="60" t="str">
        <f t="shared" si="14"/>
        <v/>
      </c>
      <c r="AA118" s="60" t="str">
        <f t="shared" si="15"/>
        <v/>
      </c>
      <c r="AB118" s="59" t="str">
        <f t="shared" si="16"/>
        <v/>
      </c>
      <c r="AC118" s="60" t="str">
        <f t="shared" si="17"/>
        <v/>
      </c>
      <c r="AD118" s="60" t="str">
        <f t="shared" si="18"/>
        <v/>
      </c>
    </row>
    <row r="119" spans="3:30" x14ac:dyDescent="0.2">
      <c r="C119" s="6" cm="1">
        <f t="array" ref="C119">IF(C118=-1,-1,
      IF(C118&lt;income_max_row, C118+1,
          IF(C118=income_max_row, income_total_row,
              IF(C118=income_total_row, "/1",
                  IF(C118="/1", expenses_header_row,
                      IF(C118&lt;expenses_max_row, C118+1,
                          IF(C118=expenses_max_row, expenses_total_row,
                              IF(C118=expenses_total_row, "/2",
                                  IF(C118="/2", savings_header_row,
                                      IF(C118&lt;savings_max_row, C118+1,
                                          IF(C118=savings_max_row, savings_total_row, -1)))))))))))</f>
        <v>-1</v>
      </c>
      <c r="D119" s="7">
        <f t="shared" si="0"/>
        <v>-1</v>
      </c>
      <c r="E119" s="6" cm="1">
        <f t="array" ref="E119">1*OR(row_id=income_header_row, row_id=expenses_header_row, row_id=savings_header_row)</f>
        <v>0</v>
      </c>
      <c r="F119">
        <f t="shared" si="1"/>
        <v>0</v>
      </c>
      <c r="G119" cm="1">
        <f t="array" ref="G119">1*OR(row_id=income_total_row, row_id=expenses_total_row, row_id=savings_total_row)</f>
        <v>0</v>
      </c>
      <c r="H119" s="7">
        <f t="shared" si="2"/>
        <v>1</v>
      </c>
      <c r="I119" s="6" t="str" cm="1">
        <f t="array" ref="I119">IFERROR(INDEX('Budget Planning'!$C:$C, header_row_id),"")</f>
        <v/>
      </c>
      <c r="J119" t="str" cm="1">
        <f t="array" ref="J119">IFERROR(INDEX('Budget Planning'!$C:$C, row_id),"")</f>
        <v/>
      </c>
      <c r="K119" s="54" t="str" cm="1">
        <f t="array" ref="K119">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19" s="55" t="str" cm="1">
        <f t="array" ref="L119">IF(OR(is_header, is_empty), "",
      INDEX('Budget Planning'!$E:$EM, row_id,
                  MATCH(IF(selected_period="Total Year", selected_year, DATE(selected_year, selected_period, 1)), 'Budget Planning'!$E$9:$EM$9, 0)  ))</f>
        <v/>
      </c>
      <c r="M119" s="6" t="str" cm="1">
        <f t="array" ref="M119">IF(is_cat,
       IF(header_row_id=income_header_row, MATCH(income_min_row, $C:$C, 0),
           IF(header_row_id=expenses_header_row, MATCH(expenses_min_row, $C:$C, 0),
               IF(header_row_id=savings_header_row, MATCH(savings_min_row, $C:$C, 0),""))), "")</f>
        <v/>
      </c>
      <c r="N119" s="7" t="str" cm="1">
        <f t="array" ref="N119">IF(is_cat,
       IF(header_row_id=income_header_row, MATCH(income_max_row, $C:$C, 0),
           IF(header_row_id=expenses_header_row, MATCH(expenses_max_row, $C:$C, 0),
               IF(header_row_id=savings_header_row, MATCH(savings_max_row, $C:$C, 0),""))), "")</f>
        <v/>
      </c>
      <c r="O119" s="6" t="str">
        <f t="shared" si="3"/>
        <v/>
      </c>
      <c r="P119" t="str">
        <f t="shared" ca="1" si="4"/>
        <v/>
      </c>
      <c r="Q119" t="str">
        <f t="shared" si="5"/>
        <v/>
      </c>
      <c r="R119" s="7" t="str">
        <f t="shared" ca="1" si="6"/>
        <v/>
      </c>
      <c r="S119" s="6" t="str">
        <f t="shared" si="21"/>
        <v/>
      </c>
      <c r="T119" t="str">
        <f t="shared" si="8"/>
        <v/>
      </c>
      <c r="U119" t="str">
        <f t="shared" ca="1" si="9"/>
        <v/>
      </c>
      <c r="V119" t="str">
        <f t="shared" si="10"/>
        <v/>
      </c>
      <c r="W119" s="7" t="str">
        <f t="shared" ca="1" si="11"/>
        <v/>
      </c>
      <c r="X119" s="57">
        <f t="shared" si="12"/>
        <v>-1</v>
      </c>
      <c r="Y119" s="58" t="str">
        <f t="shared" si="13"/>
        <v/>
      </c>
      <c r="Z119" s="60" t="str">
        <f t="shared" si="14"/>
        <v/>
      </c>
      <c r="AA119" s="60" t="str">
        <f t="shared" si="15"/>
        <v/>
      </c>
      <c r="AB119" s="59" t="str">
        <f t="shared" si="16"/>
        <v/>
      </c>
      <c r="AC119" s="60" t="str">
        <f t="shared" si="17"/>
        <v/>
      </c>
      <c r="AD119" s="60" t="str">
        <f t="shared" si="18"/>
        <v/>
      </c>
    </row>
    <row r="120" spans="3:30" x14ac:dyDescent="0.2">
      <c r="C120" s="6" cm="1">
        <f t="array" ref="C120">IF(C119=-1,-1,
      IF(C119&lt;income_max_row, C119+1,
          IF(C119=income_max_row, income_total_row,
              IF(C119=income_total_row, "/1",
                  IF(C119="/1", expenses_header_row,
                      IF(C119&lt;expenses_max_row, C119+1,
                          IF(C119=expenses_max_row, expenses_total_row,
                              IF(C119=expenses_total_row, "/2",
                                  IF(C119="/2", savings_header_row,
                                      IF(C119&lt;savings_max_row, C119+1,
                                          IF(C119=savings_max_row, savings_total_row, -1)))))))))))</f>
        <v>-1</v>
      </c>
      <c r="D120" s="7">
        <f t="shared" si="0"/>
        <v>-1</v>
      </c>
      <c r="E120" s="6" cm="1">
        <f t="array" ref="E120">1*OR(row_id=income_header_row, row_id=expenses_header_row, row_id=savings_header_row)</f>
        <v>0</v>
      </c>
      <c r="F120">
        <f t="shared" si="1"/>
        <v>0</v>
      </c>
      <c r="G120" cm="1">
        <f t="array" ref="G120">1*OR(row_id=income_total_row, row_id=expenses_total_row, row_id=savings_total_row)</f>
        <v>0</v>
      </c>
      <c r="H120" s="7">
        <f t="shared" si="2"/>
        <v>1</v>
      </c>
      <c r="I120" s="6" t="str" cm="1">
        <f t="array" ref="I120">IFERROR(INDEX('Budget Planning'!$C:$C, header_row_id),"")</f>
        <v/>
      </c>
      <c r="J120" t="str" cm="1">
        <f t="array" ref="J120">IFERROR(INDEX('Budget Planning'!$C:$C, row_id),"")</f>
        <v/>
      </c>
      <c r="K120" s="54" t="str" cm="1">
        <f t="array" ref="K120">IF(OR(is_header, is_empty), "",
      IF(is_total,
          IF(selected_period="Total Year",
              SUM( Tracking[Amount] * (Tracking[Type]=type) * (YEAR(Tracking[Effective Date])=selected_year) ),
              SUM( Tracking[Amount] * (Tracking[Type]=type) * (YEAR(Tracking[Effective Date])=selected_year) * (MONTH(Tracking[Effective Date])=selected_period) )),
          IF(selected_period="Total Year",
              SUM( Tracking[Amount] * (Tracking[Type]=type) * (Tracking[Category]=item) * (YEAR(Tracking[Effective Date])=selected_year) ),
              SUM( Tracking[Amount] * (Tracking[Type]=type) * (Tracking[Category]=item) * (YEAR(Tracking[Effective Date])=selected_year) * (MONTH(Tracking[Effective Date])=selected_period) ))
     )
  )</f>
        <v/>
      </c>
      <c r="L120" s="55" t="str" cm="1">
        <f t="array" ref="L120">IF(OR(is_header, is_empty), "",
      INDEX('Budget Planning'!$E:$EM, row_id,
                  MATCH(IF(selected_period="Total Year", selected_year, DATE(selected_year, selected_period, 1)), 'Budget Planning'!$E$9:$EM$9, 0)  ))</f>
        <v/>
      </c>
      <c r="M120" s="6" t="str" cm="1">
        <f t="array" ref="M120">IF(is_cat,
       IF(header_row_id=income_header_row, MATCH(income_min_row, $C:$C, 0),
           IF(header_row_id=expenses_header_row, MATCH(expenses_min_row, $C:$C, 0),
               IF(header_row_id=savings_header_row, MATCH(savings_min_row, $C:$C, 0),""))), "")</f>
        <v/>
      </c>
      <c r="N120" s="7" t="str" cm="1">
        <f t="array" ref="N120">IF(is_cat,
       IF(header_row_id=income_header_row, MATCH(income_max_row, $C:$C, 0),
           IF(header_row_id=expenses_header_row, MATCH(expenses_max_row, $C:$C, 0),
               IF(header_row_id=savings_header_row, MATCH(savings_max_row, $C:$C, 0),""))), "")</f>
        <v/>
      </c>
      <c r="O120" s="6" t="str">
        <f t="shared" si="3"/>
        <v/>
      </c>
      <c r="P120" t="str">
        <f t="shared" ca="1" si="4"/>
        <v/>
      </c>
      <c r="Q120" t="str">
        <f t="shared" si="5"/>
        <v/>
      </c>
      <c r="R120" s="7" t="str">
        <f t="shared" ca="1" si="6"/>
        <v/>
      </c>
      <c r="S120" s="6" t="str">
        <f t="shared" si="21"/>
        <v/>
      </c>
      <c r="T120" t="str">
        <f t="shared" si="8"/>
        <v/>
      </c>
      <c r="U120" t="str">
        <f t="shared" ca="1" si="9"/>
        <v/>
      </c>
      <c r="V120" t="str">
        <f t="shared" si="10"/>
        <v/>
      </c>
      <c r="W120" s="7" t="str">
        <f t="shared" ca="1" si="11"/>
        <v/>
      </c>
      <c r="X120" s="57">
        <f t="shared" si="12"/>
        <v>-1</v>
      </c>
      <c r="Y120" s="58" t="str">
        <f t="shared" si="13"/>
        <v/>
      </c>
      <c r="Z120" s="60" t="str">
        <f t="shared" si="14"/>
        <v/>
      </c>
      <c r="AA120" s="60" t="str">
        <f t="shared" si="15"/>
        <v/>
      </c>
      <c r="AB120" s="59" t="str">
        <f t="shared" si="16"/>
        <v/>
      </c>
      <c r="AC120" s="60" t="str">
        <f t="shared" si="17"/>
        <v/>
      </c>
      <c r="AD120" s="60" t="str">
        <f t="shared" si="18"/>
        <v/>
      </c>
    </row>
  </sheetData>
  <mergeCells count="8">
    <mergeCell ref="Y11:AD11"/>
    <mergeCell ref="AF11:AR11"/>
    <mergeCell ref="AQ5:AR5"/>
    <mergeCell ref="AQ6:AR6"/>
    <mergeCell ref="AN6:AP6"/>
    <mergeCell ref="AQ8:AR8"/>
    <mergeCell ref="AN9:AP9"/>
    <mergeCell ref="AQ9:AR9"/>
  </mergeCells>
  <conditionalFormatting sqref="Y13:AD120">
    <cfRule type="expression" dxfId="24" priority="19" stopIfTrue="1">
      <formula>row_id=income_header_row</formula>
    </cfRule>
    <cfRule type="expression" dxfId="23" priority="20" stopIfTrue="1">
      <formula>row_id=expenses_header_row</formula>
    </cfRule>
    <cfRule type="expression" dxfId="22" priority="21" stopIfTrue="1">
      <formula>row_id=savings_header_row</formula>
    </cfRule>
    <cfRule type="expression" dxfId="21" priority="22" stopIfTrue="1">
      <formula>is_total</formula>
    </cfRule>
  </conditionalFormatting>
  <conditionalFormatting sqref="AB13:AB120">
    <cfRule type="expression" dxfId="20" priority="23" stopIfTrue="1">
      <formula>AND(OR(is_cat, is_total), out_budget &gt; 0, out_percentage_completed &gt;= 1, header_row_id=income_header_row)</formula>
    </cfRule>
    <cfRule type="expression" dxfId="19" priority="24" stopIfTrue="1">
      <formula>AND(OR(is_cat, is_total), out_budget &gt; 0, out_percentage_completed &gt;= 1, header_row_id=expenses_header_row)</formula>
    </cfRule>
    <cfRule type="expression" dxfId="18" priority="25" stopIfTrue="1">
      <formula>AND(OR(is_cat, is_total), out_budget &gt; 0, out_percentage_completed &gt;= 1, header_row_id=savings_header_row)</formula>
    </cfRule>
    <cfRule type="dataBar" priority="26">
      <dataBar>
        <cfvo type="num" val="0"/>
        <cfvo type="num" val="1"/>
        <color theme="0" tint="-0.14999847407452621"/>
      </dataBar>
      <extLst>
        <ext xmlns:x14="http://schemas.microsoft.com/office/spreadsheetml/2009/9/main" uri="{B025F937-C7B1-47D3-B67F-A62EFF666E3E}">
          <x14:id>{D3603E73-040A-43F7-AE3B-13CB6B6FC638}</x14:id>
        </ext>
      </extLst>
    </cfRule>
  </conditionalFormatting>
  <conditionalFormatting sqref="AH16">
    <cfRule type="expression" dxfId="17" priority="13">
      <formula>AI16&lt;&gt;""</formula>
    </cfRule>
  </conditionalFormatting>
  <conditionalFormatting sqref="AH17">
    <cfRule type="expression" dxfId="16" priority="14">
      <formula>AI17&lt;&gt;""</formula>
    </cfRule>
  </conditionalFormatting>
  <conditionalFormatting sqref="AH18">
    <cfRule type="expression" dxfId="15" priority="15">
      <formula>AI18&lt;&gt;""</formula>
    </cfRule>
  </conditionalFormatting>
  <conditionalFormatting sqref="AH19">
    <cfRule type="expression" dxfId="14" priority="16">
      <formula>AI19&lt;&gt;""</formula>
    </cfRule>
  </conditionalFormatting>
  <conditionalFormatting sqref="AH20">
    <cfRule type="expression" dxfId="13" priority="17">
      <formula>AI20&lt;&gt;""</formula>
    </cfRule>
  </conditionalFormatting>
  <conditionalFormatting sqref="AH21">
    <cfRule type="expression" dxfId="12" priority="18">
      <formula>AI21&lt;&gt;""</formula>
    </cfRule>
  </conditionalFormatting>
  <conditionalFormatting sqref="AH29">
    <cfRule type="expression" dxfId="11" priority="7">
      <formula>AI29&lt;&gt;""</formula>
    </cfRule>
  </conditionalFormatting>
  <conditionalFormatting sqref="AH30">
    <cfRule type="expression" dxfId="10" priority="8">
      <formula>AI30&lt;&gt;""</formula>
    </cfRule>
  </conditionalFormatting>
  <conditionalFormatting sqref="AH31">
    <cfRule type="expression" dxfId="9" priority="9">
      <formula>AI31&lt;&gt;""</formula>
    </cfRule>
  </conditionalFormatting>
  <conditionalFormatting sqref="AH32">
    <cfRule type="expression" dxfId="8" priority="10">
      <formula>AI32&lt;&gt;""</formula>
    </cfRule>
  </conditionalFormatting>
  <conditionalFormatting sqref="AH33">
    <cfRule type="expression" dxfId="7" priority="11">
      <formula>AI33&lt;&gt;""</formula>
    </cfRule>
  </conditionalFormatting>
  <conditionalFormatting sqref="AH34">
    <cfRule type="expression" dxfId="6" priority="12">
      <formula>AI34&lt;&gt;""</formula>
    </cfRule>
  </conditionalFormatting>
  <conditionalFormatting sqref="AO29">
    <cfRule type="expression" dxfId="5" priority="1">
      <formula>AP29&lt;&gt;""</formula>
    </cfRule>
  </conditionalFormatting>
  <conditionalFormatting sqref="AO30">
    <cfRule type="expression" dxfId="4" priority="2">
      <formula>AP30&lt;&gt;""</formula>
    </cfRule>
  </conditionalFormatting>
  <conditionalFormatting sqref="AO31">
    <cfRule type="expression" dxfId="3" priority="3">
      <formula>AP31&lt;&gt;""</formula>
    </cfRule>
  </conditionalFormatting>
  <conditionalFormatting sqref="AO32">
    <cfRule type="expression" dxfId="2" priority="4">
      <formula>AP32&lt;&gt;""</formula>
    </cfRule>
  </conditionalFormatting>
  <conditionalFormatting sqref="AO33">
    <cfRule type="expression" dxfId="1" priority="5">
      <formula>AP33&lt;&gt;""</formula>
    </cfRule>
  </conditionalFormatting>
  <conditionalFormatting sqref="AO34">
    <cfRule type="expression" dxfId="0" priority="6">
      <formula>AP34&lt;&gt;""</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Check Box 2">
              <controlPr defaultSize="0" autoFill="0" autoLine="0" autoPict="0">
                <anchor moveWithCells="1">
                  <from>
                    <xdr:col>42</xdr:col>
                    <xdr:colOff>88900</xdr:colOff>
                    <xdr:row>12</xdr:row>
                    <xdr:rowOff>101600</xdr:rowOff>
                  </from>
                  <to>
                    <xdr:col>43</xdr:col>
                    <xdr:colOff>228600</xdr:colOff>
                    <xdr:row>13</xdr:row>
                    <xdr:rowOff>101600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42</xdr:col>
                    <xdr:colOff>88900</xdr:colOff>
                    <xdr:row>13</xdr:row>
                    <xdr:rowOff>63500</xdr:rowOff>
                  </from>
                  <to>
                    <xdr:col>43</xdr:col>
                    <xdr:colOff>228600</xdr:colOff>
                    <xdr:row>14</xdr:row>
                    <xdr:rowOff>63500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42</xdr:col>
                    <xdr:colOff>88900</xdr:colOff>
                    <xdr:row>14</xdr:row>
                    <xdr:rowOff>25400</xdr:rowOff>
                  </from>
                  <to>
                    <xdr:col>43</xdr:col>
                    <xdr:colOff>228600</xdr:colOff>
                    <xdr:row>15</xdr:row>
                    <xdr:rowOff>25400</xdr:rowOff>
                  </to>
                </anchor>
              </controlPr>
            </control>
          </mc:Choice>
        </mc:AlternateContent>
        <mc:AlternateContent xmlns:mc="http://schemas.openxmlformats.org/markup-compatibility/2006">
          <mc:Choice Requires="x14">
            <control shapeId="2053" r:id="rId7" name="Check Box 5">
              <controlPr defaultSize="0" autoFill="0" autoLine="0" autoPict="0">
                <anchor moveWithCells="1">
                  <from>
                    <xdr:col>41</xdr:col>
                    <xdr:colOff>482600</xdr:colOff>
                    <xdr:row>12</xdr:row>
                    <xdr:rowOff>101600</xdr:rowOff>
                  </from>
                  <to>
                    <xdr:col>42</xdr:col>
                    <xdr:colOff>139700</xdr:colOff>
                    <xdr:row>13</xdr:row>
                    <xdr:rowOff>101600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D3603E73-040A-43F7-AE3B-13CB6B6FC638}">
            <x14:dataBar minLength="0" maxLength="100" gradient="0">
              <x14:cfvo type="num">
                <xm:f>0</xm:f>
              </x14:cfvo>
              <x14:cfvo type="num">
                <xm:f>1</xm:f>
              </x14:cfvo>
              <x14:negativeFillColor rgb="FFFF0000"/>
              <x14:axisColor rgb="FF000000"/>
            </x14:dataBar>
          </x14:cfRule>
          <xm:sqref>AB13:AB120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96A53E6-6637-4A99-B34D-8A08DF71773D}">
          <x14:formula1>
            <xm:f>'Dropdown Data'!$C$8:$C$18</xm:f>
          </x14:formula1>
          <xm:sqref>AQ6:AR6</xm:sqref>
        </x14:dataValidation>
        <x14:dataValidation type="list" allowBlank="1" showInputMessage="1" showErrorMessage="1" xr:uid="{4F788209-A4D1-4F33-AC1E-FD27D22E0979}">
          <x14:formula1>
            <xm:f>'Dropdown Data'!$E$8:$E$21</xm:f>
          </x14:formula1>
          <xm:sqref>AQ9:AR9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2470-E7BF-4849-8BBE-F4AF752F85BE}">
  <dimension ref="A1:D8"/>
  <sheetViews>
    <sheetView zoomScale="150" zoomScaleNormal="150" workbookViewId="0">
      <selection activeCell="F7" sqref="F7"/>
    </sheetView>
  </sheetViews>
  <sheetFormatPr baseColWidth="10" defaultRowHeight="15" x14ac:dyDescent="0.2"/>
  <cols>
    <col min="1" max="1" width="34.6640625" customWidth="1"/>
    <col min="2" max="2" width="20.33203125" customWidth="1"/>
    <col min="4" max="4" width="15.5" customWidth="1"/>
  </cols>
  <sheetData>
    <row r="1" spans="1:4" x14ac:dyDescent="0.2">
      <c r="A1" t="s">
        <v>69</v>
      </c>
      <c r="B1" t="s">
        <v>71</v>
      </c>
      <c r="C1" t="s">
        <v>287</v>
      </c>
      <c r="D1" t="s">
        <v>328</v>
      </c>
    </row>
    <row r="2" spans="1:4" x14ac:dyDescent="0.2">
      <c r="A2" s="11" t="s">
        <v>286</v>
      </c>
      <c r="B2" s="97">
        <v>10000</v>
      </c>
      <c r="C2" t="s">
        <v>292</v>
      </c>
    </row>
    <row r="3" spans="1:4" x14ac:dyDescent="0.2">
      <c r="A3" s="11" t="s">
        <v>289</v>
      </c>
      <c r="B3" s="96" t="s">
        <v>290</v>
      </c>
      <c r="C3" t="s">
        <v>291</v>
      </c>
      <c r="D3" t="s">
        <v>330</v>
      </c>
    </row>
    <row r="4" spans="1:4" x14ac:dyDescent="0.2">
      <c r="A4" s="11" t="s">
        <v>64</v>
      </c>
      <c r="B4" s="98">
        <v>100</v>
      </c>
      <c r="C4" t="s">
        <v>291</v>
      </c>
      <c r="D4" t="s">
        <v>329</v>
      </c>
    </row>
    <row r="5" spans="1:4" x14ac:dyDescent="0.2">
      <c r="A5" s="11" t="s">
        <v>293</v>
      </c>
      <c r="B5" s="96" t="s">
        <v>294</v>
      </c>
      <c r="C5" t="s">
        <v>288</v>
      </c>
    </row>
    <row r="6" spans="1:4" x14ac:dyDescent="0.2">
      <c r="A6" s="11"/>
      <c r="B6" s="96"/>
    </row>
    <row r="7" spans="1:4" x14ac:dyDescent="0.2">
      <c r="A7" s="11"/>
      <c r="B7" s="96"/>
    </row>
    <row r="8" spans="1:4" x14ac:dyDescent="0.2">
      <c r="A8" s="11"/>
      <c r="B8" s="96"/>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1538-CC64-4503-B360-F46914869383}">
  <sheetPr>
    <tabColor theme="1"/>
  </sheetPr>
  <dimension ref="B1:R102"/>
  <sheetViews>
    <sheetView showGridLines="0" zoomScale="90" zoomScaleNormal="90" workbookViewId="0">
      <selection activeCell="E27" sqref="E27"/>
    </sheetView>
  </sheetViews>
  <sheetFormatPr baseColWidth="10" defaultColWidth="8.83203125" defaultRowHeight="15" x14ac:dyDescent="0.2"/>
  <cols>
    <col min="1" max="1" width="5.5" customWidth="1"/>
    <col min="2" max="2" width="2.83203125" customWidth="1"/>
    <col min="3" max="3" width="2.1640625" customWidth="1"/>
    <col min="4" max="4" width="23.83203125" bestFit="1" customWidth="1"/>
    <col min="5" max="5" width="33.6640625" bestFit="1" customWidth="1"/>
    <col min="6" max="6" width="12.33203125" customWidth="1"/>
    <col min="7" max="7" width="9.33203125" customWidth="1"/>
    <col min="8" max="8" width="23.83203125" customWidth="1"/>
    <col min="9" max="9" width="28.6640625" customWidth="1"/>
    <col min="10" max="10" width="8.83203125" customWidth="1"/>
    <col min="11" max="11" width="9.33203125" customWidth="1"/>
    <col min="12" max="12" width="23.83203125" customWidth="1"/>
    <col min="13" max="13" width="23.5" customWidth="1"/>
    <col min="14" max="14" width="13.1640625" customWidth="1"/>
    <col min="15" max="15" width="11.83203125" customWidth="1"/>
    <col min="16" max="16" width="23.5" customWidth="1"/>
    <col min="17" max="17" width="13.1640625" customWidth="1"/>
    <col min="18" max="18" width="11.83203125" customWidth="1"/>
  </cols>
  <sheetData>
    <row r="1" spans="2:6" s="3" customFormat="1" ht="7.25" customHeight="1" x14ac:dyDescent="0.2"/>
    <row r="2" spans="2:6" s="3" customFormat="1" ht="27.5" customHeight="1" x14ac:dyDescent="0.3">
      <c r="B2" s="4" t="s">
        <v>174</v>
      </c>
    </row>
    <row r="3" spans="2:6" s="3" customFormat="1" ht="7.25" customHeight="1" x14ac:dyDescent="0.2"/>
    <row r="6" spans="2:6" x14ac:dyDescent="0.2">
      <c r="C6" s="120" t="s">
        <v>175</v>
      </c>
      <c r="D6" s="120"/>
      <c r="E6" s="120"/>
      <c r="F6" s="120"/>
    </row>
    <row r="8" spans="2:6" x14ac:dyDescent="0.2">
      <c r="D8" s="11" t="s">
        <v>176</v>
      </c>
      <c r="E8" s="40" cm="1">
        <f t="array" aca="1" ref="E8" ca="1">current_date</f>
        <v>45959</v>
      </c>
    </row>
    <row r="9" spans="2:6" x14ac:dyDescent="0.2">
      <c r="D9" s="11" t="s">
        <v>177</v>
      </c>
      <c r="E9" s="40">
        <f>MAX(Tracking[Date])</f>
        <v>45959</v>
      </c>
    </row>
    <row r="10" spans="2:6" x14ac:dyDescent="0.2">
      <c r="D10" s="11" t="s">
        <v>178</v>
      </c>
      <c r="E10" t="str">
        <f ca="1">IF(E9=0, "", "(" &amp; _xlfn.DAYS(E8,E9) &amp; " days ago)")</f>
        <v>(0 days ago)</v>
      </c>
    </row>
    <row r="11" spans="2:6" x14ac:dyDescent="0.2">
      <c r="D11" s="11" t="s">
        <v>179</v>
      </c>
      <c r="E11">
        <f>COUNT(Tracking[Date])</f>
        <v>947</v>
      </c>
    </row>
    <row r="12" spans="2:6" x14ac:dyDescent="0.2">
      <c r="D12" s="11" t="s">
        <v>180</v>
      </c>
      <c r="E12" t="str" cm="1">
        <f t="array" aca="1" ref="E12" ca="1">"(" &amp; SUMPRODUCT(--(YEAR(Tracking[Date])=YEAR(current_date))) &amp; " this year)"</f>
        <v>(853 this year)</v>
      </c>
    </row>
    <row r="13" spans="2:6" x14ac:dyDescent="0.2">
      <c r="D13" s="11" t="s">
        <v>181</v>
      </c>
      <c r="E13" s="41">
        <f>_xlfn.IFNA(INDEX(Tracking[Balance], MATCH(Calculations!E9, Tracking[Date],0)), "-")</f>
        <v>-3718</v>
      </c>
    </row>
    <row r="14" spans="2:6" x14ac:dyDescent="0.2">
      <c r="D14" s="11" t="s">
        <v>182</v>
      </c>
      <c r="E14" t="str">
        <f>IF(E13&gt;=0, "of tracked income left to be allocated", "allocated not covered by income")</f>
        <v>allocated not covered by income</v>
      </c>
    </row>
    <row r="17" spans="3:14" x14ac:dyDescent="0.2">
      <c r="C17" s="120" t="s">
        <v>183</v>
      </c>
      <c r="D17" s="120"/>
      <c r="E17" s="120"/>
      <c r="F17" s="120"/>
    </row>
    <row r="19" spans="3:14" x14ac:dyDescent="0.2">
      <c r="D19" s="11" t="s">
        <v>184</v>
      </c>
      <c r="E19" cm="1">
        <f t="array" aca="1" ref="E19" ca="1">IF('Budget Dashboard'!$AQ$6="Current Year", YEAR(current_date), 'Budget Dashboard'!$AQ$6)</f>
        <v>2025</v>
      </c>
    </row>
    <row r="20" spans="3:14" x14ac:dyDescent="0.2">
      <c r="D20" s="48" t="s">
        <v>185</v>
      </c>
      <c r="E20" s="83" cm="1">
        <f t="array" aca="1" ref="E20" ca="1">IF('Budget Dashboard'!$AQ$9="Total Year", "Total Year",
       IF('Budget Dashboard'!$AQ$9="Current Month", MONTH(current_date),
       MONTH('Budget Dashboard'!$AQ$9)))</f>
        <v>10</v>
      </c>
    </row>
    <row r="21" spans="3:14" x14ac:dyDescent="0.2">
      <c r="D21" s="11" t="s">
        <v>186</v>
      </c>
      <c r="E21" s="49" t="str">
        <f ca="1">IF(selected_period="Total Year", "Total Year",
      TEXT(DATE(selected_year, selected_period,1), "mmmm"))</f>
        <v>October</v>
      </c>
    </row>
    <row r="22" spans="3:14" x14ac:dyDescent="0.2">
      <c r="D22" s="11" t="s">
        <v>187</v>
      </c>
      <c r="E22">
        <f ca="1">IF(selected_period="Total Year", DATE(selected_year, 12, 31) - DATE(selected_year-1, 12, 31), DAY(EOMONTH(DATE(selected_year, selected_period, 1), 0)))</f>
        <v>31</v>
      </c>
    </row>
    <row r="23" spans="3:14" x14ac:dyDescent="0.2">
      <c r="D23" s="11" t="s">
        <v>188</v>
      </c>
      <c r="E23" cm="1">
        <f t="array" aca="1" ref="E23" ca="1">IF(selected_year=YEAR(current_date),
      IF(selected_period="Total Year", current_date-DATE(selected_year-1, 12, 31),
          IF(selected_period=MONTH(current_date), DAY(current_date),
              IF(selected_period&lt;MONTH(current_date), E22, 0))),
      IF(selected_year&lt;YEAR(current_date), E22, 0))</f>
        <v>29</v>
      </c>
    </row>
    <row r="24" spans="3:14" x14ac:dyDescent="0.2">
      <c r="D24" s="11" t="s">
        <v>189</v>
      </c>
      <c r="E24" s="84">
        <f ca="1">E23/E22</f>
        <v>0.93548387096774188</v>
      </c>
    </row>
    <row r="25" spans="3:14" x14ac:dyDescent="0.2">
      <c r="D25" s="11" t="s">
        <v>190</v>
      </c>
      <c r="E25" s="53">
        <f ca="1">F41-(J41+N41)</f>
        <v>-6488</v>
      </c>
    </row>
    <row r="26" spans="3:14" x14ac:dyDescent="0.2">
      <c r="D26" s="11" t="s">
        <v>182</v>
      </c>
      <c r="E26" t="str">
        <f ca="1">IF(E25&gt;=0, "of tracked income left to be allocated", "allocated not covered by income")</f>
        <v>allocated not covered by income</v>
      </c>
    </row>
    <row r="27" spans="3:14" x14ac:dyDescent="0.2">
      <c r="D27" s="11" t="s">
        <v>191</v>
      </c>
      <c r="E27" s="85">
        <f ca="1">IFERROR(IF(savings_rate_calculation_type="% allocated to Savings", N41/F41, (F41-J41)/F41), "-")</f>
        <v>9.8113207547169817E-3</v>
      </c>
    </row>
    <row r="32" spans="3:14" x14ac:dyDescent="0.2">
      <c r="D32" s="65" t="s">
        <v>192</v>
      </c>
      <c r="E32" s="64"/>
      <c r="F32" s="64"/>
      <c r="G32" s="64"/>
      <c r="H32" s="64"/>
      <c r="I32" s="64"/>
      <c r="J32" s="64"/>
      <c r="K32" s="64"/>
      <c r="L32" s="64"/>
      <c r="M32" s="64"/>
      <c r="N32" s="64"/>
    </row>
    <row r="34" spans="4:14" x14ac:dyDescent="0.2">
      <c r="D34" s="66" t="s">
        <v>40</v>
      </c>
      <c r="E34" s="66" t="s">
        <v>70</v>
      </c>
      <c r="F34" s="66" t="s">
        <v>71</v>
      </c>
      <c r="H34" s="66" t="s">
        <v>47</v>
      </c>
      <c r="I34" s="66" t="s">
        <v>70</v>
      </c>
      <c r="J34" s="66" t="s">
        <v>71</v>
      </c>
      <c r="L34" s="66" t="s">
        <v>62</v>
      </c>
      <c r="M34" s="66" t="s">
        <v>70</v>
      </c>
      <c r="N34" s="66" t="s">
        <v>71</v>
      </c>
    </row>
    <row r="35" spans="4:14" x14ac:dyDescent="0.2">
      <c r="D35" s="67">
        <v>1</v>
      </c>
      <c r="E35" s="67" t="str" cm="1">
        <f t="array" aca="1" ref="E35" ca="1">IF(F35="", "", INDEX('Budget Dashboard'!$J:$J, MATCH(income_header_row + Calculations!D35, 'Budget Dashboard'!$X:$X, 0)))</f>
        <v>Salary Ivo</v>
      </c>
      <c r="F35" s="70" cm="1">
        <f t="array" aca="1" ref="F35" ca="1">IF(D35&gt;COUNTA(Income[]), "",
      IF(INDEX('Budget Dashboard'!$K:$K, MATCH(income_header_row + Calculations!D35, 'Budget Dashboard'!$X:$X, 0))=0, "",
          INDEX('Budget Dashboard'!$K:$K, MATCH(income_header_row + Calculations!D35, 'Budget Dashboard'!$X:$X, 0))))</f>
        <v>7700</v>
      </c>
      <c r="H35" s="67">
        <v>1</v>
      </c>
      <c r="I35" s="67" t="str" cm="1">
        <f t="array" aca="1" ref="I35" ca="1">IF(J35="", "", INDEX('Budget Dashboard'!$J:$J, MATCH(expenses_header_row + Calculations!H35, 'Budget Dashboard'!$X:$X, 0)))</f>
        <v>Home improvements</v>
      </c>
      <c r="J35" s="70" cm="1">
        <f t="array" aca="1" ref="J35" ca="1">IF(H35&gt;COUNTA(Expenses[]), "",
      IF(INDEX('Budget Dashboard'!$K:$K, MATCH(expenses_header_row + Calculations!H35, 'Budget Dashboard'!$X:$X, 0))=0, "",
          INDEX('Budget Dashboard'!$K:$K, MATCH(expenses_header_row + Calculations!H35, 'Budget Dashboard'!$X:$X, 0))))</f>
        <v>4198</v>
      </c>
      <c r="L35" s="67">
        <v>1</v>
      </c>
      <c r="M35" s="67" t="str" cm="1">
        <f t="array" aca="1" ref="M35" ca="1">IF(N35="", "", INDEX('Budget Dashboard'!$J:$J, MATCH(savings_header_row + Calculations!L35, 'Budget Dashboard'!$X:$X, 0)))</f>
        <v>Metlife</v>
      </c>
      <c r="N35" s="70" cm="1">
        <f t="array" aca="1" ref="N35" ca="1">IF(L35&gt;COUNTA(Savings[]), "",
      IF(INDEX('Budget Dashboard'!$K:$K, MATCH(savings_header_row + Calculations!L35, 'Budget Dashboard'!$X:$X, 0))=0, "",
          INDEX('Budget Dashboard'!$K:$K, MATCH(savings_header_row + Calculations!L35, 'Budget Dashboard'!$X:$X, 0))))</f>
        <v>78</v>
      </c>
    </row>
    <row r="36" spans="4:14" x14ac:dyDescent="0.2">
      <c r="D36" s="67">
        <v>2</v>
      </c>
      <c r="E36" s="67" t="str" cm="1">
        <f t="array" aca="1" ref="E36" ca="1">IF(F36="", "", INDEX('Budget Dashboard'!$J:$J, MATCH(income_header_row + Calculations!D36, 'Budget Dashboard'!$X:$X, 0)))</f>
        <v>Rent</v>
      </c>
      <c r="F36" s="70" cm="1">
        <f t="array" aca="1" ref="F36" ca="1">IF(D36&gt;COUNTA(Income[]), "",
      IF(INDEX('Budget Dashboard'!$K:$K, MATCH(income_header_row + Calculations!D36, 'Budget Dashboard'!$X:$X, 0))=0, "",
          INDEX('Budget Dashboard'!$K:$K, MATCH(income_header_row + Calculations!D36, 'Budget Dashboard'!$X:$X, 0))))</f>
        <v>250</v>
      </c>
      <c r="H36" s="67">
        <v>2</v>
      </c>
      <c r="I36" s="67" t="str" cm="1">
        <f t="array" aca="1" ref="I36" ca="1">IF(J36="", "", INDEX('Budget Dashboard'!$J:$J, MATCH(expenses_header_row + Calculations!H36, 'Budget Dashboard'!$X:$X, 0)))</f>
        <v>Medical</v>
      </c>
      <c r="J36" s="70" cm="1">
        <f t="array" aca="1" ref="J36" ca="1">IF(H36&gt;COUNTA(Expenses[]), "",
      IF(INDEX('Budget Dashboard'!$K:$K, MATCH(expenses_header_row + Calculations!H36, 'Budget Dashboard'!$X:$X, 0))=0, "",
          INDEX('Budget Dashboard'!$K:$K, MATCH(expenses_header_row + Calculations!H36, 'Budget Dashboard'!$X:$X, 0))))</f>
        <v>3717</v>
      </c>
      <c r="L36" s="67">
        <v>2</v>
      </c>
      <c r="M36" s="67" t="str" cm="1">
        <f t="array" aca="1" ref="M36" ca="1">IF(N36="", "", INDEX('Budget Dashboard'!$J:$J, MATCH(savings_header_row + Calculations!L36, 'Budget Dashboard'!$X:$X, 0)))</f>
        <v/>
      </c>
      <c r="N36" s="70" t="str" cm="1">
        <f t="array" aca="1" ref="N36" ca="1">IF(L36&gt;COUNTA(Savings[]), "",
      IF(INDEX('Budget Dashboard'!$K:$K, MATCH(savings_header_row + Calculations!L36, 'Budget Dashboard'!$X:$X, 0))=0, "",
          INDEX('Budget Dashboard'!$K:$K, MATCH(savings_header_row + Calculations!L36, 'Budget Dashboard'!$X:$X, 0))))</f>
        <v/>
      </c>
    </row>
    <row r="37" spans="4:14" x14ac:dyDescent="0.2">
      <c r="D37" s="67">
        <v>3</v>
      </c>
      <c r="E37" s="67" t="str" cm="1">
        <f t="array" aca="1" ref="E37" ca="1">IF(F37="", "", INDEX('Budget Dashboard'!$J:$J, MATCH(income_header_row + Calculations!D37, 'Budget Dashboard'!$X:$X, 0)))</f>
        <v/>
      </c>
      <c r="F37" s="70" t="str" cm="1">
        <f t="array" aca="1" ref="F37" ca="1">IF(D37&gt;COUNTA(Income[]), "",
      IF(INDEX('Budget Dashboard'!$K:$K, MATCH(income_header_row + Calculations!D37, 'Budget Dashboard'!$X:$X, 0))=0, "",
          INDEX('Budget Dashboard'!$K:$K, MATCH(income_header_row + Calculations!D37, 'Budget Dashboard'!$X:$X, 0))))</f>
        <v/>
      </c>
      <c r="H37" s="67">
        <v>3</v>
      </c>
      <c r="I37" s="67" t="str" cm="1">
        <f t="array" aca="1" ref="I37" ca="1">IF(J37="", "", INDEX('Budget Dashboard'!$J:$J, MATCH(expenses_header_row + Calculations!H37, 'Budget Dashboard'!$X:$X, 0)))</f>
        <v>Mortgage</v>
      </c>
      <c r="J37" s="70" cm="1">
        <f t="array" aca="1" ref="J37" ca="1">IF(H37&gt;COUNTA(Expenses[]), "",
      IF(INDEX('Budget Dashboard'!$K:$K, MATCH(expenses_header_row + Calculations!H37, 'Budget Dashboard'!$X:$X, 0))=0, "",
          INDEX('Budget Dashboard'!$K:$K, MATCH(expenses_header_row + Calculations!H37, 'Budget Dashboard'!$X:$X, 0))))</f>
        <v>3215</v>
      </c>
      <c r="L37" s="67">
        <v>3</v>
      </c>
      <c r="M37" s="67" t="str" cm="1">
        <f t="array" aca="1" ref="M37" ca="1">IF(N37="", "", INDEX('Budget Dashboard'!$J:$J, MATCH(savings_header_row + Calculations!L37, 'Budget Dashboard'!$X:$X, 0)))</f>
        <v/>
      </c>
      <c r="N37" s="70" t="str" cm="1">
        <f t="array" aca="1" ref="N37" ca="1">IF(L37&gt;COUNTA(Savings[]), "",
      IF(INDEX('Budget Dashboard'!$K:$K, MATCH(savings_header_row + Calculations!L37, 'Budget Dashboard'!$X:$X, 0))=0, "",
          INDEX('Budget Dashboard'!$K:$K, MATCH(savings_header_row + Calculations!L37, 'Budget Dashboard'!$X:$X, 0))))</f>
        <v/>
      </c>
    </row>
    <row r="38" spans="4:14" x14ac:dyDescent="0.2">
      <c r="D38" s="67">
        <v>4</v>
      </c>
      <c r="E38" s="67" t="str" cm="1">
        <f t="array" aca="1" ref="E38" ca="1">IF(F38="", "", INDEX('Budget Dashboard'!$J:$J, MATCH(income_header_row + Calculations!D38, 'Budget Dashboard'!$X:$X, 0)))</f>
        <v/>
      </c>
      <c r="F38" s="70" t="str" cm="1">
        <f t="array" aca="1" ref="F38" ca="1">IF(D38&gt;COUNTA(Income[]), "",
      IF(INDEX('Budget Dashboard'!$K:$K, MATCH(income_header_row + Calculations!D38, 'Budget Dashboard'!$X:$X, 0))=0, "",
          INDEX('Budget Dashboard'!$K:$K, MATCH(income_header_row + Calculations!D38, 'Budget Dashboard'!$X:$X, 0))))</f>
        <v/>
      </c>
      <c r="H38" s="67">
        <v>4</v>
      </c>
      <c r="I38" s="67" t="str" cm="1">
        <f t="array" aca="1" ref="I38" ca="1">IF(J38="", "", INDEX('Budget Dashboard'!$J:$J, MATCH(expenses_header_row + Calculations!H38, 'Budget Dashboard'!$X:$X, 0)))</f>
        <v>Groceries</v>
      </c>
      <c r="J38" s="70" cm="1">
        <f t="array" aca="1" ref="J38" ca="1">IF(H38&gt;COUNTA(Expenses[]), "",
      IF(INDEX('Budget Dashboard'!$K:$K, MATCH(expenses_header_row + Calculations!H38, 'Budget Dashboard'!$X:$X, 0))=0, "",
          INDEX('Budget Dashboard'!$K:$K, MATCH(expenses_header_row + Calculations!H38, 'Budget Dashboard'!$X:$X, 0))))</f>
        <v>634</v>
      </c>
      <c r="L38" s="67">
        <v>4</v>
      </c>
      <c r="M38" s="67" t="str" cm="1">
        <f t="array" aca="1" ref="M38" ca="1">IF(N38="", "", INDEX('Budget Dashboard'!$J:$J, MATCH(savings_header_row + Calculations!L38, 'Budget Dashboard'!$X:$X, 0)))</f>
        <v/>
      </c>
      <c r="N38" s="70" t="str" cm="1">
        <f t="array" aca="1" ref="N38" ca="1">IF(L38&gt;COUNTA(Savings[]), "",
      IF(INDEX('Budget Dashboard'!$K:$K, MATCH(savings_header_row + Calculations!L38, 'Budget Dashboard'!$X:$X, 0))=0, "",
          INDEX('Budget Dashboard'!$K:$K, MATCH(savings_header_row + Calculations!L38, 'Budget Dashboard'!$X:$X, 0))))</f>
        <v/>
      </c>
    </row>
    <row r="39" spans="4:14" x14ac:dyDescent="0.2">
      <c r="D39" s="67">
        <v>5</v>
      </c>
      <c r="E39" s="67" t="str" cm="1">
        <f t="array" ref="E39">IF(F39="", "", INDEX('Budget Dashboard'!$J:$J, MATCH(income_header_row + Calculations!D39, 'Budget Dashboard'!$X:$X, 0)))</f>
        <v/>
      </c>
      <c r="F39" s="70" t="str" cm="1">
        <f t="array" ref="F39">IF(D39&gt;COUNTA(Income[]), "",
      IF(INDEX('Budget Dashboard'!$K:$K, MATCH(income_header_row + Calculations!D39, 'Budget Dashboard'!$X:$X, 0))=0, "",
          INDEX('Budget Dashboard'!$K:$K, MATCH(income_header_row + Calculations!D39, 'Budget Dashboard'!$X:$X, 0))))</f>
        <v/>
      </c>
      <c r="H39" s="67">
        <v>5</v>
      </c>
      <c r="I39" s="67" t="str" cm="1">
        <f t="array" aca="1" ref="I39" ca="1">IF(J39="", "", INDEX('Budget Dashboard'!$J:$J, MATCH(expenses_header_row + Calculations!H39, 'Budget Dashboard'!$X:$X, 0)))</f>
        <v>Baby</v>
      </c>
      <c r="J39" s="70" cm="1">
        <f t="array" aca="1" ref="J39" ca="1">IF(H39&gt;COUNTA(Expenses[]), "",
      IF(INDEX('Budget Dashboard'!$K:$K, MATCH(expenses_header_row + Calculations!H39, 'Budget Dashboard'!$X:$X, 0))=0, "",
          INDEX('Budget Dashboard'!$K:$K, MATCH(expenses_header_row + Calculations!H39, 'Budget Dashboard'!$X:$X, 0))))</f>
        <v>614</v>
      </c>
      <c r="L39" s="67">
        <v>5</v>
      </c>
      <c r="M39" s="67" t="str" cm="1">
        <f t="array" ref="M39">IF(N39="", "", INDEX('Budget Dashboard'!$J:$J, MATCH(savings_header_row + Calculations!L39, 'Budget Dashboard'!$X:$X, 0)))</f>
        <v/>
      </c>
      <c r="N39" s="70" t="str" cm="1">
        <f t="array" ref="N39">IF(L39&gt;COUNTA(Savings[]), "",
      IF(INDEX('Budget Dashboard'!$K:$K, MATCH(savings_header_row + Calculations!L39, 'Budget Dashboard'!$X:$X, 0))=0, "",
          INDEX('Budget Dashboard'!$K:$K, MATCH(savings_header_row + Calculations!L39, 'Budget Dashboard'!$X:$X, 0))))</f>
        <v/>
      </c>
    </row>
    <row r="40" spans="4:14" ht="16" thickBot="1" x14ac:dyDescent="0.25">
      <c r="D40" s="68">
        <v>6</v>
      </c>
      <c r="E40" s="68" t="str">
        <f ca="1">IF(F40="", "", "Other")</f>
        <v/>
      </c>
      <c r="F40" s="71" t="str">
        <f ca="1">IF(F41-SUM(F35:F39)=0, "", F41-SUM(F35:F39))</f>
        <v/>
      </c>
      <c r="H40" s="68">
        <v>6</v>
      </c>
      <c r="I40" s="68" t="str">
        <f ca="1">IF(J40="", "", "Other")</f>
        <v>Other</v>
      </c>
      <c r="J40" s="71">
        <f ca="1">IF(J41-SUM(J35:J39)=0, "", J41-SUM(J35:J39))</f>
        <v>1982</v>
      </c>
      <c r="L40" s="68">
        <v>6</v>
      </c>
      <c r="M40" s="68" t="str">
        <f ca="1">IF(N40="", "", "Other")</f>
        <v/>
      </c>
      <c r="N40" s="71" t="str">
        <f ca="1">IF(N41-SUM(N35:N39)=0, "", N41-SUM(N35:N39))</f>
        <v/>
      </c>
    </row>
    <row r="41" spans="4:14" ht="16" thickTop="1" x14ac:dyDescent="0.2">
      <c r="D41" s="67"/>
      <c r="E41" s="69" t="s">
        <v>46</v>
      </c>
      <c r="F41" s="72" cm="1">
        <f t="array" aca="1" ref="F41" ca="1">INDEX('Budget Dashboard'!$K:$K, MATCH(income_total_row, 'Budget Dashboard'!$X:$X, 0))</f>
        <v>7950</v>
      </c>
      <c r="H41" s="67"/>
      <c r="I41" s="69" t="s">
        <v>46</v>
      </c>
      <c r="J41" s="72" cm="1">
        <f t="array" aca="1" ref="J41" ca="1">INDEX('Budget Dashboard'!$K:$K, MATCH(expenses_total_row, 'Budget Dashboard'!$X:$X, 0))</f>
        <v>14360</v>
      </c>
      <c r="L41" s="67"/>
      <c r="M41" s="69" t="s">
        <v>46</v>
      </c>
      <c r="N41" s="72" cm="1">
        <f t="array" aca="1" ref="N41" ca="1">INDEX('Budget Dashboard'!$K:$K, MATCH(savings_total_row, 'Budget Dashboard'!$X:$X, 0))</f>
        <v>78</v>
      </c>
    </row>
    <row r="47" spans="4:14" x14ac:dyDescent="0.2">
      <c r="D47" s="65" t="s">
        <v>193</v>
      </c>
      <c r="E47" s="64"/>
      <c r="F47" s="64"/>
      <c r="G47" s="64"/>
      <c r="H47" s="64"/>
      <c r="I47" s="64"/>
      <c r="J47" s="64"/>
      <c r="K47" s="64"/>
      <c r="L47" s="64"/>
      <c r="M47" s="64"/>
      <c r="N47" s="64"/>
    </row>
    <row r="49" spans="4:18" x14ac:dyDescent="0.2">
      <c r="D49" s="80" t="s">
        <v>194</v>
      </c>
      <c r="E49" s="81" t="b">
        <v>1</v>
      </c>
    </row>
    <row r="50" spans="4:18" x14ac:dyDescent="0.2">
      <c r="D50" s="80" t="s">
        <v>195</v>
      </c>
      <c r="E50" s="81" t="b">
        <v>1</v>
      </c>
    </row>
    <row r="51" spans="4:18" x14ac:dyDescent="0.2">
      <c r="D51" s="80" t="s">
        <v>196</v>
      </c>
      <c r="E51" s="81" t="b">
        <v>1</v>
      </c>
    </row>
    <row r="52" spans="4:18" x14ac:dyDescent="0.2">
      <c r="D52" s="80" t="s">
        <v>197</v>
      </c>
      <c r="E52" s="81" t="b">
        <v>1</v>
      </c>
    </row>
    <row r="53" spans="4:18" x14ac:dyDescent="0.2">
      <c r="M53" s="111" t="s">
        <v>198</v>
      </c>
      <c r="N53" s="111"/>
      <c r="O53" s="111"/>
      <c r="P53" s="121" t="s">
        <v>199</v>
      </c>
      <c r="Q53" s="121"/>
      <c r="R53" s="121"/>
    </row>
    <row r="54" spans="4:18" s="69" customFormat="1" x14ac:dyDescent="0.2">
      <c r="D54" s="66" t="s">
        <v>200</v>
      </c>
      <c r="E54" s="66" t="s">
        <v>69</v>
      </c>
      <c r="F54" s="66" t="s">
        <v>201</v>
      </c>
      <c r="G54" s="66" t="s">
        <v>202</v>
      </c>
      <c r="H54" s="66" t="s">
        <v>203</v>
      </c>
      <c r="I54" s="66" t="s">
        <v>204</v>
      </c>
      <c r="J54" s="66" t="s">
        <v>205</v>
      </c>
      <c r="K54" s="66" t="s">
        <v>206</v>
      </c>
      <c r="L54" s="66" t="s">
        <v>207</v>
      </c>
      <c r="M54" s="66" t="s">
        <v>208</v>
      </c>
      <c r="N54" s="66" t="s">
        <v>209</v>
      </c>
      <c r="O54" s="66" t="s">
        <v>210</v>
      </c>
      <c r="P54" s="66" t="s">
        <v>208</v>
      </c>
      <c r="Q54" s="66" t="s">
        <v>209</v>
      </c>
      <c r="R54" s="66" t="s">
        <v>210</v>
      </c>
    </row>
    <row r="55" spans="4:18" x14ac:dyDescent="0.2">
      <c r="D55" s="118">
        <f ca="1">DATE(selected_year, 1, 1)</f>
        <v>45658</v>
      </c>
      <c r="E55" s="67" t="s">
        <v>40</v>
      </c>
      <c r="F55" s="67">
        <f ca="1">MONTH(D55)</f>
        <v>1</v>
      </c>
      <c r="G55" s="67">
        <f ca="1">IF(selected_period="Total Year", 1, IF(selected_period=cc_month_number, 1, 0))</f>
        <v>0</v>
      </c>
      <c r="H55" s="67">
        <f>1*$E$49</f>
        <v>1</v>
      </c>
      <c r="I55" s="67">
        <f>1*$E$52</f>
        <v>1</v>
      </c>
      <c r="J55" s="79" cm="1">
        <f t="array" aca="1" ref="J55" ca="1">SUM( Tracking[Amount] * (Tracking[Type]=cc_type) * (YEAR(Tracking[Effective Date])=selected_year) * (MONTH(Tracking[Effective Date])=cc_month_number) )</f>
        <v>8050</v>
      </c>
      <c r="K55" s="79" cm="1">
        <f t="array" aca="1" ref="K55" ca="1">INDEX('Budget Planning'!$E:$EM, income_total_row, MATCH(DATE(selected_year, cc_month_number, 1), 'Budget Planning'!$E$9:$EM$9, 0)  )</f>
        <v>7750</v>
      </c>
      <c r="L55" s="79">
        <f ca="1">cc_budget-cc_tracked</f>
        <v>-300</v>
      </c>
      <c r="M55" s="41">
        <f ca="1">cc_in_focus * cc_show_type * MIN(cc_tracked, cc_budget)</f>
        <v>0</v>
      </c>
      <c r="N55" s="41">
        <f ca="1">cc_in_focus * cc_show_type * cc_show_remaining_budget * IF(cc_delta&gt;0, cc_delta, 0)</f>
        <v>0</v>
      </c>
      <c r="O55" s="79">
        <f ca="1">cc_in_focus * cc_show_type * IF(cc_delta&lt;0, ABS(cc_delta), 0)</f>
        <v>0</v>
      </c>
      <c r="P55" s="41">
        <f ca="1">NOT(cc_in_focus) * cc_show_type * MIN(cc_tracked, cc_budget)</f>
        <v>7750</v>
      </c>
      <c r="Q55" s="41">
        <f ca="1">NOT(cc_in_focus) * cc_show_type * cc_show_remaining_budget * IF(cc_delta&gt;0, cc_delta, 0)</f>
        <v>0</v>
      </c>
      <c r="R55" s="79">
        <f ca="1">NOT(cc_in_focus) * cc_show_type * IF(cc_delta&lt;0, ABS(cc_delta), 0)</f>
        <v>300</v>
      </c>
    </row>
    <row r="56" spans="4:18" x14ac:dyDescent="0.2">
      <c r="D56" s="118"/>
      <c r="E56" s="67" t="s">
        <v>47</v>
      </c>
      <c r="F56" s="67">
        <f ca="1">MONTH(D55)</f>
        <v>1</v>
      </c>
      <c r="G56" s="67">
        <f ca="1">IF(selected_period="Total Year", 1, IF(selected_period=cc_month_number, 1, 0))</f>
        <v>0</v>
      </c>
      <c r="H56" s="67">
        <f>1*$E$50</f>
        <v>1</v>
      </c>
      <c r="I56" s="67">
        <f t="shared" ref="I56:I57" si="0">1*$E$52</f>
        <v>1</v>
      </c>
      <c r="J56" s="79" cm="1">
        <f t="array" aca="1" ref="J56" ca="1">SUM( Tracking[Amount] * (Tracking[Type]=cc_type) * (YEAR(Tracking[Effective Date])=selected_year) * (MONTH(Tracking[Effective Date])=cc_month_number) )</f>
        <v>7313</v>
      </c>
      <c r="K56" s="79" cm="1">
        <f t="array" aca="1" ref="K56" ca="1">INDEX('Budget Planning'!$E:$EM, expenses_total_row, MATCH(DATE(selected_year, cc_month_number, 1), 'Budget Planning'!$E$9:$EM$9, 0)  )</f>
        <v>6365</v>
      </c>
      <c r="L56" s="79">
        <f ca="1">cc_budget-cc_tracked</f>
        <v>-948</v>
      </c>
      <c r="M56" s="41">
        <f ca="1">cc_in_focus * cc_show_type * MIN(cc_tracked, cc_budget)</f>
        <v>0</v>
      </c>
      <c r="N56" s="41">
        <f ca="1">cc_in_focus * cc_show_type * cc_show_remaining_budget * IF(cc_delta&gt;0, cc_delta, 0)</f>
        <v>0</v>
      </c>
      <c r="O56" s="79">
        <f ca="1">cc_in_focus * cc_show_type * IF(cc_delta&lt;0, ABS(cc_delta), 0)</f>
        <v>0</v>
      </c>
      <c r="P56" s="41">
        <f ca="1">NOT(cc_in_focus) * cc_show_type * MIN(cc_tracked, cc_budget)</f>
        <v>6365</v>
      </c>
      <c r="Q56" s="41">
        <f ca="1">NOT(cc_in_focus) * cc_show_type * cc_show_remaining_budget * IF(cc_delta&gt;0, cc_delta, 0)</f>
        <v>0</v>
      </c>
      <c r="R56" s="79">
        <f ca="1">NOT(cc_in_focus) * cc_show_type * IF(cc_delta&lt;0, ABS(cc_delta), 0)</f>
        <v>948</v>
      </c>
    </row>
    <row r="57" spans="4:18" x14ac:dyDescent="0.2">
      <c r="D57" s="118"/>
      <c r="E57" s="67" t="s">
        <v>62</v>
      </c>
      <c r="F57" s="67">
        <f ca="1">MONTH(D55)</f>
        <v>1</v>
      </c>
      <c r="G57" s="67">
        <f ca="1">IF(selected_period="Total Year", 1, IF(selected_period=cc_month_number, 1, 0))</f>
        <v>0</v>
      </c>
      <c r="H57" s="67">
        <f>1*$E$51</f>
        <v>1</v>
      </c>
      <c r="I57" s="67">
        <f t="shared" si="0"/>
        <v>1</v>
      </c>
      <c r="J57" s="79" cm="1">
        <f t="array" aca="1" ref="J57" ca="1">SUM( Tracking[Amount] * (Tracking[Type]=cc_type) * (YEAR(Tracking[Effective Date])=selected_year) * (MONTH(Tracking[Effective Date])=cc_month_number) )</f>
        <v>986</v>
      </c>
      <c r="K57" s="79" cm="1">
        <f t="array" aca="1" ref="K57" ca="1">INDEX('Budget Planning'!$E:$EM, savings_total_row, MATCH(DATE(selected_year, cc_month_number, 1), 'Budget Planning'!$E$9:$EM$9, 0)  )</f>
        <v>1385</v>
      </c>
      <c r="L57" s="79">
        <f ca="1">cc_budget-cc_tracked</f>
        <v>399</v>
      </c>
      <c r="M57" s="41">
        <f ca="1">cc_in_focus * cc_show_type * MIN(cc_tracked, cc_budget)</f>
        <v>0</v>
      </c>
      <c r="N57" s="41">
        <f ca="1">cc_in_focus * cc_show_type * cc_show_remaining_budget * IF(cc_delta&gt;0, cc_delta, 0)</f>
        <v>0</v>
      </c>
      <c r="O57" s="79">
        <f ca="1">cc_in_focus * cc_show_type * IF(cc_delta&lt;0, ABS(cc_delta), 0)</f>
        <v>0</v>
      </c>
      <c r="P57" s="41">
        <f ca="1">NOT(cc_in_focus) * cc_show_type * MIN(cc_tracked, cc_budget)</f>
        <v>986</v>
      </c>
      <c r="Q57" s="41">
        <f ca="1">NOT(cc_in_focus) * cc_show_type * cc_show_remaining_budget * IF(cc_delta&gt;0, cc_delta, 0)</f>
        <v>399</v>
      </c>
      <c r="R57" s="79">
        <f ca="1">NOT(cc_in_focus) * cc_show_type * IF(cc_delta&lt;0, ABS(cc_delta), 0)</f>
        <v>0</v>
      </c>
    </row>
    <row r="58" spans="4:18" x14ac:dyDescent="0.2">
      <c r="D58" s="119"/>
      <c r="E58" s="78"/>
      <c r="F58" s="78"/>
      <c r="G58" s="78"/>
      <c r="H58" s="78"/>
      <c r="I58" s="78"/>
      <c r="J58" s="82"/>
      <c r="K58" s="82"/>
      <c r="L58" s="82"/>
      <c r="M58" s="82"/>
      <c r="N58" s="82"/>
      <c r="O58" s="82"/>
      <c r="P58" s="82"/>
      <c r="Q58" s="82"/>
      <c r="R58" s="82"/>
    </row>
    <row r="59" spans="4:18" x14ac:dyDescent="0.2">
      <c r="D59" s="117">
        <f ca="1">DATE(selected_year, 2, 1)</f>
        <v>45689</v>
      </c>
      <c r="E59" s="77" t="s">
        <v>40</v>
      </c>
      <c r="F59" s="67">
        <f t="shared" ref="F59" ca="1" si="1">MONTH(D59)</f>
        <v>2</v>
      </c>
      <c r="G59" s="67">
        <f ca="1">IF(selected_period="Total Year", 1, IF(selected_period=cc_month_number, 1, 0))</f>
        <v>0</v>
      </c>
      <c r="H59" s="67">
        <f t="shared" ref="H59" si="2">1*$E$49</f>
        <v>1</v>
      </c>
      <c r="I59" s="67">
        <f t="shared" ref="I59:I101" si="3">1*$E$52</f>
        <v>1</v>
      </c>
      <c r="J59" s="79" cm="1">
        <f t="array" aca="1" ref="J59" ca="1">SUM( Tracking[Amount] * (Tracking[Type]=cc_type) * (YEAR(Tracking[Effective Date])=selected_year) * (MONTH(Tracking[Effective Date])=cc_month_number) )</f>
        <v>7890</v>
      </c>
      <c r="K59" s="79" cm="1">
        <f t="array" aca="1" ref="K59" ca="1">INDEX('Budget Planning'!$E:$EM, income_total_row, MATCH(DATE(selected_year, cc_month_number, 1), 'Budget Planning'!$E$9:$EM$9, 0)  )</f>
        <v>7750</v>
      </c>
      <c r="L59" s="79">
        <f ca="1">cc_budget-cc_tracked</f>
        <v>-140</v>
      </c>
      <c r="M59" s="41">
        <f ca="1">cc_in_focus * cc_show_type * MIN(cc_tracked, cc_budget)</f>
        <v>0</v>
      </c>
      <c r="N59" s="41">
        <f ca="1">cc_in_focus * cc_show_type * cc_show_remaining_budget * IF(cc_delta&gt;0, cc_delta, 0)</f>
        <v>0</v>
      </c>
      <c r="O59" s="79">
        <f ca="1">cc_in_focus * cc_show_type * IF(cc_delta&lt;0, ABS(cc_delta), 0)</f>
        <v>0</v>
      </c>
      <c r="P59" s="41">
        <f ca="1">NOT(cc_in_focus) * cc_show_type * MIN(cc_tracked, cc_budget)</f>
        <v>7750</v>
      </c>
      <c r="Q59" s="41">
        <f ca="1">NOT(cc_in_focus) * cc_show_type * cc_show_remaining_budget * IF(cc_delta&gt;0, cc_delta, 0)</f>
        <v>0</v>
      </c>
      <c r="R59" s="79">
        <f ca="1">NOT(cc_in_focus) * cc_show_type * IF(cc_delta&lt;0, ABS(cc_delta), 0)</f>
        <v>140</v>
      </c>
    </row>
    <row r="60" spans="4:18" x14ac:dyDescent="0.2">
      <c r="D60" s="118"/>
      <c r="E60" s="67" t="s">
        <v>47</v>
      </c>
      <c r="F60" s="67">
        <f t="shared" ref="F60" ca="1" si="4">MONTH(D59)</f>
        <v>2</v>
      </c>
      <c r="G60" s="67">
        <f ca="1">IF(selected_period="Total Year", 1, IF(selected_period=cc_month_number, 1, 0))</f>
        <v>0</v>
      </c>
      <c r="H60" s="67">
        <f t="shared" ref="H60" si="5">1*$E$50</f>
        <v>1</v>
      </c>
      <c r="I60" s="67">
        <f t="shared" si="3"/>
        <v>1</v>
      </c>
      <c r="J60" s="79" cm="1">
        <f t="array" aca="1" ref="J60" ca="1">SUM( Tracking[Amount] * (Tracking[Type]=cc_type) * (YEAR(Tracking[Effective Date])=selected_year) * (MONTH(Tracking[Effective Date])=cc_month_number) )</f>
        <v>6648</v>
      </c>
      <c r="K60" s="79" cm="1">
        <f t="array" aca="1" ref="K60" ca="1">INDEX('Budget Planning'!$E:$EM, expenses_total_row, MATCH(DATE(selected_year, cc_month_number, 1), 'Budget Planning'!$E$9:$EM$9, 0)  )</f>
        <v>7345</v>
      </c>
      <c r="L60" s="79">
        <f ca="1">cc_budget-cc_tracked</f>
        <v>697</v>
      </c>
      <c r="M60" s="41">
        <f ca="1">cc_in_focus * cc_show_type * MIN(cc_tracked, cc_budget)</f>
        <v>0</v>
      </c>
      <c r="N60" s="41">
        <f ca="1">cc_in_focus * cc_show_type * cc_show_remaining_budget * IF(cc_delta&gt;0, cc_delta, 0)</f>
        <v>0</v>
      </c>
      <c r="O60" s="79">
        <f ca="1">cc_in_focus * cc_show_type * IF(cc_delta&lt;0, ABS(cc_delta), 0)</f>
        <v>0</v>
      </c>
      <c r="P60" s="41">
        <f ca="1">NOT(cc_in_focus) * cc_show_type * MIN(cc_tracked, cc_budget)</f>
        <v>6648</v>
      </c>
      <c r="Q60" s="41">
        <f ca="1">NOT(cc_in_focus) * cc_show_type * cc_show_remaining_budget * IF(cc_delta&gt;0, cc_delta, 0)</f>
        <v>697</v>
      </c>
      <c r="R60" s="79">
        <f ca="1">NOT(cc_in_focus) * cc_show_type * IF(cc_delta&lt;0, ABS(cc_delta), 0)</f>
        <v>0</v>
      </c>
    </row>
    <row r="61" spans="4:18" x14ac:dyDescent="0.2">
      <c r="D61" s="118"/>
      <c r="E61" s="67" t="s">
        <v>62</v>
      </c>
      <c r="F61" s="67">
        <f t="shared" ref="F61" ca="1" si="6">MONTH(D59)</f>
        <v>2</v>
      </c>
      <c r="G61" s="67">
        <f ca="1">IF(selected_period="Total Year", 1, IF(selected_period=cc_month_number, 1, 0))</f>
        <v>0</v>
      </c>
      <c r="H61" s="67">
        <f t="shared" ref="H61" si="7">1*$E$51</f>
        <v>1</v>
      </c>
      <c r="I61" s="67">
        <f t="shared" si="3"/>
        <v>1</v>
      </c>
      <c r="J61" s="79" cm="1">
        <f t="array" aca="1" ref="J61" ca="1">SUM( Tracking[Amount] * (Tracking[Type]=cc_type) * (YEAR(Tracking[Effective Date])=selected_year) * (MONTH(Tracking[Effective Date])=cc_month_number) )</f>
        <v>1298</v>
      </c>
      <c r="K61" s="79" cm="1">
        <f t="array" aca="1" ref="K61" ca="1">INDEX('Budget Planning'!$E:$EM, savings_total_row, MATCH(DATE(selected_year, cc_month_number, 1), 'Budget Planning'!$E$9:$EM$9, 0)  )</f>
        <v>405</v>
      </c>
      <c r="L61" s="79">
        <f ca="1">cc_budget-cc_tracked</f>
        <v>-893</v>
      </c>
      <c r="M61" s="41">
        <f ca="1">cc_in_focus * cc_show_type * MIN(cc_tracked, cc_budget)</f>
        <v>0</v>
      </c>
      <c r="N61" s="41">
        <f ca="1">cc_in_focus * cc_show_type * cc_show_remaining_budget * IF(cc_delta&gt;0, cc_delta, 0)</f>
        <v>0</v>
      </c>
      <c r="O61" s="79">
        <f ca="1">cc_in_focus * cc_show_type * IF(cc_delta&lt;0, ABS(cc_delta), 0)</f>
        <v>0</v>
      </c>
      <c r="P61" s="41">
        <f ca="1">NOT(cc_in_focus) * cc_show_type * MIN(cc_tracked, cc_budget)</f>
        <v>405</v>
      </c>
      <c r="Q61" s="41">
        <f ca="1">NOT(cc_in_focus) * cc_show_type * cc_show_remaining_budget * IF(cc_delta&gt;0, cc_delta, 0)</f>
        <v>0</v>
      </c>
      <c r="R61" s="79">
        <f ca="1">NOT(cc_in_focus) * cc_show_type * IF(cc_delta&lt;0, ABS(cc_delta), 0)</f>
        <v>893</v>
      </c>
    </row>
    <row r="62" spans="4:18" x14ac:dyDescent="0.2">
      <c r="D62" s="119"/>
      <c r="E62" s="78"/>
      <c r="F62" s="78"/>
      <c r="G62" s="78"/>
      <c r="H62" s="78"/>
      <c r="I62" s="78"/>
      <c r="J62" s="82"/>
      <c r="K62" s="82"/>
      <c r="L62" s="82"/>
      <c r="M62" s="82"/>
      <c r="N62" s="82"/>
      <c r="O62" s="82"/>
      <c r="P62" s="82"/>
      <c r="Q62" s="82"/>
      <c r="R62" s="82"/>
    </row>
    <row r="63" spans="4:18" x14ac:dyDescent="0.2">
      <c r="D63" s="117">
        <f ca="1">DATE(selected_year, 3, 1)</f>
        <v>45717</v>
      </c>
      <c r="E63" s="77" t="s">
        <v>40</v>
      </c>
      <c r="F63" s="67">
        <f t="shared" ref="F63" ca="1" si="8">MONTH(D63)</f>
        <v>3</v>
      </c>
      <c r="G63" s="67">
        <f ca="1">IF(selected_period="Total Year", 1, IF(selected_period=cc_month_number, 1, 0))</f>
        <v>0</v>
      </c>
      <c r="H63" s="67">
        <f t="shared" ref="H63" si="9">1*$E$49</f>
        <v>1</v>
      </c>
      <c r="I63" s="67">
        <f t="shared" ref="I63" si="10">1*$E$52</f>
        <v>1</v>
      </c>
      <c r="J63" s="79" cm="1">
        <f t="array" aca="1" ref="J63" ca="1">SUM( Tracking[Amount] * (Tracking[Type]=cc_type) * (YEAR(Tracking[Effective Date])=selected_year) * (MONTH(Tracking[Effective Date])=cc_month_number) )</f>
        <v>8930</v>
      </c>
      <c r="K63" s="79" cm="1">
        <f t="array" aca="1" ref="K63" ca="1">INDEX('Budget Planning'!$E:$EM, income_total_row, MATCH(DATE(selected_year, cc_month_number, 1), 'Budget Planning'!$E$9:$EM$9, 0)  )</f>
        <v>7750</v>
      </c>
      <c r="L63" s="79">
        <f ca="1">cc_budget-cc_tracked</f>
        <v>-1180</v>
      </c>
      <c r="M63" s="41">
        <f ca="1">cc_in_focus * cc_show_type * MIN(cc_tracked, cc_budget)</f>
        <v>0</v>
      </c>
      <c r="N63" s="41">
        <f ca="1">cc_in_focus * cc_show_type * cc_show_remaining_budget * IF(cc_delta&gt;0, cc_delta, 0)</f>
        <v>0</v>
      </c>
      <c r="O63" s="79">
        <f ca="1">cc_in_focus * cc_show_type * IF(cc_delta&lt;0, ABS(cc_delta), 0)</f>
        <v>0</v>
      </c>
      <c r="P63" s="41">
        <f ca="1">NOT(cc_in_focus) * cc_show_type * MIN(cc_tracked, cc_budget)</f>
        <v>7750</v>
      </c>
      <c r="Q63" s="41">
        <f ca="1">NOT(cc_in_focus) * cc_show_type * cc_show_remaining_budget * IF(cc_delta&gt;0, cc_delta, 0)</f>
        <v>0</v>
      </c>
      <c r="R63" s="79">
        <f ca="1">NOT(cc_in_focus) * cc_show_type * IF(cc_delta&lt;0, ABS(cc_delta), 0)</f>
        <v>1180</v>
      </c>
    </row>
    <row r="64" spans="4:18" x14ac:dyDescent="0.2">
      <c r="D64" s="118"/>
      <c r="E64" s="67" t="s">
        <v>47</v>
      </c>
      <c r="F64" s="67">
        <f t="shared" ref="F64" ca="1" si="11">MONTH(D63)</f>
        <v>3</v>
      </c>
      <c r="G64" s="67">
        <f ca="1">IF(selected_period="Total Year", 1, IF(selected_period=cc_month_number, 1, 0))</f>
        <v>0</v>
      </c>
      <c r="H64" s="67">
        <f t="shared" ref="H64" si="12">1*$E$50</f>
        <v>1</v>
      </c>
      <c r="I64" s="67">
        <f t="shared" si="3"/>
        <v>1</v>
      </c>
      <c r="J64" s="79" cm="1">
        <f t="array" aca="1" ref="J64" ca="1">SUM( Tracking[Amount] * (Tracking[Type]=cc_type) * (YEAR(Tracking[Effective Date])=selected_year) * (MONTH(Tracking[Effective Date])=cc_month_number) )</f>
        <v>8229.5</v>
      </c>
      <c r="K64" s="79" cm="1">
        <f t="array" aca="1" ref="K64" ca="1">INDEX('Budget Planning'!$E:$EM, expenses_total_row, MATCH(DATE(selected_year, cc_month_number, 1), 'Budget Planning'!$E$9:$EM$9, 0)  )</f>
        <v>6745</v>
      </c>
      <c r="L64" s="79">
        <f ca="1">cc_budget-cc_tracked</f>
        <v>-1484.5</v>
      </c>
      <c r="M64" s="41">
        <f ca="1">cc_in_focus * cc_show_type * MIN(cc_tracked, cc_budget)</f>
        <v>0</v>
      </c>
      <c r="N64" s="41">
        <f ca="1">cc_in_focus * cc_show_type * cc_show_remaining_budget * IF(cc_delta&gt;0, cc_delta, 0)</f>
        <v>0</v>
      </c>
      <c r="O64" s="79">
        <f ca="1">cc_in_focus * cc_show_type * IF(cc_delta&lt;0, ABS(cc_delta), 0)</f>
        <v>0</v>
      </c>
      <c r="P64" s="41">
        <f ca="1">NOT(cc_in_focus) * cc_show_type * MIN(cc_tracked, cc_budget)</f>
        <v>6745</v>
      </c>
      <c r="Q64" s="41">
        <f ca="1">NOT(cc_in_focus) * cc_show_type * cc_show_remaining_budget * IF(cc_delta&gt;0, cc_delta, 0)</f>
        <v>0</v>
      </c>
      <c r="R64" s="79">
        <f ca="1">NOT(cc_in_focus) * cc_show_type * IF(cc_delta&lt;0, ABS(cc_delta), 0)</f>
        <v>1484.5</v>
      </c>
    </row>
    <row r="65" spans="4:18" x14ac:dyDescent="0.2">
      <c r="D65" s="118"/>
      <c r="E65" s="67" t="s">
        <v>62</v>
      </c>
      <c r="F65" s="67">
        <f t="shared" ref="F65" ca="1" si="13">MONTH(D63)</f>
        <v>3</v>
      </c>
      <c r="G65" s="67">
        <f ca="1">IF(selected_period="Total Year", 1, IF(selected_period=cc_month_number, 1, 0))</f>
        <v>0</v>
      </c>
      <c r="H65" s="67">
        <f t="shared" ref="H65" si="14">1*$E$51</f>
        <v>1</v>
      </c>
      <c r="I65" s="67">
        <f t="shared" si="3"/>
        <v>1</v>
      </c>
      <c r="J65" s="79" cm="1">
        <f t="array" aca="1" ref="J65" ca="1">SUM( Tracking[Amount] * (Tracking[Type]=cc_type) * (YEAR(Tracking[Effective Date])=selected_year) * (MONTH(Tracking[Effective Date])=cc_month_number) )</f>
        <v>1180</v>
      </c>
      <c r="K65" s="79" cm="1">
        <f t="array" aca="1" ref="K65" ca="1">INDEX('Budget Planning'!$E:$EM, savings_total_row, MATCH(DATE(selected_year, cc_month_number, 1), 'Budget Planning'!$E$9:$EM$9, 0)  )</f>
        <v>1005</v>
      </c>
      <c r="L65" s="79">
        <f ca="1">cc_budget-cc_tracked</f>
        <v>-175</v>
      </c>
      <c r="M65" s="41">
        <f ca="1">cc_in_focus * cc_show_type * MIN(cc_tracked, cc_budget)</f>
        <v>0</v>
      </c>
      <c r="N65" s="41">
        <f ca="1">cc_in_focus * cc_show_type * cc_show_remaining_budget * IF(cc_delta&gt;0, cc_delta, 0)</f>
        <v>0</v>
      </c>
      <c r="O65" s="79">
        <f ca="1">cc_in_focus * cc_show_type * IF(cc_delta&lt;0, ABS(cc_delta), 0)</f>
        <v>0</v>
      </c>
      <c r="P65" s="41">
        <f ca="1">NOT(cc_in_focus) * cc_show_type * MIN(cc_tracked, cc_budget)</f>
        <v>1005</v>
      </c>
      <c r="Q65" s="41">
        <f ca="1">NOT(cc_in_focus) * cc_show_type * cc_show_remaining_budget * IF(cc_delta&gt;0, cc_delta, 0)</f>
        <v>0</v>
      </c>
      <c r="R65" s="79">
        <f ca="1">NOT(cc_in_focus) * cc_show_type * IF(cc_delta&lt;0, ABS(cc_delta), 0)</f>
        <v>175</v>
      </c>
    </row>
    <row r="66" spans="4:18" x14ac:dyDescent="0.2">
      <c r="D66" s="119"/>
      <c r="E66" s="78"/>
      <c r="F66" s="78"/>
      <c r="G66" s="78"/>
      <c r="H66" s="78"/>
      <c r="I66" s="78"/>
      <c r="J66" s="82"/>
      <c r="K66" s="82"/>
      <c r="L66" s="82"/>
      <c r="M66" s="82"/>
      <c r="N66" s="82"/>
      <c r="O66" s="82"/>
      <c r="P66" s="82"/>
      <c r="Q66" s="82"/>
      <c r="R66" s="82"/>
    </row>
    <row r="67" spans="4:18" x14ac:dyDescent="0.2">
      <c r="D67" s="117">
        <f ca="1">DATE(selected_year, 4, 1)</f>
        <v>45748</v>
      </c>
      <c r="E67" s="77" t="s">
        <v>40</v>
      </c>
      <c r="F67" s="67">
        <f t="shared" ref="F67" ca="1" si="15">MONTH(D67)</f>
        <v>4</v>
      </c>
      <c r="G67" s="67">
        <f ca="1">IF(selected_period="Total Year", 1, IF(selected_period=cc_month_number, 1, 0))</f>
        <v>0</v>
      </c>
      <c r="H67" s="67">
        <f t="shared" ref="H67" si="16">1*$E$49</f>
        <v>1</v>
      </c>
      <c r="I67" s="67">
        <f t="shared" ref="I67" si="17">1*$E$52</f>
        <v>1</v>
      </c>
      <c r="J67" s="79" cm="1">
        <f t="array" aca="1" ref="J67" ca="1">SUM( Tracking[Amount] * (Tracking[Type]=cc_type) * (YEAR(Tracking[Effective Date])=selected_year) * (MONTH(Tracking[Effective Date])=cc_month_number) )</f>
        <v>7750</v>
      </c>
      <c r="K67" s="79" cm="1">
        <f t="array" aca="1" ref="K67" ca="1">INDEX('Budget Planning'!$E:$EM, income_total_row, MATCH(DATE(selected_year, cc_month_number, 1), 'Budget Planning'!$E$9:$EM$9, 0)  )</f>
        <v>7750</v>
      </c>
      <c r="L67" s="79">
        <f ca="1">cc_budget-cc_tracked</f>
        <v>0</v>
      </c>
      <c r="M67" s="41">
        <f ca="1">cc_in_focus * cc_show_type * MIN(cc_tracked, cc_budget)</f>
        <v>0</v>
      </c>
      <c r="N67" s="41">
        <f ca="1">cc_in_focus * cc_show_type * cc_show_remaining_budget * IF(cc_delta&gt;0, cc_delta, 0)</f>
        <v>0</v>
      </c>
      <c r="O67" s="79">
        <f ca="1">cc_in_focus * cc_show_type * IF(cc_delta&lt;0, ABS(cc_delta), 0)</f>
        <v>0</v>
      </c>
      <c r="P67" s="41">
        <f ca="1">NOT(cc_in_focus) * cc_show_type * MIN(cc_tracked, cc_budget)</f>
        <v>7750</v>
      </c>
      <c r="Q67" s="41">
        <f ca="1">NOT(cc_in_focus) * cc_show_type * cc_show_remaining_budget * IF(cc_delta&gt;0, cc_delta, 0)</f>
        <v>0</v>
      </c>
      <c r="R67" s="79">
        <f ca="1">NOT(cc_in_focus) * cc_show_type * IF(cc_delta&lt;0, ABS(cc_delta), 0)</f>
        <v>0</v>
      </c>
    </row>
    <row r="68" spans="4:18" x14ac:dyDescent="0.2">
      <c r="D68" s="118"/>
      <c r="E68" s="67" t="s">
        <v>47</v>
      </c>
      <c r="F68" s="67">
        <f t="shared" ref="F68" ca="1" si="18">MONTH(D67)</f>
        <v>4</v>
      </c>
      <c r="G68" s="67">
        <f ca="1">IF(selected_period="Total Year", 1, IF(selected_period=cc_month_number, 1, 0))</f>
        <v>0</v>
      </c>
      <c r="H68" s="67">
        <f t="shared" ref="H68" si="19">1*$E$50</f>
        <v>1</v>
      </c>
      <c r="I68" s="67">
        <f t="shared" si="3"/>
        <v>1</v>
      </c>
      <c r="J68" s="79" cm="1">
        <f t="array" aca="1" ref="J68" ca="1">SUM( Tracking[Amount] * (Tracking[Type]=cc_type) * (YEAR(Tracking[Effective Date])=selected_year) * (MONTH(Tracking[Effective Date])=cc_month_number) )</f>
        <v>6450</v>
      </c>
      <c r="K68" s="79" cm="1">
        <f t="array" aca="1" ref="K68" ca="1">INDEX('Budget Planning'!$E:$EM, expenses_total_row, MATCH(DATE(selected_year, cc_month_number, 1), 'Budget Planning'!$E$9:$EM$9, 0)  )</f>
        <v>6745</v>
      </c>
      <c r="L68" s="79">
        <f ca="1">cc_budget-cc_tracked</f>
        <v>295</v>
      </c>
      <c r="M68" s="41">
        <f ca="1">cc_in_focus * cc_show_type * MIN(cc_tracked, cc_budget)</f>
        <v>0</v>
      </c>
      <c r="N68" s="41">
        <f ca="1">cc_in_focus * cc_show_type * cc_show_remaining_budget * IF(cc_delta&gt;0, cc_delta, 0)</f>
        <v>0</v>
      </c>
      <c r="O68" s="79">
        <f ca="1">cc_in_focus * cc_show_type * IF(cc_delta&lt;0, ABS(cc_delta), 0)</f>
        <v>0</v>
      </c>
      <c r="P68" s="41">
        <f ca="1">NOT(cc_in_focus) * cc_show_type * MIN(cc_tracked, cc_budget)</f>
        <v>6450</v>
      </c>
      <c r="Q68" s="41">
        <f ca="1">NOT(cc_in_focus) * cc_show_type * cc_show_remaining_budget * IF(cc_delta&gt;0, cc_delta, 0)</f>
        <v>295</v>
      </c>
      <c r="R68" s="79">
        <f ca="1">NOT(cc_in_focus) * cc_show_type * IF(cc_delta&lt;0, ABS(cc_delta), 0)</f>
        <v>0</v>
      </c>
    </row>
    <row r="69" spans="4:18" x14ac:dyDescent="0.2">
      <c r="D69" s="118"/>
      <c r="E69" s="67" t="s">
        <v>62</v>
      </c>
      <c r="F69" s="67">
        <f t="shared" ref="F69" ca="1" si="20">MONTH(D67)</f>
        <v>4</v>
      </c>
      <c r="G69" s="67">
        <f ca="1">IF(selected_period="Total Year", 1, IF(selected_period=cc_month_number, 1, 0))</f>
        <v>0</v>
      </c>
      <c r="H69" s="67">
        <f t="shared" ref="H69" si="21">1*$E$51</f>
        <v>1</v>
      </c>
      <c r="I69" s="67">
        <f t="shared" si="3"/>
        <v>1</v>
      </c>
      <c r="J69" s="79" cm="1">
        <f t="array" aca="1" ref="J69" ca="1">SUM( Tracking[Amount] * (Tracking[Type]=cc_type) * (YEAR(Tracking[Effective Date])=selected_year) * (MONTH(Tracking[Effective Date])=cc_month_number) )</f>
        <v>1061</v>
      </c>
      <c r="K69" s="79" cm="1">
        <f t="array" aca="1" ref="K69" ca="1">INDEX('Budget Planning'!$E:$EM, savings_total_row, MATCH(DATE(selected_year, cc_month_number, 1), 'Budget Planning'!$E$9:$EM$9, 0)  )</f>
        <v>1005</v>
      </c>
      <c r="L69" s="79">
        <f ca="1">cc_budget-cc_tracked</f>
        <v>-56</v>
      </c>
      <c r="M69" s="41">
        <f ca="1">cc_in_focus * cc_show_type * MIN(cc_tracked, cc_budget)</f>
        <v>0</v>
      </c>
      <c r="N69" s="41">
        <f ca="1">cc_in_focus * cc_show_type * cc_show_remaining_budget * IF(cc_delta&gt;0, cc_delta, 0)</f>
        <v>0</v>
      </c>
      <c r="O69" s="79">
        <f ca="1">cc_in_focus * cc_show_type * IF(cc_delta&lt;0, ABS(cc_delta), 0)</f>
        <v>0</v>
      </c>
      <c r="P69" s="41">
        <f ca="1">NOT(cc_in_focus) * cc_show_type * MIN(cc_tracked, cc_budget)</f>
        <v>1005</v>
      </c>
      <c r="Q69" s="41">
        <f ca="1">NOT(cc_in_focus) * cc_show_type * cc_show_remaining_budget * IF(cc_delta&gt;0, cc_delta, 0)</f>
        <v>0</v>
      </c>
      <c r="R69" s="79">
        <f ca="1">NOT(cc_in_focus) * cc_show_type * IF(cc_delta&lt;0, ABS(cc_delta), 0)</f>
        <v>56</v>
      </c>
    </row>
    <row r="70" spans="4:18" x14ac:dyDescent="0.2">
      <c r="D70" s="119"/>
      <c r="E70" s="78"/>
      <c r="F70" s="78"/>
      <c r="G70" s="78"/>
      <c r="H70" s="78"/>
      <c r="I70" s="78"/>
      <c r="J70" s="82"/>
      <c r="K70" s="82"/>
      <c r="L70" s="82"/>
      <c r="M70" s="82"/>
      <c r="N70" s="82"/>
      <c r="O70" s="82"/>
      <c r="P70" s="82"/>
      <c r="Q70" s="82"/>
      <c r="R70" s="82"/>
    </row>
    <row r="71" spans="4:18" x14ac:dyDescent="0.2">
      <c r="D71" s="117">
        <f ca="1">DATE(selected_year, 5, 1)</f>
        <v>45778</v>
      </c>
      <c r="E71" s="77" t="s">
        <v>40</v>
      </c>
      <c r="F71" s="67">
        <f t="shared" ref="F71" ca="1" si="22">MONTH(D71)</f>
        <v>5</v>
      </c>
      <c r="G71" s="67">
        <f ca="1">IF(selected_period="Total Year", 1, IF(selected_period=cc_month_number, 1, 0))</f>
        <v>0</v>
      </c>
      <c r="H71" s="67">
        <f t="shared" ref="H71" si="23">1*$E$49</f>
        <v>1</v>
      </c>
      <c r="I71" s="67">
        <f t="shared" ref="I71" si="24">1*$E$52</f>
        <v>1</v>
      </c>
      <c r="J71" s="79" cm="1">
        <f t="array" aca="1" ref="J71" ca="1">SUM( Tracking[Amount] * (Tracking[Type]=cc_type) * (YEAR(Tracking[Effective Date])=selected_year) * (MONTH(Tracking[Effective Date])=cc_month_number) )</f>
        <v>8500</v>
      </c>
      <c r="K71" s="79" cm="1">
        <f t="array" aca="1" ref="K71" ca="1">INDEX('Budget Planning'!$E:$EM, income_total_row, MATCH(DATE(selected_year, cc_month_number, 1), 'Budget Planning'!$E$9:$EM$9, 0)  )</f>
        <v>7750</v>
      </c>
      <c r="L71" s="79">
        <f ca="1">cc_budget-cc_tracked</f>
        <v>-750</v>
      </c>
      <c r="M71" s="41">
        <f ca="1">cc_in_focus * cc_show_type * MIN(cc_tracked, cc_budget)</f>
        <v>0</v>
      </c>
      <c r="N71" s="41">
        <f ca="1">cc_in_focus * cc_show_type * cc_show_remaining_budget * IF(cc_delta&gt;0, cc_delta, 0)</f>
        <v>0</v>
      </c>
      <c r="O71" s="79">
        <f ca="1">cc_in_focus * cc_show_type * IF(cc_delta&lt;0, ABS(cc_delta), 0)</f>
        <v>0</v>
      </c>
      <c r="P71" s="41">
        <f ca="1">NOT(cc_in_focus) * cc_show_type * MIN(cc_tracked, cc_budget)</f>
        <v>7750</v>
      </c>
      <c r="Q71" s="41">
        <f ca="1">NOT(cc_in_focus) * cc_show_type * cc_show_remaining_budget * IF(cc_delta&gt;0, cc_delta, 0)</f>
        <v>0</v>
      </c>
      <c r="R71" s="79">
        <f ca="1">NOT(cc_in_focus) * cc_show_type * IF(cc_delta&lt;0, ABS(cc_delta), 0)</f>
        <v>750</v>
      </c>
    </row>
    <row r="72" spans="4:18" x14ac:dyDescent="0.2">
      <c r="D72" s="118"/>
      <c r="E72" s="67" t="s">
        <v>47</v>
      </c>
      <c r="F72" s="67">
        <f t="shared" ref="F72" ca="1" si="25">MONTH(D71)</f>
        <v>5</v>
      </c>
      <c r="G72" s="67">
        <f ca="1">IF(selected_period="Total Year", 1, IF(selected_period=cc_month_number, 1, 0))</f>
        <v>0</v>
      </c>
      <c r="H72" s="67">
        <f t="shared" ref="H72" si="26">1*$E$50</f>
        <v>1</v>
      </c>
      <c r="I72" s="67">
        <f t="shared" si="3"/>
        <v>1</v>
      </c>
      <c r="J72" s="79" cm="1">
        <f t="array" aca="1" ref="J72" ca="1">SUM( Tracking[Amount] * (Tracking[Type]=cc_type) * (YEAR(Tracking[Effective Date])=selected_year) * (MONTH(Tracking[Effective Date])=cc_month_number) )</f>
        <v>8636</v>
      </c>
      <c r="K72" s="79" cm="1">
        <f t="array" aca="1" ref="K72" ca="1">INDEX('Budget Planning'!$E:$EM, expenses_total_row, MATCH(DATE(selected_year, cc_month_number, 1), 'Budget Planning'!$E$9:$EM$9, 0)  )</f>
        <v>6745</v>
      </c>
      <c r="L72" s="79">
        <f ca="1">cc_budget-cc_tracked</f>
        <v>-1891</v>
      </c>
      <c r="M72" s="41">
        <f ca="1">cc_in_focus * cc_show_type * MIN(cc_tracked, cc_budget)</f>
        <v>0</v>
      </c>
      <c r="N72" s="41">
        <f ca="1">cc_in_focus * cc_show_type * cc_show_remaining_budget * IF(cc_delta&gt;0, cc_delta, 0)</f>
        <v>0</v>
      </c>
      <c r="O72" s="79">
        <f ca="1">cc_in_focus * cc_show_type * IF(cc_delta&lt;0, ABS(cc_delta), 0)</f>
        <v>0</v>
      </c>
      <c r="P72" s="41">
        <f ca="1">NOT(cc_in_focus) * cc_show_type * MIN(cc_tracked, cc_budget)</f>
        <v>6745</v>
      </c>
      <c r="Q72" s="41">
        <f ca="1">NOT(cc_in_focus) * cc_show_type * cc_show_remaining_budget * IF(cc_delta&gt;0, cc_delta, 0)</f>
        <v>0</v>
      </c>
      <c r="R72" s="79">
        <f ca="1">NOT(cc_in_focus) * cc_show_type * IF(cc_delta&lt;0, ABS(cc_delta), 0)</f>
        <v>1891</v>
      </c>
    </row>
    <row r="73" spans="4:18" x14ac:dyDescent="0.2">
      <c r="D73" s="118"/>
      <c r="E73" s="67" t="s">
        <v>62</v>
      </c>
      <c r="F73" s="67">
        <f t="shared" ref="F73" ca="1" si="27">MONTH(D71)</f>
        <v>5</v>
      </c>
      <c r="G73" s="67">
        <f ca="1">IF(selected_period="Total Year", 1, IF(selected_period=cc_month_number, 1, 0))</f>
        <v>0</v>
      </c>
      <c r="H73" s="67">
        <f t="shared" ref="H73" si="28">1*$E$51</f>
        <v>1</v>
      </c>
      <c r="I73" s="67">
        <f t="shared" si="3"/>
        <v>1</v>
      </c>
      <c r="J73" s="79" cm="1">
        <f t="array" aca="1" ref="J73" ca="1">SUM( Tracking[Amount] * (Tracking[Type]=cc_type) * (YEAR(Tracking[Effective Date])=selected_year) * (MONTH(Tracking[Effective Date])=cc_month_number) )</f>
        <v>428</v>
      </c>
      <c r="K73" s="79" cm="1">
        <f t="array" aca="1" ref="K73" ca="1">INDEX('Budget Planning'!$E:$EM, savings_total_row, MATCH(DATE(selected_year, cc_month_number, 1), 'Budget Planning'!$E$9:$EM$9, 0)  )</f>
        <v>1005</v>
      </c>
      <c r="L73" s="79">
        <f ca="1">cc_budget-cc_tracked</f>
        <v>577</v>
      </c>
      <c r="M73" s="41">
        <f ca="1">cc_in_focus * cc_show_type * MIN(cc_tracked, cc_budget)</f>
        <v>0</v>
      </c>
      <c r="N73" s="41">
        <f ca="1">cc_in_focus * cc_show_type * cc_show_remaining_budget * IF(cc_delta&gt;0, cc_delta, 0)</f>
        <v>0</v>
      </c>
      <c r="O73" s="79">
        <f ca="1">cc_in_focus * cc_show_type * IF(cc_delta&lt;0, ABS(cc_delta), 0)</f>
        <v>0</v>
      </c>
      <c r="P73" s="41">
        <f ca="1">NOT(cc_in_focus) * cc_show_type * MIN(cc_tracked, cc_budget)</f>
        <v>428</v>
      </c>
      <c r="Q73" s="41">
        <f ca="1">NOT(cc_in_focus) * cc_show_type * cc_show_remaining_budget * IF(cc_delta&gt;0, cc_delta, 0)</f>
        <v>577</v>
      </c>
      <c r="R73" s="79">
        <f ca="1">NOT(cc_in_focus) * cc_show_type * IF(cc_delta&lt;0, ABS(cc_delta), 0)</f>
        <v>0</v>
      </c>
    </row>
    <row r="74" spans="4:18" x14ac:dyDescent="0.2">
      <c r="D74" s="119"/>
      <c r="E74" s="78"/>
      <c r="F74" s="78"/>
      <c r="G74" s="78"/>
      <c r="H74" s="78"/>
      <c r="I74" s="78"/>
      <c r="J74" s="82"/>
      <c r="K74" s="82"/>
      <c r="L74" s="82"/>
      <c r="M74" s="82"/>
      <c r="N74" s="82"/>
      <c r="O74" s="82"/>
      <c r="P74" s="82"/>
      <c r="Q74" s="82"/>
      <c r="R74" s="82"/>
    </row>
    <row r="75" spans="4:18" x14ac:dyDescent="0.2">
      <c r="D75" s="117">
        <f ca="1">DATE(selected_year, 6, 1)</f>
        <v>45809</v>
      </c>
      <c r="E75" s="77" t="s">
        <v>40</v>
      </c>
      <c r="F75" s="67">
        <f t="shared" ref="F75" ca="1" si="29">MONTH(D75)</f>
        <v>6</v>
      </c>
      <c r="G75" s="67">
        <f ca="1">IF(selected_period="Total Year", 1, IF(selected_period=cc_month_number, 1, 0))</f>
        <v>0</v>
      </c>
      <c r="H75" s="67">
        <f t="shared" ref="H75" si="30">1*$E$49</f>
        <v>1</v>
      </c>
      <c r="I75" s="67">
        <f t="shared" ref="I75" si="31">1*$E$52</f>
        <v>1</v>
      </c>
      <c r="J75" s="79" cm="1">
        <f t="array" aca="1" ref="J75" ca="1">SUM( Tracking[Amount] * (Tracking[Type]=cc_type) * (YEAR(Tracking[Effective Date])=selected_year) * (MONTH(Tracking[Effective Date])=cc_month_number) )</f>
        <v>8070</v>
      </c>
      <c r="K75" s="79" cm="1">
        <f t="array" aca="1" ref="K75" ca="1">INDEX('Budget Planning'!$E:$EM, income_total_row, MATCH(DATE(selected_year, cc_month_number, 1), 'Budget Planning'!$E$9:$EM$9, 0)  )</f>
        <v>7750</v>
      </c>
      <c r="L75" s="79">
        <f ca="1">cc_budget-cc_tracked</f>
        <v>-320</v>
      </c>
      <c r="M75" s="41">
        <f ca="1">cc_in_focus * cc_show_type * MIN(cc_tracked, cc_budget)</f>
        <v>0</v>
      </c>
      <c r="N75" s="41">
        <f ca="1">cc_in_focus * cc_show_type * cc_show_remaining_budget * IF(cc_delta&gt;0, cc_delta, 0)</f>
        <v>0</v>
      </c>
      <c r="O75" s="79">
        <f ca="1">cc_in_focus * cc_show_type * IF(cc_delta&lt;0, ABS(cc_delta), 0)</f>
        <v>0</v>
      </c>
      <c r="P75" s="41">
        <f ca="1">NOT(cc_in_focus) * cc_show_type * MIN(cc_tracked, cc_budget)</f>
        <v>7750</v>
      </c>
      <c r="Q75" s="41">
        <f ca="1">NOT(cc_in_focus) * cc_show_type * cc_show_remaining_budget * IF(cc_delta&gt;0, cc_delta, 0)</f>
        <v>0</v>
      </c>
      <c r="R75" s="79">
        <f ca="1">NOT(cc_in_focus) * cc_show_type * IF(cc_delta&lt;0, ABS(cc_delta), 0)</f>
        <v>320</v>
      </c>
    </row>
    <row r="76" spans="4:18" x14ac:dyDescent="0.2">
      <c r="D76" s="118"/>
      <c r="E76" s="67" t="s">
        <v>47</v>
      </c>
      <c r="F76" s="67">
        <f t="shared" ref="F76" ca="1" si="32">MONTH(D75)</f>
        <v>6</v>
      </c>
      <c r="G76" s="67">
        <f ca="1">IF(selected_period="Total Year", 1, IF(selected_period=cc_month_number, 1, 0))</f>
        <v>0</v>
      </c>
      <c r="H76" s="67">
        <f t="shared" ref="H76" si="33">1*$E$50</f>
        <v>1</v>
      </c>
      <c r="I76" s="67">
        <f t="shared" si="3"/>
        <v>1</v>
      </c>
      <c r="J76" s="79" cm="1">
        <f t="array" aca="1" ref="J76" ca="1">SUM( Tracking[Amount] * (Tracking[Type]=cc_type) * (YEAR(Tracking[Effective Date])=selected_year) * (MONTH(Tracking[Effective Date])=cc_month_number) )</f>
        <v>8982</v>
      </c>
      <c r="K76" s="79" cm="1">
        <f t="array" aca="1" ref="K76" ca="1">INDEX('Budget Planning'!$E:$EM, expenses_total_row, MATCH(DATE(selected_year, cc_month_number, 1), 'Budget Planning'!$E$9:$EM$9, 0)  )</f>
        <v>6745</v>
      </c>
      <c r="L76" s="79">
        <f ca="1">cc_budget-cc_tracked</f>
        <v>-2237</v>
      </c>
      <c r="M76" s="41">
        <f ca="1">cc_in_focus * cc_show_type * MIN(cc_tracked, cc_budget)</f>
        <v>0</v>
      </c>
      <c r="N76" s="41">
        <f ca="1">cc_in_focus * cc_show_type * cc_show_remaining_budget * IF(cc_delta&gt;0, cc_delta, 0)</f>
        <v>0</v>
      </c>
      <c r="O76" s="79">
        <f ca="1">cc_in_focus * cc_show_type * IF(cc_delta&lt;0, ABS(cc_delta), 0)</f>
        <v>0</v>
      </c>
      <c r="P76" s="41">
        <f ca="1">NOT(cc_in_focus) * cc_show_type * MIN(cc_tracked, cc_budget)</f>
        <v>6745</v>
      </c>
      <c r="Q76" s="41">
        <f ca="1">NOT(cc_in_focus) * cc_show_type * cc_show_remaining_budget * IF(cc_delta&gt;0, cc_delta, 0)</f>
        <v>0</v>
      </c>
      <c r="R76" s="79">
        <f ca="1">NOT(cc_in_focus) * cc_show_type * IF(cc_delta&lt;0, ABS(cc_delta), 0)</f>
        <v>2237</v>
      </c>
    </row>
    <row r="77" spans="4:18" x14ac:dyDescent="0.2">
      <c r="D77" s="118"/>
      <c r="E77" s="67" t="s">
        <v>62</v>
      </c>
      <c r="F77" s="67">
        <f t="shared" ref="F77" ca="1" si="34">MONTH(D75)</f>
        <v>6</v>
      </c>
      <c r="G77" s="67">
        <f ca="1">IF(selected_period="Total Year", 1, IF(selected_period=cc_month_number, 1, 0))</f>
        <v>0</v>
      </c>
      <c r="H77" s="67">
        <f t="shared" ref="H77" si="35">1*$E$51</f>
        <v>1</v>
      </c>
      <c r="I77" s="67">
        <f t="shared" si="3"/>
        <v>1</v>
      </c>
      <c r="J77" s="79" cm="1">
        <f t="array" aca="1" ref="J77" ca="1">SUM( Tracking[Amount] * (Tracking[Type]=cc_type) * (YEAR(Tracking[Effective Date])=selected_year) * (MONTH(Tracking[Effective Date])=cc_month_number) )</f>
        <v>78</v>
      </c>
      <c r="K77" s="79" cm="1">
        <f t="array" aca="1" ref="K77" ca="1">INDEX('Budget Planning'!$E:$EM, savings_total_row, MATCH(DATE(selected_year, cc_month_number, 1), 'Budget Planning'!$E$9:$EM$9, 0)  )</f>
        <v>1005</v>
      </c>
      <c r="L77" s="79">
        <f ca="1">cc_budget-cc_tracked</f>
        <v>927</v>
      </c>
      <c r="M77" s="41">
        <f ca="1">cc_in_focus * cc_show_type * MIN(cc_tracked, cc_budget)</f>
        <v>0</v>
      </c>
      <c r="N77" s="41">
        <f ca="1">cc_in_focus * cc_show_type * cc_show_remaining_budget * IF(cc_delta&gt;0, cc_delta, 0)</f>
        <v>0</v>
      </c>
      <c r="O77" s="79">
        <f ca="1">cc_in_focus * cc_show_type * IF(cc_delta&lt;0, ABS(cc_delta), 0)</f>
        <v>0</v>
      </c>
      <c r="P77" s="41">
        <f ca="1">NOT(cc_in_focus) * cc_show_type * MIN(cc_tracked, cc_budget)</f>
        <v>78</v>
      </c>
      <c r="Q77" s="41">
        <f ca="1">NOT(cc_in_focus) * cc_show_type * cc_show_remaining_budget * IF(cc_delta&gt;0, cc_delta, 0)</f>
        <v>927</v>
      </c>
      <c r="R77" s="79">
        <f ca="1">NOT(cc_in_focus) * cc_show_type * IF(cc_delta&lt;0, ABS(cc_delta), 0)</f>
        <v>0</v>
      </c>
    </row>
    <row r="78" spans="4:18" x14ac:dyDescent="0.2">
      <c r="D78" s="119"/>
      <c r="E78" s="78"/>
      <c r="F78" s="78"/>
      <c r="G78" s="78"/>
      <c r="H78" s="78"/>
      <c r="I78" s="78"/>
      <c r="J78" s="82"/>
      <c r="K78" s="82"/>
      <c r="L78" s="82"/>
      <c r="M78" s="82"/>
      <c r="N78" s="82"/>
      <c r="O78" s="82"/>
      <c r="P78" s="82"/>
      <c r="Q78" s="82"/>
      <c r="R78" s="82"/>
    </row>
    <row r="79" spans="4:18" x14ac:dyDescent="0.2">
      <c r="D79" s="117">
        <f ca="1">DATE(selected_year, 7, 1)</f>
        <v>45839</v>
      </c>
      <c r="E79" s="77" t="s">
        <v>40</v>
      </c>
      <c r="F79" s="67">
        <f t="shared" ref="F79" ca="1" si="36">MONTH(D79)</f>
        <v>7</v>
      </c>
      <c r="G79" s="67">
        <f ca="1">IF(selected_period="Total Year", 1, IF(selected_period=cc_month_number, 1, 0))</f>
        <v>0</v>
      </c>
      <c r="H79" s="67">
        <f t="shared" ref="H79" si="37">1*$E$49</f>
        <v>1</v>
      </c>
      <c r="I79" s="67">
        <f t="shared" ref="I79" si="38">1*$E$52</f>
        <v>1</v>
      </c>
      <c r="J79" s="79" cm="1">
        <f t="array" aca="1" ref="J79" ca="1">SUM( Tracking[Amount] * (Tracking[Type]=cc_type) * (YEAR(Tracking[Effective Date])=selected_year) * (MONTH(Tracking[Effective Date])=cc_month_number) )</f>
        <v>7950</v>
      </c>
      <c r="K79" s="79" cm="1">
        <f t="array" aca="1" ref="K79" ca="1">INDEX('Budget Planning'!$E:$EM, income_total_row, MATCH(DATE(selected_year, cc_month_number, 1), 'Budget Planning'!$E$9:$EM$9, 0)  )</f>
        <v>7950</v>
      </c>
      <c r="L79" s="79">
        <f ca="1">cc_budget-cc_tracked</f>
        <v>0</v>
      </c>
      <c r="M79" s="41">
        <f ca="1">cc_in_focus * cc_show_type * MIN(cc_tracked, cc_budget)</f>
        <v>0</v>
      </c>
      <c r="N79" s="41">
        <f ca="1">cc_in_focus * cc_show_type * cc_show_remaining_budget * IF(cc_delta&gt;0, cc_delta, 0)</f>
        <v>0</v>
      </c>
      <c r="O79" s="79">
        <f ca="1">cc_in_focus * cc_show_type * IF(cc_delta&lt;0, ABS(cc_delta), 0)</f>
        <v>0</v>
      </c>
      <c r="P79" s="41">
        <f ca="1">NOT(cc_in_focus) * cc_show_type * MIN(cc_tracked, cc_budget)</f>
        <v>7950</v>
      </c>
      <c r="Q79" s="41">
        <f ca="1">NOT(cc_in_focus) * cc_show_type * cc_show_remaining_budget * IF(cc_delta&gt;0, cc_delta, 0)</f>
        <v>0</v>
      </c>
      <c r="R79" s="79">
        <f ca="1">NOT(cc_in_focus) * cc_show_type * IF(cc_delta&lt;0, ABS(cc_delta), 0)</f>
        <v>0</v>
      </c>
    </row>
    <row r="80" spans="4:18" x14ac:dyDescent="0.2">
      <c r="D80" s="118"/>
      <c r="E80" s="67" t="s">
        <v>47</v>
      </c>
      <c r="F80" s="67">
        <f t="shared" ref="F80" ca="1" si="39">MONTH(D79)</f>
        <v>7</v>
      </c>
      <c r="G80" s="67">
        <f ca="1">IF(selected_period="Total Year", 1, IF(selected_period=cc_month_number, 1, 0))</f>
        <v>0</v>
      </c>
      <c r="H80" s="67">
        <f t="shared" ref="H80" si="40">1*$E$50</f>
        <v>1</v>
      </c>
      <c r="I80" s="67">
        <f t="shared" si="3"/>
        <v>1</v>
      </c>
      <c r="J80" s="79" cm="1">
        <f t="array" aca="1" ref="J80" ca="1">SUM( Tracking[Amount] * (Tracking[Type]=cc_type) * (YEAR(Tracking[Effective Date])=selected_year) * (MONTH(Tracking[Effective Date])=cc_month_number) )</f>
        <v>7322</v>
      </c>
      <c r="K80" s="79" cm="1">
        <f t="array" aca="1" ref="K80" ca="1">INDEX('Budget Planning'!$E:$EM, expenses_total_row, MATCH(DATE(selected_year, cc_month_number, 1), 'Budget Planning'!$E$9:$EM$9, 0)  )</f>
        <v>6745</v>
      </c>
      <c r="L80" s="79">
        <f ca="1">cc_budget-cc_tracked</f>
        <v>-577</v>
      </c>
      <c r="M80" s="41">
        <f ca="1">cc_in_focus * cc_show_type * MIN(cc_tracked, cc_budget)</f>
        <v>0</v>
      </c>
      <c r="N80" s="41">
        <f ca="1">cc_in_focus * cc_show_type * cc_show_remaining_budget * IF(cc_delta&gt;0, cc_delta, 0)</f>
        <v>0</v>
      </c>
      <c r="O80" s="79">
        <f ca="1">cc_in_focus * cc_show_type * IF(cc_delta&lt;0, ABS(cc_delta), 0)</f>
        <v>0</v>
      </c>
      <c r="P80" s="41">
        <f ca="1">NOT(cc_in_focus) * cc_show_type * MIN(cc_tracked, cc_budget)</f>
        <v>6745</v>
      </c>
      <c r="Q80" s="41">
        <f ca="1">NOT(cc_in_focus) * cc_show_type * cc_show_remaining_budget * IF(cc_delta&gt;0, cc_delta, 0)</f>
        <v>0</v>
      </c>
      <c r="R80" s="79">
        <f ca="1">NOT(cc_in_focus) * cc_show_type * IF(cc_delta&lt;0, ABS(cc_delta), 0)</f>
        <v>577</v>
      </c>
    </row>
    <row r="81" spans="4:18" x14ac:dyDescent="0.2">
      <c r="D81" s="118"/>
      <c r="E81" s="67" t="s">
        <v>62</v>
      </c>
      <c r="F81" s="67">
        <f t="shared" ref="F81" ca="1" si="41">MONTH(D79)</f>
        <v>7</v>
      </c>
      <c r="G81" s="67">
        <f ca="1">IF(selected_period="Total Year", 1, IF(selected_period=cc_month_number, 1, 0))</f>
        <v>0</v>
      </c>
      <c r="H81" s="67">
        <f t="shared" ref="H81" si="42">1*$E$51</f>
        <v>1</v>
      </c>
      <c r="I81" s="67">
        <f t="shared" si="3"/>
        <v>1</v>
      </c>
      <c r="J81" s="79" cm="1">
        <f t="array" aca="1" ref="J81" ca="1">SUM( Tracking[Amount] * (Tracking[Type]=cc_type) * (YEAR(Tracking[Effective Date])=selected_year) * (MONTH(Tracking[Effective Date])=cc_month_number) )</f>
        <v>78</v>
      </c>
      <c r="K81" s="79" cm="1">
        <f t="array" aca="1" ref="K81" ca="1">INDEX('Budget Planning'!$E:$EM, savings_total_row, MATCH(DATE(selected_year, cc_month_number, 1), 'Budget Planning'!$E$9:$EM$9, 0)  )</f>
        <v>1205</v>
      </c>
      <c r="L81" s="79">
        <f ca="1">cc_budget-cc_tracked</f>
        <v>1127</v>
      </c>
      <c r="M81" s="41">
        <f ca="1">cc_in_focus * cc_show_type * MIN(cc_tracked, cc_budget)</f>
        <v>0</v>
      </c>
      <c r="N81" s="41">
        <f ca="1">cc_in_focus * cc_show_type * cc_show_remaining_budget * IF(cc_delta&gt;0, cc_delta, 0)</f>
        <v>0</v>
      </c>
      <c r="O81" s="79">
        <f ca="1">cc_in_focus * cc_show_type * IF(cc_delta&lt;0, ABS(cc_delta), 0)</f>
        <v>0</v>
      </c>
      <c r="P81" s="41">
        <f ca="1">NOT(cc_in_focus) * cc_show_type * MIN(cc_tracked, cc_budget)</f>
        <v>78</v>
      </c>
      <c r="Q81" s="41">
        <f ca="1">NOT(cc_in_focus) * cc_show_type * cc_show_remaining_budget * IF(cc_delta&gt;0, cc_delta, 0)</f>
        <v>1127</v>
      </c>
      <c r="R81" s="79">
        <f ca="1">NOT(cc_in_focus) * cc_show_type * IF(cc_delta&lt;0, ABS(cc_delta), 0)</f>
        <v>0</v>
      </c>
    </row>
    <row r="82" spans="4:18" x14ac:dyDescent="0.2">
      <c r="D82" s="119"/>
      <c r="E82" s="78"/>
      <c r="F82" s="78"/>
      <c r="G82" s="78"/>
      <c r="H82" s="78"/>
      <c r="I82" s="78"/>
      <c r="J82" s="82"/>
      <c r="K82" s="82"/>
      <c r="L82" s="82"/>
      <c r="M82" s="82"/>
      <c r="N82" s="82"/>
      <c r="O82" s="82"/>
      <c r="P82" s="82"/>
      <c r="Q82" s="82"/>
      <c r="R82" s="82"/>
    </row>
    <row r="83" spans="4:18" x14ac:dyDescent="0.2">
      <c r="D83" s="117">
        <f ca="1">DATE(selected_year, 8, 1)</f>
        <v>45870</v>
      </c>
      <c r="E83" s="77" t="s">
        <v>40</v>
      </c>
      <c r="F83" s="67">
        <f t="shared" ref="F83" ca="1" si="43">MONTH(D83)</f>
        <v>8</v>
      </c>
      <c r="G83" s="67">
        <f ca="1">IF(selected_period="Total Year", 1, IF(selected_period=cc_month_number, 1, 0))</f>
        <v>0</v>
      </c>
      <c r="H83" s="67">
        <f t="shared" ref="H83" si="44">1*$E$49</f>
        <v>1</v>
      </c>
      <c r="I83" s="67">
        <f t="shared" ref="I83" si="45">1*$E$52</f>
        <v>1</v>
      </c>
      <c r="J83" s="79" cm="1">
        <f t="array" aca="1" ref="J83" ca="1">SUM( Tracking[Amount] * (Tracking[Type]=cc_type) * (YEAR(Tracking[Effective Date])=selected_year) * (MONTH(Tracking[Effective Date])=cc_month_number) )</f>
        <v>7950</v>
      </c>
      <c r="K83" s="79" cm="1">
        <f t="array" aca="1" ref="K83" ca="1">INDEX('Budget Planning'!$E:$EM, income_total_row, MATCH(DATE(selected_year, cc_month_number, 1), 'Budget Planning'!$E$9:$EM$9, 0)  )</f>
        <v>7950</v>
      </c>
      <c r="L83" s="79">
        <f ca="1">cc_budget-cc_tracked</f>
        <v>0</v>
      </c>
      <c r="M83" s="41">
        <f ca="1">cc_in_focus * cc_show_type * MIN(cc_tracked, cc_budget)</f>
        <v>0</v>
      </c>
      <c r="N83" s="41">
        <f ca="1">cc_in_focus * cc_show_type * cc_show_remaining_budget * IF(cc_delta&gt;0, cc_delta, 0)</f>
        <v>0</v>
      </c>
      <c r="O83" s="79">
        <f ca="1">cc_in_focus * cc_show_type * IF(cc_delta&lt;0, ABS(cc_delta), 0)</f>
        <v>0</v>
      </c>
      <c r="P83" s="41">
        <f ca="1">NOT(cc_in_focus) * cc_show_type * MIN(cc_tracked, cc_budget)</f>
        <v>7950</v>
      </c>
      <c r="Q83" s="41">
        <f ca="1">NOT(cc_in_focus) * cc_show_type * cc_show_remaining_budget * IF(cc_delta&gt;0, cc_delta, 0)</f>
        <v>0</v>
      </c>
      <c r="R83" s="79">
        <f ca="1">NOT(cc_in_focus) * cc_show_type * IF(cc_delta&lt;0, ABS(cc_delta), 0)</f>
        <v>0</v>
      </c>
    </row>
    <row r="84" spans="4:18" x14ac:dyDescent="0.2">
      <c r="D84" s="118"/>
      <c r="E84" s="67" t="s">
        <v>47</v>
      </c>
      <c r="F84" s="67">
        <f t="shared" ref="F84" ca="1" si="46">MONTH(D83)</f>
        <v>8</v>
      </c>
      <c r="G84" s="67">
        <f ca="1">IF(selected_period="Total Year", 1, IF(selected_period=cc_month_number, 1, 0))</f>
        <v>0</v>
      </c>
      <c r="H84" s="67">
        <f t="shared" ref="H84" si="47">1*$E$50</f>
        <v>1</v>
      </c>
      <c r="I84" s="67">
        <f t="shared" si="3"/>
        <v>1</v>
      </c>
      <c r="J84" s="79" cm="1">
        <f t="array" aca="1" ref="J84" ca="1">SUM( Tracking[Amount] * (Tracking[Type]=cc_type) * (YEAR(Tracking[Effective Date])=selected_year) * (MONTH(Tracking[Effective Date])=cc_month_number) )</f>
        <v>6436</v>
      </c>
      <c r="K84" s="79" cm="1">
        <f t="array" aca="1" ref="K84" ca="1">INDEX('Budget Planning'!$E:$EM, expenses_total_row, MATCH(DATE(selected_year, cc_month_number, 1), 'Budget Planning'!$E$9:$EM$9, 0)  )</f>
        <v>6745</v>
      </c>
      <c r="L84" s="79">
        <f ca="1">cc_budget-cc_tracked</f>
        <v>309</v>
      </c>
      <c r="M84" s="41">
        <f ca="1">cc_in_focus * cc_show_type * MIN(cc_tracked, cc_budget)</f>
        <v>0</v>
      </c>
      <c r="N84" s="41">
        <f ca="1">cc_in_focus * cc_show_type * cc_show_remaining_budget * IF(cc_delta&gt;0, cc_delta, 0)</f>
        <v>0</v>
      </c>
      <c r="O84" s="79">
        <f ca="1">cc_in_focus * cc_show_type * IF(cc_delta&lt;0, ABS(cc_delta), 0)</f>
        <v>0</v>
      </c>
      <c r="P84" s="41">
        <f ca="1">NOT(cc_in_focus) * cc_show_type * MIN(cc_tracked, cc_budget)</f>
        <v>6436</v>
      </c>
      <c r="Q84" s="41">
        <f ca="1">NOT(cc_in_focus) * cc_show_type * cc_show_remaining_budget * IF(cc_delta&gt;0, cc_delta, 0)</f>
        <v>309</v>
      </c>
      <c r="R84" s="79">
        <f ca="1">NOT(cc_in_focus) * cc_show_type * IF(cc_delta&lt;0, ABS(cc_delta), 0)</f>
        <v>0</v>
      </c>
    </row>
    <row r="85" spans="4:18" x14ac:dyDescent="0.2">
      <c r="D85" s="118"/>
      <c r="E85" s="67" t="s">
        <v>62</v>
      </c>
      <c r="F85" s="67">
        <f t="shared" ref="F85" ca="1" si="48">MONTH(D83)</f>
        <v>8</v>
      </c>
      <c r="G85" s="67">
        <f ca="1">IF(selected_period="Total Year", 1, IF(selected_period=cc_month_number, 1, 0))</f>
        <v>0</v>
      </c>
      <c r="H85" s="67">
        <f t="shared" ref="H85" si="49">1*$E$51</f>
        <v>1</v>
      </c>
      <c r="I85" s="67">
        <f t="shared" si="3"/>
        <v>1</v>
      </c>
      <c r="J85" s="79" cm="1">
        <f t="array" aca="1" ref="J85" ca="1">SUM( Tracking[Amount] * (Tracking[Type]=cc_type) * (YEAR(Tracking[Effective Date])=selected_year) * (MONTH(Tracking[Effective Date])=cc_month_number) )</f>
        <v>78</v>
      </c>
      <c r="K85" s="79" cm="1">
        <f t="array" aca="1" ref="K85" ca="1">INDEX('Budget Planning'!$E:$EM, savings_total_row, MATCH(DATE(selected_year, cc_month_number, 1), 'Budget Planning'!$E$9:$EM$9, 0)  )</f>
        <v>1205</v>
      </c>
      <c r="L85" s="79">
        <f ca="1">cc_budget-cc_tracked</f>
        <v>1127</v>
      </c>
      <c r="M85" s="41">
        <f ca="1">cc_in_focus * cc_show_type * MIN(cc_tracked, cc_budget)</f>
        <v>0</v>
      </c>
      <c r="N85" s="41">
        <f ca="1">cc_in_focus * cc_show_type * cc_show_remaining_budget * IF(cc_delta&gt;0, cc_delta, 0)</f>
        <v>0</v>
      </c>
      <c r="O85" s="79">
        <f ca="1">cc_in_focus * cc_show_type * IF(cc_delta&lt;0, ABS(cc_delta), 0)</f>
        <v>0</v>
      </c>
      <c r="P85" s="41">
        <f ca="1">NOT(cc_in_focus) * cc_show_type * MIN(cc_tracked, cc_budget)</f>
        <v>78</v>
      </c>
      <c r="Q85" s="41">
        <f ca="1">NOT(cc_in_focus) * cc_show_type * cc_show_remaining_budget * IF(cc_delta&gt;0, cc_delta, 0)</f>
        <v>1127</v>
      </c>
      <c r="R85" s="79">
        <f ca="1">NOT(cc_in_focus) * cc_show_type * IF(cc_delta&lt;0, ABS(cc_delta), 0)</f>
        <v>0</v>
      </c>
    </row>
    <row r="86" spans="4:18" x14ac:dyDescent="0.2">
      <c r="D86" s="119"/>
      <c r="E86" s="78"/>
      <c r="F86" s="78"/>
      <c r="G86" s="78"/>
      <c r="H86" s="78"/>
      <c r="I86" s="78"/>
      <c r="J86" s="82"/>
      <c r="K86" s="82"/>
      <c r="L86" s="82"/>
      <c r="M86" s="82"/>
      <c r="N86" s="82"/>
      <c r="O86" s="82"/>
      <c r="P86" s="82"/>
      <c r="Q86" s="82"/>
      <c r="R86" s="82"/>
    </row>
    <row r="87" spans="4:18" x14ac:dyDescent="0.2">
      <c r="D87" s="117">
        <f ca="1">DATE(selected_year, 9, 1)</f>
        <v>45901</v>
      </c>
      <c r="E87" s="77" t="s">
        <v>40</v>
      </c>
      <c r="F87" s="67">
        <f t="shared" ref="F87" ca="1" si="50">MONTH(D87)</f>
        <v>9</v>
      </c>
      <c r="G87" s="67">
        <f ca="1">IF(selected_period="Total Year", 1, IF(selected_period=cc_month_number, 1, 0))</f>
        <v>0</v>
      </c>
      <c r="H87" s="67">
        <f t="shared" ref="H87" si="51">1*$E$49</f>
        <v>1</v>
      </c>
      <c r="I87" s="67">
        <f t="shared" ref="I87" si="52">1*$E$52</f>
        <v>1</v>
      </c>
      <c r="J87" s="79" cm="1">
        <f t="array" aca="1" ref="J87" ca="1">SUM( Tracking[Amount] * (Tracking[Type]=cc_type) * (YEAR(Tracking[Effective Date])=selected_year) * (MONTH(Tracking[Effective Date])=cc_month_number) )</f>
        <v>7950</v>
      </c>
      <c r="K87" s="79" cm="1">
        <f t="array" aca="1" ref="K87" ca="1">INDEX('Budget Planning'!$E:$EM, income_total_row, MATCH(DATE(selected_year, cc_month_number, 1), 'Budget Planning'!$E$9:$EM$9, 0)  )</f>
        <v>7950</v>
      </c>
      <c r="L87" s="79">
        <f ca="1">cc_budget-cc_tracked</f>
        <v>0</v>
      </c>
      <c r="M87" s="41">
        <f ca="1">cc_in_focus * cc_show_type * MIN(cc_tracked, cc_budget)</f>
        <v>0</v>
      </c>
      <c r="N87" s="41">
        <f ca="1">cc_in_focus * cc_show_type * cc_show_remaining_budget * IF(cc_delta&gt;0, cc_delta, 0)</f>
        <v>0</v>
      </c>
      <c r="O87" s="79">
        <f ca="1">cc_in_focus * cc_show_type * IF(cc_delta&lt;0, ABS(cc_delta), 0)</f>
        <v>0</v>
      </c>
      <c r="P87" s="41">
        <f ca="1">NOT(cc_in_focus) * cc_show_type * MIN(cc_tracked, cc_budget)</f>
        <v>7950</v>
      </c>
      <c r="Q87" s="41">
        <f ca="1">NOT(cc_in_focus) * cc_show_type * cc_show_remaining_budget * IF(cc_delta&gt;0, cc_delta, 0)</f>
        <v>0</v>
      </c>
      <c r="R87" s="79">
        <f ca="1">NOT(cc_in_focus) * cc_show_type * IF(cc_delta&lt;0, ABS(cc_delta), 0)</f>
        <v>0</v>
      </c>
    </row>
    <row r="88" spans="4:18" x14ac:dyDescent="0.2">
      <c r="D88" s="118"/>
      <c r="E88" s="67" t="s">
        <v>47</v>
      </c>
      <c r="F88" s="67">
        <f t="shared" ref="F88" ca="1" si="53">MONTH(D87)</f>
        <v>9</v>
      </c>
      <c r="G88" s="67">
        <f ca="1">IF(selected_period="Total Year", 1, IF(selected_period=cc_month_number, 1, 0))</f>
        <v>0</v>
      </c>
      <c r="H88" s="67">
        <f t="shared" ref="H88" si="54">1*$E$50</f>
        <v>1</v>
      </c>
      <c r="I88" s="67">
        <f t="shared" si="3"/>
        <v>1</v>
      </c>
      <c r="J88" s="79" cm="1">
        <f t="array" aca="1" ref="J88" ca="1">SUM( Tracking[Amount] * (Tracking[Type]=cc_type) * (YEAR(Tracking[Effective Date])=selected_year) * (MONTH(Tracking[Effective Date])=cc_month_number) )</f>
        <v>6796</v>
      </c>
      <c r="K88" s="79" cm="1">
        <f t="array" aca="1" ref="K88" ca="1">INDEX('Budget Planning'!$E:$EM, expenses_total_row, MATCH(DATE(selected_year, cc_month_number, 1), 'Budget Planning'!$E$9:$EM$9, 0)  )</f>
        <v>6745</v>
      </c>
      <c r="L88" s="79">
        <f ca="1">cc_budget-cc_tracked</f>
        <v>-51</v>
      </c>
      <c r="M88" s="41">
        <f ca="1">cc_in_focus * cc_show_type * MIN(cc_tracked, cc_budget)</f>
        <v>0</v>
      </c>
      <c r="N88" s="41">
        <f ca="1">cc_in_focus * cc_show_type * cc_show_remaining_budget * IF(cc_delta&gt;0, cc_delta, 0)</f>
        <v>0</v>
      </c>
      <c r="O88" s="79">
        <f ca="1">cc_in_focus * cc_show_type * IF(cc_delta&lt;0, ABS(cc_delta), 0)</f>
        <v>0</v>
      </c>
      <c r="P88" s="41">
        <f ca="1">NOT(cc_in_focus) * cc_show_type * MIN(cc_tracked, cc_budget)</f>
        <v>6745</v>
      </c>
      <c r="Q88" s="41">
        <f ca="1">NOT(cc_in_focus) * cc_show_type * cc_show_remaining_budget * IF(cc_delta&gt;0, cc_delta, 0)</f>
        <v>0</v>
      </c>
      <c r="R88" s="79">
        <f ca="1">NOT(cc_in_focus) * cc_show_type * IF(cc_delta&lt;0, ABS(cc_delta), 0)</f>
        <v>51</v>
      </c>
    </row>
    <row r="89" spans="4:18" x14ac:dyDescent="0.2">
      <c r="D89" s="118"/>
      <c r="E89" s="67" t="s">
        <v>62</v>
      </c>
      <c r="F89" s="67">
        <f t="shared" ref="F89" ca="1" si="55">MONTH(D87)</f>
        <v>9</v>
      </c>
      <c r="G89" s="67">
        <f ca="1">IF(selected_period="Total Year", 1, IF(selected_period=cc_month_number, 1, 0))</f>
        <v>0</v>
      </c>
      <c r="H89" s="67">
        <f t="shared" ref="H89" si="56">1*$E$51</f>
        <v>1</v>
      </c>
      <c r="I89" s="67">
        <f t="shared" si="3"/>
        <v>1</v>
      </c>
      <c r="J89" s="79" cm="1">
        <f t="array" aca="1" ref="J89" ca="1">SUM( Tracking[Amount] * (Tracking[Type]=cc_type) * (YEAR(Tracking[Effective Date])=selected_year) * (MONTH(Tracking[Effective Date])=cc_month_number) )</f>
        <v>78</v>
      </c>
      <c r="K89" s="79" cm="1">
        <f t="array" aca="1" ref="K89" ca="1">INDEX('Budget Planning'!$E:$EM, savings_total_row, MATCH(DATE(selected_year, cc_month_number, 1), 'Budget Planning'!$E$9:$EM$9, 0)  )</f>
        <v>1205</v>
      </c>
      <c r="L89" s="79">
        <f ca="1">cc_budget-cc_tracked</f>
        <v>1127</v>
      </c>
      <c r="M89" s="41">
        <f ca="1">cc_in_focus * cc_show_type * MIN(cc_tracked, cc_budget)</f>
        <v>0</v>
      </c>
      <c r="N89" s="41">
        <f ca="1">cc_in_focus * cc_show_type * cc_show_remaining_budget * IF(cc_delta&gt;0, cc_delta, 0)</f>
        <v>0</v>
      </c>
      <c r="O89" s="79">
        <f ca="1">cc_in_focus * cc_show_type * IF(cc_delta&lt;0, ABS(cc_delta), 0)</f>
        <v>0</v>
      </c>
      <c r="P89" s="41">
        <f ca="1">NOT(cc_in_focus) * cc_show_type * MIN(cc_tracked, cc_budget)</f>
        <v>78</v>
      </c>
      <c r="Q89" s="41">
        <f ca="1">NOT(cc_in_focus) * cc_show_type * cc_show_remaining_budget * IF(cc_delta&gt;0, cc_delta, 0)</f>
        <v>1127</v>
      </c>
      <c r="R89" s="79">
        <f ca="1">NOT(cc_in_focus) * cc_show_type * IF(cc_delta&lt;0, ABS(cc_delta), 0)</f>
        <v>0</v>
      </c>
    </row>
    <row r="90" spans="4:18" x14ac:dyDescent="0.2">
      <c r="D90" s="119"/>
      <c r="E90" s="78"/>
      <c r="F90" s="78"/>
      <c r="G90" s="78"/>
      <c r="H90" s="78"/>
      <c r="I90" s="78"/>
      <c r="J90" s="82"/>
      <c r="K90" s="82"/>
      <c r="L90" s="82"/>
      <c r="M90" s="82"/>
      <c r="N90" s="82"/>
      <c r="O90" s="82"/>
      <c r="P90" s="82"/>
      <c r="Q90" s="82"/>
      <c r="R90" s="82"/>
    </row>
    <row r="91" spans="4:18" x14ac:dyDescent="0.2">
      <c r="D91" s="117">
        <f ca="1">DATE(selected_year, 10, 1)</f>
        <v>45931</v>
      </c>
      <c r="E91" s="77" t="s">
        <v>40</v>
      </c>
      <c r="F91" s="67">
        <f t="shared" ref="F91" ca="1" si="57">MONTH(D91)</f>
        <v>10</v>
      </c>
      <c r="G91" s="67">
        <f ca="1">IF(selected_period="Total Year", 1, IF(selected_period=cc_month_number, 1, 0))</f>
        <v>1</v>
      </c>
      <c r="H91" s="67">
        <f t="shared" ref="H91" si="58">1*$E$49</f>
        <v>1</v>
      </c>
      <c r="I91" s="67">
        <f t="shared" ref="I91" si="59">1*$E$52</f>
        <v>1</v>
      </c>
      <c r="J91" s="79" cm="1">
        <f t="array" aca="1" ref="J91" ca="1">SUM( Tracking[Amount] * (Tracking[Type]=cc_type) * (YEAR(Tracking[Effective Date])=selected_year) * (MONTH(Tracking[Effective Date])=cc_month_number) )</f>
        <v>7950</v>
      </c>
      <c r="K91" s="79" cm="1">
        <f t="array" aca="1" ref="K91" ca="1">INDEX('Budget Planning'!$E:$EM, income_total_row, MATCH(DATE(selected_year, cc_month_number, 1), 'Budget Planning'!$E$9:$EM$9, 0)  )</f>
        <v>7950</v>
      </c>
      <c r="L91" s="79">
        <f ca="1">cc_budget-cc_tracked</f>
        <v>0</v>
      </c>
      <c r="M91" s="41">
        <f ca="1">cc_in_focus * cc_show_type * MIN(cc_tracked, cc_budget)</f>
        <v>7950</v>
      </c>
      <c r="N91" s="41">
        <f ca="1">cc_in_focus * cc_show_type * cc_show_remaining_budget * IF(cc_delta&gt;0, cc_delta, 0)</f>
        <v>0</v>
      </c>
      <c r="O91" s="79">
        <f ca="1">cc_in_focus * cc_show_type * IF(cc_delta&lt;0, ABS(cc_delta), 0)</f>
        <v>0</v>
      </c>
      <c r="P91" s="41">
        <f ca="1">NOT(cc_in_focus) * cc_show_type * MIN(cc_tracked, cc_budget)</f>
        <v>0</v>
      </c>
      <c r="Q91" s="41">
        <f ca="1">NOT(cc_in_focus) * cc_show_type * cc_show_remaining_budget * IF(cc_delta&gt;0, cc_delta, 0)</f>
        <v>0</v>
      </c>
      <c r="R91" s="79">
        <f ca="1">NOT(cc_in_focus) * cc_show_type * IF(cc_delta&lt;0, ABS(cc_delta), 0)</f>
        <v>0</v>
      </c>
    </row>
    <row r="92" spans="4:18" x14ac:dyDescent="0.2">
      <c r="D92" s="118"/>
      <c r="E92" s="67" t="s">
        <v>47</v>
      </c>
      <c r="F92" s="67">
        <f t="shared" ref="F92" ca="1" si="60">MONTH(D91)</f>
        <v>10</v>
      </c>
      <c r="G92" s="67">
        <f ca="1">IF(selected_period="Total Year", 1, IF(selected_period=cc_month_number, 1, 0))</f>
        <v>1</v>
      </c>
      <c r="H92" s="67">
        <f t="shared" ref="H92" si="61">1*$E$50</f>
        <v>1</v>
      </c>
      <c r="I92" s="67">
        <f t="shared" si="3"/>
        <v>1</v>
      </c>
      <c r="J92" s="79" cm="1">
        <f t="array" aca="1" ref="J92" ca="1">SUM( Tracking[Amount] * (Tracking[Type]=cc_type) * (YEAR(Tracking[Effective Date])=selected_year) * (MONTH(Tracking[Effective Date])=cc_month_number) )</f>
        <v>14360</v>
      </c>
      <c r="K92" s="79" cm="1">
        <f t="array" aca="1" ref="K92" ca="1">INDEX('Budget Planning'!$E:$EM, expenses_total_row, MATCH(DATE(selected_year, cc_month_number, 1), 'Budget Planning'!$E$9:$EM$9, 0)  )</f>
        <v>6745</v>
      </c>
      <c r="L92" s="79">
        <f ca="1">cc_budget-cc_tracked</f>
        <v>-7615</v>
      </c>
      <c r="M92" s="41">
        <f ca="1">cc_in_focus * cc_show_type * MIN(cc_tracked, cc_budget)</f>
        <v>6745</v>
      </c>
      <c r="N92" s="41">
        <f ca="1">cc_in_focus * cc_show_type * cc_show_remaining_budget * IF(cc_delta&gt;0, cc_delta, 0)</f>
        <v>0</v>
      </c>
      <c r="O92" s="79">
        <f ca="1">cc_in_focus * cc_show_type * IF(cc_delta&lt;0, ABS(cc_delta), 0)</f>
        <v>7615</v>
      </c>
      <c r="P92" s="41">
        <f ca="1">NOT(cc_in_focus) * cc_show_type * MIN(cc_tracked, cc_budget)</f>
        <v>0</v>
      </c>
      <c r="Q92" s="41">
        <f ca="1">NOT(cc_in_focus) * cc_show_type * cc_show_remaining_budget * IF(cc_delta&gt;0, cc_delta, 0)</f>
        <v>0</v>
      </c>
      <c r="R92" s="79">
        <f ca="1">NOT(cc_in_focus) * cc_show_type * IF(cc_delta&lt;0, ABS(cc_delta), 0)</f>
        <v>0</v>
      </c>
    </row>
    <row r="93" spans="4:18" x14ac:dyDescent="0.2">
      <c r="D93" s="118"/>
      <c r="E93" s="67" t="s">
        <v>62</v>
      </c>
      <c r="F93" s="67">
        <f t="shared" ref="F93" ca="1" si="62">MONTH(D91)</f>
        <v>10</v>
      </c>
      <c r="G93" s="67">
        <f ca="1">IF(selected_period="Total Year", 1, IF(selected_period=cc_month_number, 1, 0))</f>
        <v>1</v>
      </c>
      <c r="H93" s="67">
        <f t="shared" ref="H93" si="63">1*$E$51</f>
        <v>1</v>
      </c>
      <c r="I93" s="67">
        <f t="shared" si="3"/>
        <v>1</v>
      </c>
      <c r="J93" s="79" cm="1">
        <f t="array" aca="1" ref="J93" ca="1">SUM( Tracking[Amount] * (Tracking[Type]=cc_type) * (YEAR(Tracking[Effective Date])=selected_year) * (MONTH(Tracking[Effective Date])=cc_month_number) )</f>
        <v>78</v>
      </c>
      <c r="K93" s="79" cm="1">
        <f t="array" aca="1" ref="K93" ca="1">INDEX('Budget Planning'!$E:$EM, savings_total_row, MATCH(DATE(selected_year, cc_month_number, 1), 'Budget Planning'!$E$9:$EM$9, 0)  )</f>
        <v>1205</v>
      </c>
      <c r="L93" s="79">
        <f ca="1">cc_budget-cc_tracked</f>
        <v>1127</v>
      </c>
      <c r="M93" s="41">
        <f ca="1">cc_in_focus * cc_show_type * MIN(cc_tracked, cc_budget)</f>
        <v>78</v>
      </c>
      <c r="N93" s="41">
        <f ca="1">cc_in_focus * cc_show_type * cc_show_remaining_budget * IF(cc_delta&gt;0, cc_delta, 0)</f>
        <v>1127</v>
      </c>
      <c r="O93" s="79">
        <f ca="1">cc_in_focus * cc_show_type * IF(cc_delta&lt;0, ABS(cc_delta), 0)</f>
        <v>0</v>
      </c>
      <c r="P93" s="41">
        <f ca="1">NOT(cc_in_focus) * cc_show_type * MIN(cc_tracked, cc_budget)</f>
        <v>0</v>
      </c>
      <c r="Q93" s="41">
        <f ca="1">NOT(cc_in_focus) * cc_show_type * cc_show_remaining_budget * IF(cc_delta&gt;0, cc_delta, 0)</f>
        <v>0</v>
      </c>
      <c r="R93" s="79">
        <f ca="1">NOT(cc_in_focus) * cc_show_type * IF(cc_delta&lt;0, ABS(cc_delta), 0)</f>
        <v>0</v>
      </c>
    </row>
    <row r="94" spans="4:18" x14ac:dyDescent="0.2">
      <c r="D94" s="119"/>
      <c r="E94" s="78"/>
      <c r="F94" s="78"/>
      <c r="G94" s="78"/>
      <c r="H94" s="78"/>
      <c r="I94" s="78"/>
      <c r="J94" s="82"/>
      <c r="K94" s="82"/>
      <c r="L94" s="82"/>
      <c r="M94" s="82"/>
      <c r="N94" s="82"/>
      <c r="O94" s="82"/>
      <c r="P94" s="82"/>
      <c r="Q94" s="82"/>
      <c r="R94" s="82"/>
    </row>
    <row r="95" spans="4:18" x14ac:dyDescent="0.2">
      <c r="D95" s="117">
        <f ca="1">DATE(selected_year, 11, 1)</f>
        <v>45962</v>
      </c>
      <c r="E95" s="77" t="s">
        <v>40</v>
      </c>
      <c r="F95" s="67">
        <f t="shared" ref="F95" ca="1" si="64">MONTH(D95)</f>
        <v>11</v>
      </c>
      <c r="G95" s="67">
        <f ca="1">IF(selected_period="Total Year", 1, IF(selected_period=cc_month_number, 1, 0))</f>
        <v>0</v>
      </c>
      <c r="H95" s="67">
        <f t="shared" ref="H95" si="65">1*$E$49</f>
        <v>1</v>
      </c>
      <c r="I95" s="67">
        <f t="shared" ref="I95" si="66">1*$E$52</f>
        <v>1</v>
      </c>
      <c r="J95" s="79" cm="1">
        <f t="array" aca="1" ref="J95" ca="1">SUM( Tracking[Amount] * (Tracking[Type]=cc_type) * (YEAR(Tracking[Effective Date])=selected_year) * (MONTH(Tracking[Effective Date])=cc_month_number) )</f>
        <v>0</v>
      </c>
      <c r="K95" s="79" cm="1">
        <f t="array" aca="1" ref="K95" ca="1">INDEX('Budget Planning'!$E:$EM, income_total_row, MATCH(DATE(selected_year, cc_month_number, 1), 'Budget Planning'!$E$9:$EM$9, 0)  )</f>
        <v>7950</v>
      </c>
      <c r="L95" s="79">
        <f ca="1">cc_budget-cc_tracked</f>
        <v>7950</v>
      </c>
      <c r="M95" s="41">
        <f ca="1">cc_in_focus * cc_show_type * MIN(cc_tracked, cc_budget)</f>
        <v>0</v>
      </c>
      <c r="N95" s="41">
        <f ca="1">cc_in_focus * cc_show_type * cc_show_remaining_budget * IF(cc_delta&gt;0, cc_delta, 0)</f>
        <v>0</v>
      </c>
      <c r="O95" s="79">
        <f ca="1">cc_in_focus * cc_show_type * IF(cc_delta&lt;0, ABS(cc_delta), 0)</f>
        <v>0</v>
      </c>
      <c r="P95" s="41">
        <f ca="1">NOT(cc_in_focus) * cc_show_type * MIN(cc_tracked, cc_budget)</f>
        <v>0</v>
      </c>
      <c r="Q95" s="41">
        <f ca="1">NOT(cc_in_focus) * cc_show_type * cc_show_remaining_budget * IF(cc_delta&gt;0, cc_delta, 0)</f>
        <v>7950</v>
      </c>
      <c r="R95" s="79">
        <f ca="1">NOT(cc_in_focus) * cc_show_type * IF(cc_delta&lt;0, ABS(cc_delta), 0)</f>
        <v>0</v>
      </c>
    </row>
    <row r="96" spans="4:18" x14ac:dyDescent="0.2">
      <c r="D96" s="118"/>
      <c r="E96" s="67" t="s">
        <v>47</v>
      </c>
      <c r="F96" s="67">
        <f t="shared" ref="F96" ca="1" si="67">MONTH(D95)</f>
        <v>11</v>
      </c>
      <c r="G96" s="67">
        <f ca="1">IF(selected_period="Total Year", 1, IF(selected_period=cc_month_number, 1, 0))</f>
        <v>0</v>
      </c>
      <c r="H96" s="67">
        <f t="shared" ref="H96" si="68">1*$E$50</f>
        <v>1</v>
      </c>
      <c r="I96" s="67">
        <f t="shared" si="3"/>
        <v>1</v>
      </c>
      <c r="J96" s="79" cm="1">
        <f t="array" aca="1" ref="J96" ca="1">SUM( Tracking[Amount] * (Tracking[Type]=cc_type) * (YEAR(Tracking[Effective Date])=selected_year) * (MONTH(Tracking[Effective Date])=cc_month_number) )</f>
        <v>0</v>
      </c>
      <c r="K96" s="79" cm="1">
        <f t="array" aca="1" ref="K96" ca="1">INDEX('Budget Planning'!$E:$EM, expenses_total_row, MATCH(DATE(selected_year, cc_month_number, 1), 'Budget Planning'!$E$9:$EM$9, 0)  )</f>
        <v>6745</v>
      </c>
      <c r="L96" s="79">
        <f ca="1">cc_budget-cc_tracked</f>
        <v>6745</v>
      </c>
      <c r="M96" s="41">
        <f ca="1">cc_in_focus * cc_show_type * MIN(cc_tracked, cc_budget)</f>
        <v>0</v>
      </c>
      <c r="N96" s="41">
        <f ca="1">cc_in_focus * cc_show_type * cc_show_remaining_budget * IF(cc_delta&gt;0, cc_delta, 0)</f>
        <v>0</v>
      </c>
      <c r="O96" s="79">
        <f ca="1">cc_in_focus * cc_show_type * IF(cc_delta&lt;0, ABS(cc_delta), 0)</f>
        <v>0</v>
      </c>
      <c r="P96" s="41">
        <f ca="1">NOT(cc_in_focus) * cc_show_type * MIN(cc_tracked, cc_budget)</f>
        <v>0</v>
      </c>
      <c r="Q96" s="41">
        <f ca="1">NOT(cc_in_focus) * cc_show_type * cc_show_remaining_budget * IF(cc_delta&gt;0, cc_delta, 0)</f>
        <v>6745</v>
      </c>
      <c r="R96" s="79">
        <f ca="1">NOT(cc_in_focus) * cc_show_type * IF(cc_delta&lt;0, ABS(cc_delta), 0)</f>
        <v>0</v>
      </c>
    </row>
    <row r="97" spans="4:18" x14ac:dyDescent="0.2">
      <c r="D97" s="118"/>
      <c r="E97" s="67" t="s">
        <v>62</v>
      </c>
      <c r="F97" s="67">
        <f t="shared" ref="F97" ca="1" si="69">MONTH(D95)</f>
        <v>11</v>
      </c>
      <c r="G97" s="67">
        <f ca="1">IF(selected_period="Total Year", 1, IF(selected_period=cc_month_number, 1, 0))</f>
        <v>0</v>
      </c>
      <c r="H97" s="67">
        <f t="shared" ref="H97" si="70">1*$E$51</f>
        <v>1</v>
      </c>
      <c r="I97" s="67">
        <f t="shared" si="3"/>
        <v>1</v>
      </c>
      <c r="J97" s="79" cm="1">
        <f t="array" aca="1" ref="J97" ca="1">SUM( Tracking[Amount] * (Tracking[Type]=cc_type) * (YEAR(Tracking[Effective Date])=selected_year) * (MONTH(Tracking[Effective Date])=cc_month_number) )</f>
        <v>0</v>
      </c>
      <c r="K97" s="79" cm="1">
        <f t="array" aca="1" ref="K97" ca="1">INDEX('Budget Planning'!$E:$EM, savings_total_row, MATCH(DATE(selected_year, cc_month_number, 1), 'Budget Planning'!$E$9:$EM$9, 0)  )</f>
        <v>1205</v>
      </c>
      <c r="L97" s="79">
        <f ca="1">cc_budget-cc_tracked</f>
        <v>1205</v>
      </c>
      <c r="M97" s="41">
        <f ca="1">cc_in_focus * cc_show_type * MIN(cc_tracked, cc_budget)</f>
        <v>0</v>
      </c>
      <c r="N97" s="41">
        <f ca="1">cc_in_focus * cc_show_type * cc_show_remaining_budget * IF(cc_delta&gt;0, cc_delta, 0)</f>
        <v>0</v>
      </c>
      <c r="O97" s="79">
        <f ca="1">cc_in_focus * cc_show_type * IF(cc_delta&lt;0, ABS(cc_delta), 0)</f>
        <v>0</v>
      </c>
      <c r="P97" s="41">
        <f ca="1">NOT(cc_in_focus) * cc_show_type * MIN(cc_tracked, cc_budget)</f>
        <v>0</v>
      </c>
      <c r="Q97" s="41">
        <f ca="1">NOT(cc_in_focus) * cc_show_type * cc_show_remaining_budget * IF(cc_delta&gt;0, cc_delta, 0)</f>
        <v>1205</v>
      </c>
      <c r="R97" s="79">
        <f ca="1">NOT(cc_in_focus) * cc_show_type * IF(cc_delta&lt;0, ABS(cc_delta), 0)</f>
        <v>0</v>
      </c>
    </row>
    <row r="98" spans="4:18" x14ac:dyDescent="0.2">
      <c r="D98" s="119"/>
      <c r="E98" s="78"/>
      <c r="F98" s="78"/>
      <c r="G98" s="78"/>
      <c r="H98" s="78"/>
      <c r="I98" s="78"/>
      <c r="J98" s="82"/>
      <c r="K98" s="82"/>
      <c r="L98" s="82"/>
      <c r="M98" s="82"/>
      <c r="N98" s="82"/>
      <c r="O98" s="82"/>
      <c r="P98" s="82"/>
      <c r="Q98" s="82"/>
      <c r="R98" s="82"/>
    </row>
    <row r="99" spans="4:18" x14ac:dyDescent="0.2">
      <c r="D99" s="117">
        <f ca="1">DATE(selected_year, 12, 1)</f>
        <v>45992</v>
      </c>
      <c r="E99" s="77" t="s">
        <v>40</v>
      </c>
      <c r="F99" s="67">
        <f t="shared" ref="F99" ca="1" si="71">MONTH(D99)</f>
        <v>12</v>
      </c>
      <c r="G99" s="67">
        <f ca="1">IF(selected_period="Total Year", 1, IF(selected_period=cc_month_number, 1, 0))</f>
        <v>0</v>
      </c>
      <c r="H99" s="67">
        <f t="shared" ref="H99" si="72">1*$E$49</f>
        <v>1</v>
      </c>
      <c r="I99" s="67">
        <f t="shared" ref="I99" si="73">1*$E$52</f>
        <v>1</v>
      </c>
      <c r="J99" s="79" cm="1">
        <f t="array" aca="1" ref="J99" ca="1">SUM( Tracking[Amount] * (Tracking[Type]=cc_type) * (YEAR(Tracking[Effective Date])=selected_year) * (MONTH(Tracking[Effective Date])=cc_month_number) )</f>
        <v>0</v>
      </c>
      <c r="K99" s="79" cm="1">
        <f t="array" aca="1" ref="K99" ca="1">INDEX('Budget Planning'!$E:$EM, income_total_row, MATCH(DATE(selected_year, cc_month_number, 1), 'Budget Planning'!$E$9:$EM$9, 0)  )</f>
        <v>7950</v>
      </c>
      <c r="L99" s="79">
        <f ca="1">cc_budget-cc_tracked</f>
        <v>7950</v>
      </c>
      <c r="M99" s="41">
        <f ca="1">cc_in_focus * cc_show_type * MIN(cc_tracked, cc_budget)</f>
        <v>0</v>
      </c>
      <c r="N99" s="41">
        <f ca="1">cc_in_focus * cc_show_type * cc_show_remaining_budget * IF(cc_delta&gt;0, cc_delta, 0)</f>
        <v>0</v>
      </c>
      <c r="O99" s="79">
        <f ca="1">cc_in_focus * cc_show_type * IF(cc_delta&lt;0, ABS(cc_delta), 0)</f>
        <v>0</v>
      </c>
      <c r="P99" s="41">
        <f ca="1">NOT(cc_in_focus) * cc_show_type * MIN(cc_tracked, cc_budget)</f>
        <v>0</v>
      </c>
      <c r="Q99" s="41">
        <f ca="1">NOT(cc_in_focus) * cc_show_type * cc_show_remaining_budget * IF(cc_delta&gt;0, cc_delta, 0)</f>
        <v>7950</v>
      </c>
      <c r="R99" s="79">
        <f ca="1">NOT(cc_in_focus) * cc_show_type * IF(cc_delta&lt;0, ABS(cc_delta), 0)</f>
        <v>0</v>
      </c>
    </row>
    <row r="100" spans="4:18" x14ac:dyDescent="0.2">
      <c r="D100" s="118"/>
      <c r="E100" s="67" t="s">
        <v>47</v>
      </c>
      <c r="F100" s="67">
        <f t="shared" ref="F100" ca="1" si="74">MONTH(D99)</f>
        <v>12</v>
      </c>
      <c r="G100" s="67">
        <f ca="1">IF(selected_period="Total Year", 1, IF(selected_period=cc_month_number, 1, 0))</f>
        <v>0</v>
      </c>
      <c r="H100" s="67">
        <f t="shared" ref="H100" si="75">1*$E$50</f>
        <v>1</v>
      </c>
      <c r="I100" s="67">
        <f t="shared" si="3"/>
        <v>1</v>
      </c>
      <c r="J100" s="79" cm="1">
        <f t="array" aca="1" ref="J100" ca="1">SUM( Tracking[Amount] * (Tracking[Type]=cc_type) * (YEAR(Tracking[Effective Date])=selected_year) * (MONTH(Tracking[Effective Date])=cc_month_number) )</f>
        <v>0</v>
      </c>
      <c r="K100" s="79" cm="1">
        <f t="array" aca="1" ref="K100" ca="1">INDEX('Budget Planning'!$E:$EM, expenses_total_row, MATCH(DATE(selected_year, cc_month_number, 1), 'Budget Planning'!$E$9:$EM$9, 0)  )</f>
        <v>6745</v>
      </c>
      <c r="L100" s="79">
        <f ca="1">cc_budget-cc_tracked</f>
        <v>6745</v>
      </c>
      <c r="M100" s="41">
        <f ca="1">cc_in_focus * cc_show_type * MIN(cc_tracked, cc_budget)</f>
        <v>0</v>
      </c>
      <c r="N100" s="41">
        <f ca="1">cc_in_focus * cc_show_type * cc_show_remaining_budget * IF(cc_delta&gt;0, cc_delta, 0)</f>
        <v>0</v>
      </c>
      <c r="O100" s="79">
        <f ca="1">cc_in_focus * cc_show_type * IF(cc_delta&lt;0, ABS(cc_delta), 0)</f>
        <v>0</v>
      </c>
      <c r="P100" s="41">
        <f ca="1">NOT(cc_in_focus) * cc_show_type * MIN(cc_tracked, cc_budget)</f>
        <v>0</v>
      </c>
      <c r="Q100" s="41">
        <f ca="1">NOT(cc_in_focus) * cc_show_type * cc_show_remaining_budget * IF(cc_delta&gt;0, cc_delta, 0)</f>
        <v>6745</v>
      </c>
      <c r="R100" s="79">
        <f ca="1">NOT(cc_in_focus) * cc_show_type * IF(cc_delta&lt;0, ABS(cc_delta), 0)</f>
        <v>0</v>
      </c>
    </row>
    <row r="101" spans="4:18" x14ac:dyDescent="0.2">
      <c r="D101" s="118"/>
      <c r="E101" s="67" t="s">
        <v>62</v>
      </c>
      <c r="F101" s="67">
        <f t="shared" ref="F101" ca="1" si="76">MONTH(D99)</f>
        <v>12</v>
      </c>
      <c r="G101" s="67">
        <f ca="1">IF(selected_period="Total Year", 1, IF(selected_period=cc_month_number, 1, 0))</f>
        <v>0</v>
      </c>
      <c r="H101" s="67">
        <f t="shared" ref="H101" si="77">1*$E$51</f>
        <v>1</v>
      </c>
      <c r="I101" s="67">
        <f t="shared" si="3"/>
        <v>1</v>
      </c>
      <c r="J101" s="79" cm="1">
        <f t="array" aca="1" ref="J101" ca="1">SUM( Tracking[Amount] * (Tracking[Type]=cc_type) * (YEAR(Tracking[Effective Date])=selected_year) * (MONTH(Tracking[Effective Date])=cc_month_number) )</f>
        <v>0</v>
      </c>
      <c r="K101" s="79" cm="1">
        <f t="array" aca="1" ref="K101" ca="1">INDEX('Budget Planning'!$E:$EM, savings_total_row, MATCH(DATE(selected_year, cc_month_number, 1), 'Budget Planning'!$E$9:$EM$9, 0)  )</f>
        <v>1205</v>
      </c>
      <c r="L101" s="79">
        <f ca="1">cc_budget-cc_tracked</f>
        <v>1205</v>
      </c>
      <c r="M101" s="41">
        <f ca="1">cc_in_focus * cc_show_type * MIN(cc_tracked, cc_budget)</f>
        <v>0</v>
      </c>
      <c r="N101" s="41">
        <f ca="1">cc_in_focus * cc_show_type * cc_show_remaining_budget * IF(cc_delta&gt;0, cc_delta, 0)</f>
        <v>0</v>
      </c>
      <c r="O101" s="79">
        <f ca="1">cc_in_focus * cc_show_type * IF(cc_delta&lt;0, ABS(cc_delta), 0)</f>
        <v>0</v>
      </c>
      <c r="P101" s="41">
        <f ca="1">NOT(cc_in_focus) * cc_show_type * MIN(cc_tracked, cc_budget)</f>
        <v>0</v>
      </c>
      <c r="Q101" s="41">
        <f ca="1">NOT(cc_in_focus) * cc_show_type * cc_show_remaining_budget * IF(cc_delta&gt;0, cc_delta, 0)</f>
        <v>1205</v>
      </c>
      <c r="R101" s="79">
        <f ca="1">NOT(cc_in_focus) * cc_show_type * IF(cc_delta&lt;0, ABS(cc_delta), 0)</f>
        <v>0</v>
      </c>
    </row>
    <row r="102" spans="4:18" x14ac:dyDescent="0.2">
      <c r="D102" s="119"/>
      <c r="E102" s="78"/>
      <c r="F102" s="78"/>
      <c r="G102" s="78"/>
      <c r="H102" s="78"/>
      <c r="I102" s="78"/>
      <c r="J102" s="82"/>
      <c r="K102" s="82"/>
      <c r="L102" s="82"/>
      <c r="M102" s="82"/>
      <c r="N102" s="82"/>
      <c r="O102" s="82"/>
      <c r="P102" s="82"/>
      <c r="Q102" s="82"/>
      <c r="R102" s="82"/>
    </row>
  </sheetData>
  <mergeCells count="16">
    <mergeCell ref="C6:F6"/>
    <mergeCell ref="C17:F17"/>
    <mergeCell ref="M53:O53"/>
    <mergeCell ref="P53:R53"/>
    <mergeCell ref="D55:D58"/>
    <mergeCell ref="D59:D62"/>
    <mergeCell ref="D63:D66"/>
    <mergeCell ref="D67:D70"/>
    <mergeCell ref="D71:D74"/>
    <mergeCell ref="D75:D78"/>
    <mergeCell ref="D99:D102"/>
    <mergeCell ref="D79:D82"/>
    <mergeCell ref="D83:D86"/>
    <mergeCell ref="D87:D90"/>
    <mergeCell ref="D91:D94"/>
    <mergeCell ref="D95:D98"/>
  </mergeCells>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9C25-AEE3-4409-8A64-3A268A026EF5}">
  <sheetPr>
    <tabColor theme="1"/>
  </sheetPr>
  <dimension ref="B1:E21"/>
  <sheetViews>
    <sheetView showGridLines="0" zoomScale="90" zoomScaleNormal="90" workbookViewId="0">
      <selection activeCell="E24" sqref="E24"/>
    </sheetView>
  </sheetViews>
  <sheetFormatPr baseColWidth="10" defaultColWidth="8.83203125" defaultRowHeight="15" x14ac:dyDescent="0.2"/>
  <cols>
    <col min="1" max="1" width="5.5" customWidth="1"/>
    <col min="2" max="2" width="2.83203125" customWidth="1"/>
    <col min="3" max="3" width="18.83203125" customWidth="1"/>
    <col min="5" max="5" width="18.83203125" customWidth="1"/>
  </cols>
  <sheetData>
    <row r="1" spans="2:5" s="3" customFormat="1" ht="7.25" customHeight="1" x14ac:dyDescent="0.2"/>
    <row r="2" spans="2:5" s="3" customFormat="1" ht="27.5" customHeight="1" x14ac:dyDescent="0.3">
      <c r="B2" s="4" t="s">
        <v>211</v>
      </c>
    </row>
    <row r="3" spans="2:5" s="3" customFormat="1" ht="7.25" customHeight="1" x14ac:dyDescent="0.2"/>
    <row r="7" spans="2:5" x14ac:dyDescent="0.2">
      <c r="C7" s="43" t="s">
        <v>212</v>
      </c>
      <c r="E7" s="43" t="s">
        <v>213</v>
      </c>
    </row>
    <row r="8" spans="2:5" x14ac:dyDescent="0.2">
      <c r="C8" s="44" t="s">
        <v>148</v>
      </c>
      <c r="E8" s="44" t="s">
        <v>214</v>
      </c>
    </row>
    <row r="9" spans="2:5" x14ac:dyDescent="0.2">
      <c r="C9" s="44">
        <f>starting_year</f>
        <v>2024</v>
      </c>
      <c r="E9" s="44" t="s">
        <v>151</v>
      </c>
    </row>
    <row r="10" spans="2:5" x14ac:dyDescent="0.2">
      <c r="C10" s="44">
        <f>C9+1</f>
        <v>2025</v>
      </c>
      <c r="E10" s="46">
        <v>36526</v>
      </c>
    </row>
    <row r="11" spans="2:5" x14ac:dyDescent="0.2">
      <c r="C11" s="44">
        <f t="shared" ref="C11:C18" si="0">C10+1</f>
        <v>2026</v>
      </c>
      <c r="E11" s="46">
        <v>36557</v>
      </c>
    </row>
    <row r="12" spans="2:5" x14ac:dyDescent="0.2">
      <c r="C12" s="44">
        <f t="shared" si="0"/>
        <v>2027</v>
      </c>
      <c r="E12" s="46">
        <v>36586</v>
      </c>
    </row>
    <row r="13" spans="2:5" x14ac:dyDescent="0.2">
      <c r="C13" s="44">
        <f t="shared" si="0"/>
        <v>2028</v>
      </c>
      <c r="E13" s="46">
        <v>36617</v>
      </c>
    </row>
    <row r="14" spans="2:5" x14ac:dyDescent="0.2">
      <c r="C14" s="44">
        <f t="shared" si="0"/>
        <v>2029</v>
      </c>
      <c r="E14" s="46">
        <v>36647</v>
      </c>
    </row>
    <row r="15" spans="2:5" x14ac:dyDescent="0.2">
      <c r="C15" s="44">
        <f t="shared" si="0"/>
        <v>2030</v>
      </c>
      <c r="E15" s="46">
        <v>36678</v>
      </c>
    </row>
    <row r="16" spans="2:5" x14ac:dyDescent="0.2">
      <c r="C16" s="44">
        <f t="shared" si="0"/>
        <v>2031</v>
      </c>
      <c r="E16" s="46">
        <v>36708</v>
      </c>
    </row>
    <row r="17" spans="3:5" x14ac:dyDescent="0.2">
      <c r="C17" s="44">
        <f t="shared" si="0"/>
        <v>2032</v>
      </c>
      <c r="E17" s="46">
        <v>36739</v>
      </c>
    </row>
    <row r="18" spans="3:5" x14ac:dyDescent="0.2">
      <c r="C18" s="45">
        <f t="shared" si="0"/>
        <v>2033</v>
      </c>
      <c r="E18" s="46">
        <v>36770</v>
      </c>
    </row>
    <row r="19" spans="3:5" x14ac:dyDescent="0.2">
      <c r="E19" s="46">
        <v>36800</v>
      </c>
    </row>
    <row r="20" spans="3:5" x14ac:dyDescent="0.2">
      <c r="E20" s="46">
        <v>36831</v>
      </c>
    </row>
    <row r="21" spans="3:5" x14ac:dyDescent="0.2">
      <c r="E21" s="47">
        <v>36861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39</vt:i4>
      </vt:variant>
    </vt:vector>
  </HeadingPairs>
  <TitlesOfParts>
    <vt:vector size="47" baseType="lpstr">
      <vt:lpstr>Info</vt:lpstr>
      <vt:lpstr>Settings</vt:lpstr>
      <vt:lpstr>Budget Planning</vt:lpstr>
      <vt:lpstr>Budget Tracking</vt:lpstr>
      <vt:lpstr>Budget Dashboard</vt:lpstr>
      <vt:lpstr>Planning</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Office Lab</dc:creator>
  <cp:keywords/>
  <dc:description/>
  <cp:lastModifiedBy>Tsonev, Ivaylo</cp:lastModifiedBy>
  <cp:revision/>
  <dcterms:created xsi:type="dcterms:W3CDTF">2022-05-26T05:51:39Z</dcterms:created>
  <dcterms:modified xsi:type="dcterms:W3CDTF">2025-10-29T14:57:55Z</dcterms:modified>
  <cp:category/>
  <cp:contentStatus/>
</cp:coreProperties>
</file>